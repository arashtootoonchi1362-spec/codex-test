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sh\Desktop\Back up of Macro Enabled\"/>
    </mc:Choice>
  </mc:AlternateContent>
  <xr:revisionPtr revIDLastSave="0" documentId="8_{8A687724-E4DE-4BCF-8E79-1103BC05D685}" xr6:coauthVersionLast="47" xr6:coauthVersionMax="47" xr10:uidLastSave="{00000000-0000-0000-0000-000000000000}"/>
  <bookViews>
    <workbookView xWindow="-98" yWindow="-98" windowWidth="21795" windowHeight="13875" tabRatio="500" firstSheet="1" activeTab="1" xr2:uid="{00000000-000D-0000-FFFF-FFFF00000000}"/>
  </bookViews>
  <sheets>
    <sheet name="1-2" sheetId="1" r:id="rId1"/>
    <sheet name="درصد ارزیری" sheetId="2" r:id="rId2"/>
    <sheet name="رشته ای" sheetId="3" r:id="rId3"/>
    <sheet name="مکانیک" sheetId="4" r:id="rId4"/>
    <sheet name="ابنیه" sheetId="5" r:id="rId5"/>
    <sheet name="تاسیسات برقی" sheetId="6" r:id="rId6"/>
    <sheet name="راه، راه آهن و باند فرودگاه" sheetId="7" r:id="rId7"/>
    <sheet name="تجهیزات آب و فاضلاب" sheetId="8" r:id="rId8"/>
    <sheet name="Arz " sheetId="9" r:id="rId9"/>
  </sheets>
  <externalReferences>
    <externalReference r:id="rId10"/>
  </externalReferences>
  <definedNames>
    <definedName name="\0">#REF!</definedName>
    <definedName name="\A">#REF!</definedName>
    <definedName name="\N">#REF!</definedName>
    <definedName name="\r">#N/A</definedName>
    <definedName name="\Y">#REF!</definedName>
    <definedName name="\z">#REF!</definedName>
    <definedName name="___max1">#N/A</definedName>
    <definedName name="___min1">#N/A</definedName>
    <definedName name="___Rev1">#REF!</definedName>
    <definedName name="___Rev2">#REF!</definedName>
    <definedName name="___Rev3">#REF!</definedName>
    <definedName name="___Rev4">#REF!</definedName>
    <definedName name="__max1">#N/A</definedName>
    <definedName name="__min1">#N/A</definedName>
    <definedName name="__NGd1">#REF!</definedName>
    <definedName name="__NGd10">#REF!</definedName>
    <definedName name="__NGd12">#REF!</definedName>
    <definedName name="__NGd13">#REF!</definedName>
    <definedName name="__NGd14">#REF!</definedName>
    <definedName name="__NGd15">#REF!</definedName>
    <definedName name="__NGd2">#REF!</definedName>
    <definedName name="__NGd3">#REF!</definedName>
    <definedName name="__NGd4">#REF!</definedName>
    <definedName name="__NGd5">#REF!</definedName>
    <definedName name="__NGd6">#REF!</definedName>
    <definedName name="__NGd7">#REF!</definedName>
    <definedName name="__NGd8">#REF!</definedName>
    <definedName name="__NGd9">#REF!</definedName>
    <definedName name="__NPa10">#REF!</definedName>
    <definedName name="__NPa2">#REF!</definedName>
    <definedName name="__NPa3">#REF!</definedName>
    <definedName name="__NPa4">#REF!</definedName>
    <definedName name="__NPa5">#REF!</definedName>
    <definedName name="__NPa7">#REF!</definedName>
    <definedName name="__NPa8">#REF!</definedName>
    <definedName name="__NPa9">#REF!</definedName>
    <definedName name="__NSp1">#REF!</definedName>
    <definedName name="__Rev1">#REF!</definedName>
    <definedName name="__Rev2">#REF!</definedName>
    <definedName name="__Rev3">#REF!</definedName>
    <definedName name="__Rev4">#REF!</definedName>
    <definedName name="_1_">#REF!</definedName>
    <definedName name="_2_??깛2_Click" localSheetId="0">[0]!_2_??깛2_Click</definedName>
    <definedName name="_2_??깛2_Click">'1-2'!_2_??깛2_Click</definedName>
    <definedName name="_3_??깛3_Click" localSheetId="0">[0]!_3_??깛3_Click</definedName>
    <definedName name="_3_??깛3_Click">'1-2'!_3_??깛3_Click</definedName>
    <definedName name="_xlnm._FilterDatabase" localSheetId="0" hidden="1">'1-2'!$A$6:$AB$19</definedName>
    <definedName name="_xlnm._FilterDatabase" localSheetId="1" hidden="1">'درصد ارزیری'!$A$2:$I$125</definedName>
    <definedName name="_Key1" hidden="1">#REF!</definedName>
    <definedName name="_max1">#N/A</definedName>
    <definedName name="_min1">#N/A</definedName>
    <definedName name="_NGd1">#REF!</definedName>
    <definedName name="_NGd10">#REF!</definedName>
    <definedName name="_NGd12">#REF!</definedName>
    <definedName name="_NGd13">#REF!</definedName>
    <definedName name="_NGd14">#REF!</definedName>
    <definedName name="_NGd15">#REF!</definedName>
    <definedName name="_NGd2">#REF!</definedName>
    <definedName name="_NGd3">#REF!</definedName>
    <definedName name="_NGd4">#REF!</definedName>
    <definedName name="_NGd5">#REF!</definedName>
    <definedName name="_NGd6">#REF!</definedName>
    <definedName name="_NGd7">#REF!</definedName>
    <definedName name="_NGd8">#REF!</definedName>
    <definedName name="_NGd9">#REF!</definedName>
    <definedName name="_NPa1">#REF!</definedName>
    <definedName name="_NPa10">#REF!</definedName>
    <definedName name="_NPa2">#REF!</definedName>
    <definedName name="_NPa3">#REF!</definedName>
    <definedName name="_NPa4">#REF!</definedName>
    <definedName name="_NPa5">#REF!</definedName>
    <definedName name="_NPa6">#REF!</definedName>
    <definedName name="_NPa7">#REF!</definedName>
    <definedName name="_NPa8">#REF!</definedName>
    <definedName name="_NPa9">#REF!</definedName>
    <definedName name="_NSp1">#REF!</definedName>
    <definedName name="_Order1" hidden="1">255</definedName>
    <definedName name="_Sort" hidden="1">#REF!</definedName>
    <definedName name="A">#REF!</definedName>
    <definedName name="aa">#REF!</definedName>
    <definedName name="AAAAA" localSheetId="0">[0]!AAAAA</definedName>
    <definedName name="AAAAA">'1-2'!AAAAA</definedName>
    <definedName name="aaaaaaaaaa">#REF!</definedName>
    <definedName name="aaaaaaaaaaaaaaaaaaaa">#REF!</definedName>
    <definedName name="aaaaaaaaaaaaaaaaaaaaa">#REF!</definedName>
    <definedName name="ABA">#REF!</definedName>
    <definedName name="ABAtwo">#REF!</definedName>
    <definedName name="abnie95">#REF!</definedName>
    <definedName name="Ac">#REF!</definedName>
    <definedName name="Actwo">#REF!</definedName>
    <definedName name="Adct">#REF!</definedName>
    <definedName name="Adcttwo">#REF!</definedName>
    <definedName name="aF1X">#REF!</definedName>
    <definedName name="AFC" localSheetId="0">[0]!AFC</definedName>
    <definedName name="AFC">'1-2'!AFC</definedName>
    <definedName name="Ah">#REF!</definedName>
    <definedName name="ahan">#REF!</definedName>
    <definedName name="Ahtwo">#REF!</definedName>
    <definedName name="ajor">#REF!</definedName>
    <definedName name="ajornama">#REF!</definedName>
    <definedName name="AllowBU">#REF!</definedName>
    <definedName name="AllowBUfrac">#REF!</definedName>
    <definedName name="AllowBUfracmid">#REF!</definedName>
    <definedName name="Allowbufractwo">#REF!</definedName>
    <definedName name="AllowBUtwo">#REF!</definedName>
    <definedName name="Approvedby">#REF!</definedName>
    <definedName name="ApprovedbyDate">#REF!</definedName>
    <definedName name="Arial">#REF!</definedName>
    <definedName name="asas">#REF!</definedName>
    <definedName name="asda">#REF!</definedName>
    <definedName name="Aslot">#REF!</definedName>
    <definedName name="Aslotmid">#REF!</definedName>
    <definedName name="Aslottwo">#REF!</definedName>
    <definedName name="b">#REF!</definedName>
    <definedName name="Basic_Design">#REF!</definedName>
    <definedName name="bb">#REF!</definedName>
    <definedName name="bolook">#REF!</definedName>
    <definedName name="BookPageNo">#REF!</definedName>
    <definedName name="BU">#REF!</definedName>
    <definedName name="BUfrac">#REF!</definedName>
    <definedName name="BUfractwo">#REF!</definedName>
    <definedName name="BULLET0">#REF!</definedName>
    <definedName name="BULLET1">#REF!</definedName>
    <definedName name="BULLET6">#REF!</definedName>
    <definedName name="BULLET7">#REF!</definedName>
    <definedName name="BUmid">#REF!</definedName>
    <definedName name="BUmidfrac">#REF!</definedName>
    <definedName name="Button3_Click">#REF!</definedName>
    <definedName name="BUtwo">#REF!</definedName>
    <definedName name="BVCBB">#N/A</definedName>
    <definedName name="case1_liq">#REF!</definedName>
    <definedName name="case2_liq">#REF!</definedName>
    <definedName name="case3_liq">#REF!</definedName>
    <definedName name="case4_liq">#REF!</definedName>
    <definedName name="CashflowGraphIndex">#REF!</definedName>
    <definedName name="CashflowGraphList">#REF!</definedName>
    <definedName name="CDBotArea">#REF!</definedName>
    <definedName name="CDClearance">#REF!</definedName>
    <definedName name="CDDetPicRelief">#REF!</definedName>
    <definedName name="CDExitWidth">#REF!</definedName>
    <definedName name="CDInbetweenDC">#REF!</definedName>
    <definedName name="CDIWHeight">#REF!</definedName>
    <definedName name="CDMiddleDC">#REF!</definedName>
    <definedName name="CDNoPasses">#REF!</definedName>
    <definedName name="CDNotches">#REF!</definedName>
    <definedName name="CDPanDepth">#REF!</definedName>
    <definedName name="CDRelief">#REF!</definedName>
    <definedName name="CDSideDC">#REF!</definedName>
    <definedName name="CDTopArea">#REF!</definedName>
    <definedName name="CDType">#REF!</definedName>
    <definedName name="CDWeirHeight">#REF!</definedName>
    <definedName name="cf1x">#REF!</definedName>
    <definedName name="cf1y">#REF!</definedName>
    <definedName name="cf2x">#REF!</definedName>
    <definedName name="cf2y">#REF!</definedName>
    <definedName name="cf3x">#REF!</definedName>
    <definedName name="cf3y">#REF!</definedName>
    <definedName name="cf4x">#REF!</definedName>
    <definedName name="cf4y">#REF!</definedName>
    <definedName name="cf5x">#REF!</definedName>
    <definedName name="cf5y">#REF!</definedName>
    <definedName name="cf6x">#REF!</definedName>
    <definedName name="cf6y">#REF!</definedName>
    <definedName name="cf7x">#REF!</definedName>
    <definedName name="cf7y">#REF!</definedName>
    <definedName name="cf8x">#REF!</definedName>
    <definedName name="cf8y">#REF!</definedName>
    <definedName name="cf9x">#REF!</definedName>
    <definedName name="cf9y">#REF!</definedName>
    <definedName name="Checkedby">#REF!</definedName>
    <definedName name="CheckedbyDate">#REF!</definedName>
    <definedName name="CI_W.F_AFC">#REF!</definedName>
    <definedName name="CI_W.F_AP">#REF!</definedName>
    <definedName name="CI_W.F_Rev.00">#REF!</definedName>
    <definedName name="Co">#REF!</definedName>
    <definedName name="Co.FI_W.F_AFC">#REF!</definedName>
    <definedName name="Co.FI_W.F_APP">#REF!</definedName>
    <definedName name="Co.FI_W.F_Rev.00">#REF!</definedName>
    <definedName name="Co.Ph_W.F_AFC">#REF!</definedName>
    <definedName name="Co.Ph_W.F_APP">#REF!</definedName>
    <definedName name="Co.Ph_W.F_Rev.00">#REF!</definedName>
    <definedName name="Coeff2a">#REF!</definedName>
    <definedName name="Coeff2b">#REF!</definedName>
    <definedName name="Coeff2c">#REF!</definedName>
    <definedName name="Coeff2d">#REF!</definedName>
    <definedName name="Coeff2e">#REF!</definedName>
    <definedName name="Coeff2f">#REF!</definedName>
    <definedName name="Coefficient">2.00019782218787</definedName>
    <definedName name="cold_fouling">#REF!</definedName>
    <definedName name="cold_in">#REF!</definedName>
    <definedName name="cold_name">#REF!</definedName>
    <definedName name="cold_out">#REF!</definedName>
    <definedName name="Column" localSheetId="0">[0]!Column</definedName>
    <definedName name="Column">'1-2'!Column</definedName>
    <definedName name="ColumnLengthUOM">#REF!</definedName>
    <definedName name="ColumnPicture">#REF!</definedName>
    <definedName name="Company_ID">"AZ"</definedName>
    <definedName name="Consignee">#REF!</definedName>
    <definedName name="Contract.Price">597738301655</definedName>
    <definedName name="Contract_Price">597738301655</definedName>
    <definedName name="ContractorJobNo">#REF!</definedName>
    <definedName name="ConventionalSection">#REF!</definedName>
    <definedName name="copy">#REF!</definedName>
    <definedName name="Cotwo">#REF!</definedName>
    <definedName name="COVER">#REF!</definedName>
    <definedName name="Coverpor">#REF!</definedName>
    <definedName name="cr_sv_7__________________________1____3">#REF!</definedName>
    <definedName name="CrossSectionPic2Pass">#REF!</definedName>
    <definedName name="CrossSectionPic4Pass">#REF!</definedName>
    <definedName name="CrossSectionPicture">#REF!</definedName>
    <definedName name="CrossSectionPictureCenter">#REF!</definedName>
    <definedName name="CrossSectionPictureLeft">#REF!</definedName>
    <definedName name="CrossSectionPictureRight">#REF!</definedName>
    <definedName name="CrossSectionPictureRigthCaption">#REF!</definedName>
    <definedName name="CrossSectionPictureSpray">#REF!</definedName>
    <definedName name="CUSTOMER">#REF!</definedName>
    <definedName name="Cw">#REF!</definedName>
    <definedName name="D_Name">"ドロップ 4"</definedName>
    <definedName name="data_file">#REF!</definedName>
    <definedName name="_xlnm.Database">#REF!</definedName>
    <definedName name="Date">#N/A</definedName>
    <definedName name="Date1">#REF!</definedName>
    <definedName name="DATE11">#N/A</definedName>
    <definedName name="Date2">#REF!</definedName>
    <definedName name="Date3">#REF!</definedName>
    <definedName name="Date4">#REF!</definedName>
    <definedName name="Dc">#REF!</definedName>
    <definedName name="DcMtype">#REF!</definedName>
    <definedName name="Dcprop">#REF!</definedName>
    <definedName name="Dcproptwo">#REF!</definedName>
    <definedName name="DCTA">#REF!</definedName>
    <definedName name="Dctwo">#REF!</definedName>
    <definedName name="DCType">#REF!</definedName>
    <definedName name="DcTypetwo">#REF!</definedName>
    <definedName name="DD">#REF!</definedName>
    <definedName name="ded">#REF!</definedName>
    <definedName name="Deduction">#REF!</definedName>
    <definedName name="DeleteDripringWarning">#REF!</definedName>
    <definedName name="Deoiling">#REF!</definedName>
    <definedName name="DesignBookNo">#REF!</definedName>
    <definedName name="DesignTable">#REF!</definedName>
    <definedName name="DesignTable2PassTray">#REF!</definedName>
    <definedName name="DesignTable4PassTray">#REF!</definedName>
    <definedName name="DesignTableDot">#REF!</definedName>
    <definedName name="DesignTableHigher">#REF!</definedName>
    <definedName name="DesignTableLower">#REF!</definedName>
    <definedName name="DesignTableTop">#REF!</definedName>
    <definedName name="Detail_Design">#REF!</definedName>
    <definedName name="DetailPic">#REF!</definedName>
    <definedName name="Dialog2_??깛2_Click" localSheetId="0">[0]!Dialog2_??깛2_Click</definedName>
    <definedName name="Dialog2_??깛2_Click">'1-2'!Dialog2_??깛2_Click</definedName>
    <definedName name="Dialog2_??깛3_Click" localSheetId="0">[0]!Dialog2_??깛3_Click</definedName>
    <definedName name="Dialog2_??깛3_Click">'1-2'!Dialog2_??깛3_Click</definedName>
    <definedName name="doc.num">#REF!</definedName>
    <definedName name="doc.rev">#REF!</definedName>
    <definedName name="DotDetailPictureLeft">#REF!</definedName>
    <definedName name="DotDetailPictureRight">#REF!</definedName>
    <definedName name="DotDetailPictureRightBig">#REF!</definedName>
    <definedName name="DotDetailPictureTrough">#REF!</definedName>
    <definedName name="Dpdry">#REF!</definedName>
    <definedName name="Dpdrymid">#REF!</definedName>
    <definedName name="Dpdrytwo">#REF!</definedName>
    <definedName name="dptraymidmm">#REF!</definedName>
    <definedName name="Dptraymm">#REF!</definedName>
    <definedName name="Dptraymmtwo">#REF!</definedName>
    <definedName name="Dpud">#REF!</definedName>
    <definedName name="Dpudmid">#REF!</definedName>
    <definedName name="Dpudtwo">#REF!</definedName>
    <definedName name="DRS_Header">#REF!</definedName>
    <definedName name="DRS_Title">#REF!</definedName>
    <definedName name="e">#REF!</definedName>
    <definedName name="ed">#REF!</definedName>
    <definedName name="el">#REF!</definedName>
    <definedName name="eltwo">#REF!</definedName>
    <definedName name="EngineeredBy">#REF!</definedName>
    <definedName name="EPC_Chart">#REF!</definedName>
    <definedName name="eqgEWVG">#REF!</definedName>
    <definedName name="Equipment">#REF!</definedName>
    <definedName name="EquipmentNo">#REF!</definedName>
    <definedName name="exec">#REF!</definedName>
    <definedName name="F">#REF!</definedName>
    <definedName name="F10X">#REF!</definedName>
    <definedName name="F10Y">#REF!</definedName>
    <definedName name="F11X">#REF!</definedName>
    <definedName name="F11Y">#REF!</definedName>
    <definedName name="F12X">#REF!</definedName>
    <definedName name="F12Y">#REF!</definedName>
    <definedName name="F13X">#REF!</definedName>
    <definedName name="F13Y">#REF!</definedName>
    <definedName name="F14X">#REF!</definedName>
    <definedName name="F14Y">#REF!</definedName>
    <definedName name="F15X">#REF!</definedName>
    <definedName name="F15Y">#REF!</definedName>
    <definedName name="F16X">#REF!</definedName>
    <definedName name="F16Y">#REF!</definedName>
    <definedName name="F17X">#REF!</definedName>
    <definedName name="F17Y">#REF!</definedName>
    <definedName name="F18X">#REF!</definedName>
    <definedName name="F18Y">#REF!</definedName>
    <definedName name="F19X">#REF!</definedName>
    <definedName name="F19Y">#REF!</definedName>
    <definedName name="F1X">#REF!</definedName>
    <definedName name="F1Y">#REF!</definedName>
    <definedName name="F20X">#REF!</definedName>
    <definedName name="F20Y">#REF!</definedName>
    <definedName name="F21X">#REF!</definedName>
    <definedName name="F21Y">#REF!</definedName>
    <definedName name="F22X">#REF!</definedName>
    <definedName name="F22Y">#REF!</definedName>
    <definedName name="F23X">#REF!</definedName>
    <definedName name="F23Y">#REF!</definedName>
    <definedName name="F2X">#REF!</definedName>
    <definedName name="F2Y">#REF!</definedName>
    <definedName name="F3X">#REF!</definedName>
    <definedName name="F3Y">#REF!</definedName>
    <definedName name="F4X">#REF!</definedName>
    <definedName name="F4Y">#REF!</definedName>
    <definedName name="f5x">#REF!</definedName>
    <definedName name="F5Y">#REF!</definedName>
    <definedName name="F6X">#REF!</definedName>
    <definedName name="F6Y">#REF!</definedName>
    <definedName name="F7X">#REF!</definedName>
    <definedName name="F7Y">#REF!</definedName>
    <definedName name="F8X">#REF!</definedName>
    <definedName name="F8Y">#REF!</definedName>
    <definedName name="f9x">#REF!</definedName>
    <definedName name="F9Y">#REF!</definedName>
    <definedName name="fafa">#REF!</definedName>
    <definedName name="ff1x">#REF!</definedName>
    <definedName name="ff2x">#REF!</definedName>
    <definedName name="ff3x">#REF!</definedName>
    <definedName name="fff">#REF!</definedName>
    <definedName name="fff1x">#REF!</definedName>
    <definedName name="fff2x">#REF!</definedName>
    <definedName name="fff3x">#REF!</definedName>
    <definedName name="fff4x">#REF!</definedName>
    <definedName name="fff5x">#REF!</definedName>
    <definedName name="fff6x">#REF!</definedName>
    <definedName name="fff7x">#REF!</definedName>
    <definedName name="fff8x">#REF!</definedName>
    <definedName name="fff9x">#REF!</definedName>
    <definedName name="filename">#REF!</definedName>
    <definedName name="Form_code">#REF!</definedName>
    <definedName name="fsoj">#REF!</definedName>
    <definedName name="GdConstriction">#REF!</definedName>
    <definedName name="GdDischargeType">#REF!</definedName>
    <definedName name="GdDist">#REF!</definedName>
    <definedName name="GdDistDrainHole">#REF!</definedName>
    <definedName name="GdDistFunnels">#REF!</definedName>
    <definedName name="GdDistHead">#REF!</definedName>
    <definedName name="GdDistHeadMin">#REF!</definedName>
    <definedName name="GdDistText1">#REF!</definedName>
    <definedName name="GdDistTol">#REF!</definedName>
    <definedName name="GdDistType">#REF!</definedName>
    <definedName name="GdDrip">#REF!</definedName>
    <definedName name="GdDripDiam">#REF!</definedName>
    <definedName name="GdDripHHole">#REF!</definedName>
    <definedName name="GdDripHHoleD">#REF!</definedName>
    <definedName name="GdDripHHoleH">#REF!</definedName>
    <definedName name="GdDripHoleD">#REF!</definedName>
    <definedName name="GdDripLHoleD">#REF!</definedName>
    <definedName name="GdDripLHoleH">#REF!</definedName>
    <definedName name="GdDripPointDens">#REF!</definedName>
    <definedName name="GdDripSH">#REF!</definedName>
    <definedName name="GdDripStrainer">#REF!</definedName>
    <definedName name="GdDripSW">#REF!</definedName>
    <definedName name="GdDripTopNH">#REF!</definedName>
    <definedName name="GdDripTopNW">#REF!</definedName>
    <definedName name="GdDripTubeHA">#REF!</definedName>
    <definedName name="GdDripTubeHB">#REF!</definedName>
    <definedName name="GdGuidepipes">#REF!</definedName>
    <definedName name="GdGuidepipesDia">#REF!</definedName>
    <definedName name="GdGuidepipesYN">#REF!</definedName>
    <definedName name="GdHeaderD">#REF!</definedName>
    <definedName name="GdHeaderSD">#REF!</definedName>
    <definedName name="GdLiqRate">#REF!</definedName>
    <definedName name="GdMaxLiqRate">#REF!</definedName>
    <definedName name="GdMinLiqRate">#REF!</definedName>
    <definedName name="GdPackingNo">#REF!</definedName>
    <definedName name="GdPerfType">#REF!</definedName>
    <definedName name="GdPredist">#REF!</definedName>
    <definedName name="GdPredistTesting">#REF!</definedName>
    <definedName name="GdPredistType">#REF!</definedName>
    <definedName name="GdSurfTens">#REF!</definedName>
    <definedName name="GdText1">#REF!</definedName>
    <definedName name="GdVisc">#REF!</definedName>
    <definedName name="General">#REF!</definedName>
    <definedName name="Generale">#REF!</definedName>
    <definedName name="ggh">#REF!</definedName>
    <definedName name="h">#REF!</definedName>
    <definedName name="H2O_air">#REF!</definedName>
    <definedName name="haml">#REF!</definedName>
    <definedName name="Hdcb">#REF!</definedName>
    <definedName name="Hdcbtwo">#REF!</definedName>
    <definedName name="Hdcc">#REF!</definedName>
    <definedName name="Hdccmid">#REF!</definedName>
    <definedName name="Hdcctwo">#REF!</definedName>
    <definedName name="HDct">#REF!</definedName>
    <definedName name="Hdcttwo">#REF!</definedName>
    <definedName name="HeaderObj">#REF!</definedName>
    <definedName name="hh">#REF!</definedName>
    <definedName name="Hl">#REF!</definedName>
    <definedName name="Hlmid">#REF!</definedName>
    <definedName name="Hltwo">#REF!</definedName>
    <definedName name="hot_fouling">#REF!</definedName>
    <definedName name="hot_in">#REF!</definedName>
    <definedName name="hot_name">#REF!</definedName>
    <definedName name="hot_out">#REF!</definedName>
    <definedName name="How">#REF!</definedName>
    <definedName name="Howmid">#REF!</definedName>
    <definedName name="Howtwo">#REF!</definedName>
    <definedName name="Hsub">#REF!</definedName>
    <definedName name="Hsubmid">#REF!</definedName>
    <definedName name="Hsubtwo">#REF!</definedName>
    <definedName name="HTML_LineBefore" hidden="1">FALSE</definedName>
    <definedName name="HTML_Name" hidden="1">"Project"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"جدول پيشرفت پروژه دشت آزادگان"</definedName>
    <definedName name="Hw">#REF!</definedName>
    <definedName name="Hwmid">#REF!</definedName>
    <definedName name="Hwtwo">#REF!</definedName>
    <definedName name="HXnumber">#REF!</definedName>
    <definedName name="Incoterms">#REF!</definedName>
    <definedName name="InDevType">#REF!</definedName>
    <definedName name="InDevTypetwo">#REF!</definedName>
    <definedName name="Indirect">#REF!</definedName>
    <definedName name="Inifile">#REF!</definedName>
    <definedName name="Inlet_liquid_velocity">#REF!</definedName>
    <definedName name="Inlet_liquid_velocitytwo">#REF!</definedName>
    <definedName name="Inv.Proc.Forgn">#REF!</definedName>
    <definedName name="Inv.Proc.Loc">#REF!</definedName>
    <definedName name="ItemType">#REF!</definedName>
    <definedName name="jkjk">#REF!</definedName>
    <definedName name="JOB">#REF!</definedName>
    <definedName name="kambiz">#REF!</definedName>
    <definedName name="KJKKK">#REF!</definedName>
    <definedName name="LambdaBA">#REF!</definedName>
    <definedName name="LambdaBAmax">#REF!</definedName>
    <definedName name="lambdabamaxtwo">#REF!</definedName>
    <definedName name="LambdaBAtwo">#REF!</definedName>
    <definedName name="lambdaHdes">#REF!</definedName>
    <definedName name="lambdaHdestwo">#REF!</definedName>
    <definedName name="lambdahseal">#REF!</definedName>
    <definedName name="lambdahstab">#REF!</definedName>
    <definedName name="lambdaHweep">#REF!</definedName>
    <definedName name="LastRow">#REF!</definedName>
    <definedName name="LAYOUT">#REF!</definedName>
    <definedName name="Ldcb">#REF!</definedName>
    <definedName name="Ldcbtwo">#REF!</definedName>
    <definedName name="Lfp">#REF!</definedName>
    <definedName name="Lfptwo">#REF!</definedName>
    <definedName name="LiqProps">#REF!</definedName>
    <definedName name="LJ">#REF!</definedName>
    <definedName name="ll">#REF!</definedName>
    <definedName name="location">#REF!</definedName>
    <definedName name="Lw">#REF!</definedName>
    <definedName name="Lwtwo">#REF!</definedName>
    <definedName name="Macro1">#REF!</definedName>
    <definedName name="MadeBy">#REF!</definedName>
    <definedName name="MadebyDate">#REF!</definedName>
    <definedName name="Management">#REF!</definedName>
    <definedName name="MasterApprovedBy">#REF!</definedName>
    <definedName name="MasterApprovedByDate">#REF!</definedName>
    <definedName name="MasterBookPageNo">#REF!</definedName>
    <definedName name="MasterCheckedBy">#REF!</definedName>
    <definedName name="MasterCheckedByDate">#REF!</definedName>
    <definedName name="MasterConsignee">#REF!</definedName>
    <definedName name="MasterContractorJobNo">#REF!</definedName>
    <definedName name="MasterDate1">#REF!</definedName>
    <definedName name="MasterDate2">#REF!</definedName>
    <definedName name="MasterDate3">#REF!</definedName>
    <definedName name="MasterDate4">#REF!</definedName>
    <definedName name="MasterDesignBookNo">#REF!</definedName>
    <definedName name="MasterEngineeredBy">#REF!</definedName>
    <definedName name="MasterEquipment">#REF!</definedName>
    <definedName name="MasterEquipmentNo">#REF!</definedName>
    <definedName name="MasterMadeBy">#REF!</definedName>
    <definedName name="MasterMadeByDate">#REF!</definedName>
    <definedName name="MasterMESCNo">#REF!</definedName>
    <definedName name="MasterPlant">#REF!</definedName>
    <definedName name="MasterPrincipal">#REF!</definedName>
    <definedName name="MasterRequisitionNo">#REF!</definedName>
    <definedName name="MasterRev1">#REF!</definedName>
    <definedName name="MasterRev2">#REF!</definedName>
    <definedName name="MasterRev3">#REF!</definedName>
    <definedName name="MasterRev4">#REF!</definedName>
    <definedName name="MasterSign1">#REF!</definedName>
    <definedName name="MasterSign2">#REF!</definedName>
    <definedName name="MasterSign3">#REF!</definedName>
    <definedName name="MasterSign4">#REF!</definedName>
    <definedName name="Material">#REF!</definedName>
    <definedName name="Max">#N/A</definedName>
    <definedName name="MESCNo">#REF!</definedName>
    <definedName name="MESSAGE1">#REF!</definedName>
    <definedName name="MidWeirLoad">#REF!</definedName>
    <definedName name="Min">#N/A</definedName>
    <definedName name="mine">#N/A</definedName>
    <definedName name="Mirash_W.F">1-0.748656135909149</definedName>
    <definedName name="Ml">#REF!</definedName>
    <definedName name="mm">#REF!</definedName>
    <definedName name="mmm">#REF!</definedName>
    <definedName name="mnm">#REF!</definedName>
    <definedName name="Module1.Record1" localSheetId="0">[0]!Module1.Record1</definedName>
    <definedName name="Module1.Record1">'1-2'!Module1.Record1</definedName>
    <definedName name="Momentum_inlet_vapour">#REF!</definedName>
    <definedName name="Momentum_inlet_vapourtwo">#REF!</definedName>
    <definedName name="Mv">#REF!</definedName>
    <definedName name="MWC">#REF!</definedName>
    <definedName name="MWH">#REF!</definedName>
    <definedName name="MWN">#REF!</definedName>
    <definedName name="MWO">#REF!</definedName>
    <definedName name="MWS">#REF!</definedName>
    <definedName name="MYPRINT">#REF!</definedName>
    <definedName name="NAME">#REF!</definedName>
    <definedName name="NGd11A">#REF!</definedName>
    <definedName name="NGd11B">#REF!</definedName>
    <definedName name="NGd11D">#REF!</definedName>
    <definedName name="nn">#REF!</definedName>
    <definedName name="NoFigureDesignTable">#REF!</definedName>
    <definedName name="NoFigureNoteTable">#REF!</definedName>
    <definedName name="NoteTable">#REF!</definedName>
    <definedName name="NoteTable2Pass">#REF!</definedName>
    <definedName name="NoteTable4Pass">#REF!</definedName>
    <definedName name="NoteTableDot">#REF!</definedName>
    <definedName name="NoteTableHigher">#REF!</definedName>
    <definedName name="NoteTableLower">#REF!</definedName>
    <definedName name="NoteTableTop">#REF!</definedName>
    <definedName name="NSpray1">#REF!</definedName>
    <definedName name="NSpray10">#REF!</definedName>
    <definedName name="NSpray11">#REF!</definedName>
    <definedName name="NSpray12">#REF!</definedName>
    <definedName name="NSpray2">#REF!</definedName>
    <definedName name="NSpray3">#REF!</definedName>
    <definedName name="NSpray4">#REF!</definedName>
    <definedName name="NSpray5">#REF!</definedName>
    <definedName name="NSpray6">#REF!</definedName>
    <definedName name="NSpray7">#REF!</definedName>
    <definedName name="NSpray8">#REF!</definedName>
    <definedName name="NSpray9">#REF!</definedName>
    <definedName name="O2air">#N/A</definedName>
    <definedName name="of">#REF!</definedName>
    <definedName name="oo">#REF!</definedName>
    <definedName name="over2">#REF!</definedName>
    <definedName name="OverallProps">#REF!</definedName>
    <definedName name="OverhHead">#REF!</definedName>
    <definedName name="ovprop">#REF!</definedName>
    <definedName name="Ow">#REF!</definedName>
    <definedName name="p">#REF!</definedName>
    <definedName name="P_chart">#REF!</definedName>
    <definedName name="PAGE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ina_10">#REF!</definedName>
    <definedName name="pagina_11">#REF!</definedName>
    <definedName name="pagina_12">#REF!</definedName>
    <definedName name="pagina_13">#REF!</definedName>
    <definedName name="pagina_14">#REF!</definedName>
    <definedName name="pagina_15">#REF!</definedName>
    <definedName name="pagina_16">#REF!</definedName>
    <definedName name="pagina_17">#REF!</definedName>
    <definedName name="pagina_5">#REF!</definedName>
    <definedName name="pagina_6">#REF!</definedName>
    <definedName name="pagina_7">#REF!</definedName>
    <definedName name="pagina_8">#REF!</definedName>
    <definedName name="pagina_9">#REF!</definedName>
    <definedName name="Panpower">#REF!</definedName>
    <definedName name="PaymentMethod">#REF!</definedName>
    <definedName name="percent_to_SO4">#REF!</definedName>
    <definedName name="Pfl">#REF!</definedName>
    <definedName name="phi">#REF!</definedName>
    <definedName name="PkColumnID">#REF!</definedName>
    <definedName name="PkHeight">#REF!</definedName>
    <definedName name="PkMaterial">#REF!</definedName>
    <definedName name="PkSheetTh">#REF!</definedName>
    <definedName name="PkSize">#REF!</definedName>
    <definedName name="PkType">#REF!</definedName>
    <definedName name="Plant">#REF!</definedName>
    <definedName name="plant_long">#REF!</definedName>
    <definedName name="PLANTLOC">#REF!</definedName>
    <definedName name="po">#REF!</definedName>
    <definedName name="Polishing">#REF!</definedName>
    <definedName name="pooke">#REF!</definedName>
    <definedName name="PosPhases">#REF!</definedName>
    <definedName name="Potable">#REF!</definedName>
    <definedName name="pp">#REF!</definedName>
    <definedName name="PPP">#REF!</definedName>
    <definedName name="pppp">#REF!</definedName>
    <definedName name="PRINAREA">#REF!</definedName>
    <definedName name="Principal">#REF!</definedName>
    <definedName name="_xlnm.Print_Area" localSheetId="0">'1-2'!$B$3:$X$19</definedName>
    <definedName name="Print_Area_MI">#REF!</definedName>
    <definedName name="_xlnm.Print_Titles" localSheetId="0">'1-2'!$3:$6</definedName>
    <definedName name="_xlnm.Print_Titles" localSheetId="1">'درصد ارزیری'!$1:$2</definedName>
    <definedName name="PrintArea">#REF!</definedName>
    <definedName name="PrintRange">#REF!</definedName>
    <definedName name="PRJDESC">#REF!</definedName>
    <definedName name="Procurement_Engineering">#REF!</definedName>
    <definedName name="Profit">#REF!</definedName>
    <definedName name="PROFIT2">#REF!</definedName>
    <definedName name="ProgressGraphs">#REF!</definedName>
    <definedName name="PROJCOST">#REF!</definedName>
    <definedName name="Project_Code">180</definedName>
    <definedName name="PV" localSheetId="0">[0]!PV</definedName>
    <definedName name="PV">'1-2'!PV</definedName>
    <definedName name="Qlmax">#REF!</definedName>
    <definedName name="qq">#REF!</definedName>
    <definedName name="Qstar">#REF!</definedName>
    <definedName name="Reactor" localSheetId="0">[0]!Reactor</definedName>
    <definedName name="Reactor">'1-2'!Reactor</definedName>
    <definedName name="Record1" localSheetId="0">[0]!Record1</definedName>
    <definedName name="Record1">'1-2'!Record1</definedName>
    <definedName name="RequisitionNo">#REF!</definedName>
    <definedName name="Rev.">#REF!</definedName>
    <definedName name="Rev.1">#REF!</definedName>
    <definedName name="rhol">#REF!</definedName>
    <definedName name="rhov">#REF!</definedName>
    <definedName name="S">#REF!</definedName>
    <definedName name="schaltfläche32_BeiKlick">#REF!</definedName>
    <definedName name="SCRUBBER">#N/A</definedName>
    <definedName name="SD">#REF!</definedName>
    <definedName name="Section">#REF!</definedName>
    <definedName name="SectionHeight">#REF!</definedName>
    <definedName name="Sheet_01">#REF!</definedName>
    <definedName name="Sheet_02">#REF!</definedName>
    <definedName name="Sheet_03">#REF!</definedName>
    <definedName name="Sheet_04">#REF!</definedName>
    <definedName name="Sheet_05">#REF!</definedName>
    <definedName name="Sheet_06">#REF!</definedName>
    <definedName name="SheetNoContd">#REF!</definedName>
    <definedName name="SheetNumber">#REF!</definedName>
    <definedName name="SheetNumberNext">#REF!</definedName>
    <definedName name="shen">#REF!</definedName>
    <definedName name="Sign1">#REF!</definedName>
    <definedName name="Sign2">#REF!</definedName>
    <definedName name="Sign3">#REF!</definedName>
    <definedName name="Sign4">#REF!</definedName>
    <definedName name="siman">#REF!</definedName>
    <definedName name="SmallPictureLeft">#REF!</definedName>
    <definedName name="SmallPictureLeftDown">#REF!</definedName>
    <definedName name="SmallPictureRight">#REF!</definedName>
    <definedName name="solved">#REF!</definedName>
    <definedName name="SPC.">#REF!</definedName>
    <definedName name="SpDistBranch">#REF!</definedName>
    <definedName name="SpDistWet">#REF!</definedName>
    <definedName name="SpecDEBUT">#REF!</definedName>
    <definedName name="SpecFIN">#REF!</definedName>
    <definedName name="SpFreeH">#REF!</definedName>
    <definedName name="SPHE" localSheetId="0">[0]!SPHE</definedName>
    <definedName name="SPHE">'1-2'!SPHE</definedName>
    <definedName name="SpNAngle">#REF!</definedName>
    <definedName name="SpNDistData">#REF!</definedName>
    <definedName name="SpNLiqDens">#REF!</definedName>
    <definedName name="SpNLiqRate">#REF!</definedName>
    <definedName name="SpNLiqTemp">#REF!</definedName>
    <definedName name="SpNMaxLiqRate">#REF!</definedName>
    <definedName name="SpNMinLiqRate">#REF!</definedName>
    <definedName name="SpNMinP">#REF!</definedName>
    <definedName name="SpNoBranch">#REF!</definedName>
    <definedName name="SpNoNozzles">#REF!</definedName>
    <definedName name="SpNoNozzlesWarn">#REF!</definedName>
    <definedName name="SpNOrient">#REF!</definedName>
    <definedName name="SpNozzleD">#REF!</definedName>
    <definedName name="SpNozzleDist">#REF!</definedName>
    <definedName name="SpNozzTyp">#REF!</definedName>
    <definedName name="SpNozzVendor">#REF!</definedName>
    <definedName name="SpNProcData">#REF!</definedName>
    <definedName name="SpNZonePress">#REF!</definedName>
    <definedName name="SprayIDColumn">#REF!</definedName>
    <definedName name="SpStNozzleD">#REF!</definedName>
    <definedName name="STHE" localSheetId="0">[0]!STHE</definedName>
    <definedName name="STHE">'1-2'!STHE</definedName>
    <definedName name="Supervisory">#REF!</definedName>
    <definedName name="TASK">#REF!</definedName>
    <definedName name="TASKPRED">#REF!</definedName>
    <definedName name="TASKRSRC">#REF!</definedName>
    <definedName name="TD">#REF!</definedName>
    <definedName name="TDtwo">#REF!</definedName>
    <definedName name="Temp.Facility">#REF!</definedName>
    <definedName name="TEMP.FACILITY2">#REF!</definedName>
    <definedName name="TEMP.FACILITY3">#REF!</definedName>
    <definedName name="TempC">#REF!</definedName>
    <definedName name="tfggg">#REF!</definedName>
    <definedName name="Total">#REF!</definedName>
    <definedName name="Total.Price">41652928829</definedName>
    <definedName name="Total_Contract">15000000000</definedName>
    <definedName name="Total_Contrcat">15000000000</definedName>
    <definedName name="Total_Income">597738301655*0.03*0.4*0.95</definedName>
    <definedName name="Total_Price">597738301655</definedName>
    <definedName name="TS">#REF!</definedName>
    <definedName name="TStwo">#REF!</definedName>
    <definedName name="TTRANS">#REF!</definedName>
    <definedName name="Udctmax">#REF!</definedName>
    <definedName name="Udctmaxtwo">#REF!</definedName>
    <definedName name="UNIT">#REF!</definedName>
    <definedName name="UNIT_1000">#REF!</definedName>
    <definedName name="UNIT_1200">#REF!</definedName>
    <definedName name="UNIT_1300">#REF!</definedName>
    <definedName name="UNIT_1600">#REF!</definedName>
    <definedName name="UNIT_200">#REF!</definedName>
    <definedName name="UNIT_250">#REF!</definedName>
    <definedName name="UNIT_300">#REF!</definedName>
    <definedName name="UNIT_400">#REF!</definedName>
    <definedName name="UNIT_500">#REF!</definedName>
    <definedName name="UNIT_600">#REF!</definedName>
    <definedName name="UNIT_800">#REF!</definedName>
    <definedName name="UNIT_900">#REF!</definedName>
    <definedName name="Units">OFFSET(#REF!,0,0,COUNTA(#REF!)-1,1)</definedName>
    <definedName name="USERDATA">#REF!</definedName>
    <definedName name="Uslot">#REF!</definedName>
    <definedName name="Uslotmid">#REF!</definedName>
    <definedName name="Uslottwo">#REF!</definedName>
    <definedName name="uu">#REF!</definedName>
    <definedName name="VapourProps">#REF!</definedName>
    <definedName name="velratio">#REF!</definedName>
    <definedName name="velratiotwo">#REF!</definedName>
    <definedName name="vv">#REF!</definedName>
    <definedName name="WarningPosition">#REF!</definedName>
    <definedName name="we">#REF!</definedName>
    <definedName name="wee">#REF!</definedName>
    <definedName name="WeirLoad">#REF!</definedName>
    <definedName name="WeirLoadtwo">#REF!</definedName>
    <definedName name="WelcomeBorder">#REF!,#REF!,#REF!,#REF!</definedName>
    <definedName name="ww">#REF!</definedName>
    <definedName name="ZDGASDRTGAERYAERYERA">#REF!</definedName>
    <definedName name="Zolal_W.F">0.748656135909149</definedName>
    <definedName name="zxcgaz">#REF!</definedName>
    <definedName name="زون1">#REF!</definedName>
    <definedName name="ضصضصضصضصصصضصضص">#REF!</definedName>
    <definedName name="ف10">#REF!</definedName>
    <definedName name="فعال">#REF!</definedName>
    <definedName name="ی41">#REF!</definedName>
    <definedName name="긄긢귻긞긣12" localSheetId="0">[0]!긄긢귻긞긣12</definedName>
    <definedName name="긄긢귻긞긣12">'1-2'!긄긢귻긞긣12</definedName>
    <definedName name="긄긢귻긞긣13" localSheetId="0">[0]!긄긢귻긞긣13</definedName>
    <definedName name="긄긢귻긞긣13">'1-2'!긄긢귻긞긣13</definedName>
    <definedName name="긄긢귻긞긣14" localSheetId="0">[0]!긄긢귻긞긣14</definedName>
    <definedName name="긄긢귻긞긣14">'1-2'!긄긢귻긞긣14</definedName>
    <definedName name="긄긢귻긞긣15" localSheetId="0">[0]!긄긢귻긞긣15</definedName>
    <definedName name="긄긢귻긞긣15">'1-2'!긄긢귻긞긣15</definedName>
    <definedName name="긄긢귻긞긣16" localSheetId="0">[0]!긄긢귻긞긣16</definedName>
    <definedName name="긄긢귻긞긣16">'1-2'!긄긢귻긞긣16</definedName>
    <definedName name="긄긢귻긞긣17" localSheetId="0">[0]!긄긢귻긞긣17</definedName>
    <definedName name="긄긢귻긞긣17">'1-2'!긄긢귻긞긣17</definedName>
    <definedName name="긄긢귻긞긣19" localSheetId="0">[0]!긄긢귻긞긣19</definedName>
    <definedName name="긄긢귻긞긣19">'1-2'!긄긢귻긞긣19</definedName>
    <definedName name="긄긢귻긞긣20" localSheetId="0">[0]!긄긢귻긞긣20</definedName>
    <definedName name="긄긢귻긞긣20">'1-2'!긄긢귻긞긣20</definedName>
    <definedName name="긄긢귻긞긣30" localSheetId="0">[0]!긄긢귻긞긣30</definedName>
    <definedName name="긄긢귻긞긣30">'1-2'!긄긢귻긞긣30</definedName>
    <definedName name="긄긢귻긞긣31" localSheetId="0">[0]!긄긢귻긞긣31</definedName>
    <definedName name="긄긢귻긞긣31">'1-2'!긄긢귻긞긣31</definedName>
    <definedName name="긄긢귻긞긣32" localSheetId="0">[0]!긄긢귻긞긣32</definedName>
    <definedName name="긄긢귻긞긣32">'1-2'!긄긢귻긞긣32</definedName>
    <definedName name="긄긢귻긞긣33" localSheetId="0">[0]!긄긢귻긞긣33</definedName>
    <definedName name="긄긢귻긞긣33">'1-2'!긄긢귻긞긣33</definedName>
    <definedName name="긄긢귻긞긣36" localSheetId="0">[0]!긄긢귻긞긣36</definedName>
    <definedName name="긄긢귻긞긣36">'1-2'!긄긢귻긞긣36</definedName>
    <definedName name="긆긵긘깈깛8_Click" localSheetId="0">[0]!긆긵긘깈깛8_Click</definedName>
    <definedName name="긆긵긘깈깛8_Click">'1-2'!긆긵긘깈깛8_Click</definedName>
    <definedName name="긆긵긘깈깛9_Click" localSheetId="0">[0]!긆긵긘깈깛9_Click</definedName>
    <definedName name="긆긵긘깈깛9_Click">'1-2'!긆긵긘깈깛9_Click</definedName>
    <definedName name="긤깓긞긵11_Change" localSheetId="0">[0]!긤깓긞긵11_Change</definedName>
    <definedName name="긤깓긞긵11_Change">'1-2'!긤깓긞긵11_Change</definedName>
    <definedName name="긤깓긞긵29_Change" localSheetId="0">[0]!긤깓긞긵29_Change</definedName>
    <definedName name="긤깓긞긵29_Change">'1-2'!긤깓긞긵29_Change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6" i="2" l="1"/>
  <c r="M117" i="2"/>
  <c r="M118" i="2"/>
  <c r="M119" i="2"/>
  <c r="M120" i="2"/>
  <c r="M121" i="2"/>
  <c r="M122" i="2"/>
  <c r="M123" i="2"/>
  <c r="M124" i="2"/>
  <c r="M125" i="2"/>
  <c r="L20" i="2" a="1"/>
  <c r="L20" i="2" s="1"/>
  <c r="N20" i="2" s="1"/>
  <c r="L19" i="2" a="1"/>
  <c r="L19" i="2" s="1"/>
  <c r="N19" i="2" s="1"/>
  <c r="L18" i="2" a="1"/>
  <c r="L18" i="2" s="1"/>
  <c r="N18" i="2" s="1"/>
  <c r="L17" i="2" a="1"/>
  <c r="L17" i="2" s="1"/>
  <c r="N17" i="2" s="1"/>
  <c r="L16" i="2" a="1"/>
  <c r="L16" i="2" s="1"/>
  <c r="N16" i="2" s="1"/>
  <c r="L15" i="2" a="1"/>
  <c r="L15" i="2" s="1"/>
  <c r="N15" i="2" s="1"/>
  <c r="L14" i="2" a="1"/>
  <c r="L14" i="2" s="1"/>
  <c r="N14" i="2" s="1"/>
  <c r="L13" i="2" a="1"/>
  <c r="L13" i="2" s="1"/>
  <c r="N13" i="2" s="1"/>
  <c r="L12" i="2" a="1"/>
  <c r="L12" i="2" s="1"/>
  <c r="N12" i="2" s="1"/>
  <c r="L11" i="2" a="1"/>
  <c r="L11" i="2" s="1"/>
  <c r="N11" i="2" s="1"/>
  <c r="L10" i="2" a="1"/>
  <c r="L10" i="2" s="1"/>
  <c r="N10" i="2" s="1"/>
  <c r="L9" i="2" a="1"/>
  <c r="L9" i="2" s="1"/>
  <c r="N9" i="2" s="1"/>
  <c r="L8" i="2" a="1"/>
  <c r="L8" i="2" s="1"/>
  <c r="N8" i="2" s="1"/>
  <c r="L7" i="2" a="1"/>
  <c r="L7" i="2" s="1"/>
  <c r="N7" i="2" s="1"/>
  <c r="L6" i="2" a="1"/>
  <c r="L6" i="2" s="1"/>
  <c r="L5" i="2" a="1"/>
  <c r="L5" i="2" s="1"/>
  <c r="N5" i="2" s="1"/>
  <c r="L4" i="2" a="1"/>
  <c r="L4" i="2" s="1"/>
  <c r="L3" i="2" a="1"/>
  <c r="L3" i="2" s="1"/>
  <c r="J20" i="2" a="1"/>
  <c r="J20" i="2" s="1"/>
  <c r="J13" i="2" a="1"/>
  <c r="J13" i="2" s="1"/>
  <c r="J12" i="2" a="1"/>
  <c r="J12" i="2" s="1"/>
  <c r="J11" i="2" a="1"/>
  <c r="J11" i="2" s="1"/>
  <c r="J10" i="2" a="1"/>
  <c r="J10" i="2" s="1"/>
  <c r="J4" i="2" a="1"/>
  <c r="J4" i="2" s="1"/>
  <c r="J3" i="2" a="1"/>
  <c r="J3" i="2" s="1"/>
  <c r="Q2" i="2" a="1"/>
  <c r="Q2" i="2" s="1"/>
  <c r="R2" i="2" a="1"/>
  <c r="R2" i="2" s="1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U19" i="1"/>
  <c r="V19" i="1" s="1"/>
  <c r="P19" i="1" a="1"/>
  <c r="P19" i="1"/>
  <c r="X19" i="1" s="1"/>
  <c r="J19" i="1" a="1"/>
  <c r="J19" i="1"/>
  <c r="U18" i="1"/>
  <c r="V18" i="1" s="1"/>
  <c r="P18" i="1" a="1"/>
  <c r="P18" i="1"/>
  <c r="X18" i="1" s="1"/>
  <c r="J18" i="1" a="1"/>
  <c r="J18" i="1"/>
  <c r="R18" i="1" s="1"/>
  <c r="U17" i="1"/>
  <c r="V17" i="1" s="1"/>
  <c r="P17" i="1" a="1"/>
  <c r="P17" i="1"/>
  <c r="X17" i="1" s="1"/>
  <c r="J17" i="1" a="1"/>
  <c r="J17" i="1"/>
  <c r="R17" i="1" s="1"/>
  <c r="I17" i="1"/>
  <c r="U16" i="1"/>
  <c r="V16" i="1" s="1"/>
  <c r="P16" i="1" a="1"/>
  <c r="P16" i="1"/>
  <c r="X16" i="1" s="1"/>
  <c r="J16" i="1" a="1"/>
  <c r="J16" i="1"/>
  <c r="R16" i="1" s="1"/>
  <c r="I16" i="1"/>
  <c r="U15" i="1"/>
  <c r="V15" i="1" s="1"/>
  <c r="P15" i="1" a="1"/>
  <c r="P15" i="1"/>
  <c r="X15" i="1" s="1"/>
  <c r="J15" i="1" a="1"/>
  <c r="J15" i="1"/>
  <c r="R15" i="1" s="1"/>
  <c r="I15" i="1"/>
  <c r="U14" i="1"/>
  <c r="V14" i="1" s="1"/>
  <c r="R14" i="1"/>
  <c r="P14" i="1" a="1"/>
  <c r="P14" i="1"/>
  <c r="X14" i="1" s="1"/>
  <c r="I14" i="1"/>
  <c r="U13" i="1"/>
  <c r="V13" i="1" s="1"/>
  <c r="P13" i="1" a="1"/>
  <c r="P13" i="1"/>
  <c r="X13" i="1" s="1"/>
  <c r="J13" i="1" a="1"/>
  <c r="J13" i="1"/>
  <c r="R13" i="1" s="1"/>
  <c r="I13" i="1"/>
  <c r="U12" i="1"/>
  <c r="V12" i="1" s="1"/>
  <c r="P12" i="1" a="1"/>
  <c r="P12" i="1"/>
  <c r="X12" i="1" s="1"/>
  <c r="J12" i="1" a="1"/>
  <c r="J12" i="1"/>
  <c r="R12" i="1" s="1"/>
  <c r="I12" i="1"/>
  <c r="U11" i="1"/>
  <c r="V11" i="1" s="1"/>
  <c r="P11" i="1" a="1"/>
  <c r="P11" i="1"/>
  <c r="X11" i="1" s="1"/>
  <c r="J11" i="1" a="1"/>
  <c r="J11" i="1"/>
  <c r="R11" i="1" s="1"/>
  <c r="I11" i="1"/>
  <c r="U10" i="1"/>
  <c r="V10" i="1" s="1"/>
  <c r="P10" i="1" a="1"/>
  <c r="P10" i="1"/>
  <c r="X10" i="1" s="1"/>
  <c r="J10" i="1" a="1"/>
  <c r="J10" i="1"/>
  <c r="R10" i="1" s="1"/>
  <c r="I10" i="1"/>
  <c r="U9" i="1"/>
  <c r="V9" i="1" s="1"/>
  <c r="P9" i="1" a="1"/>
  <c r="P9" i="1"/>
  <c r="X9" i="1" s="1"/>
  <c r="J9" i="1" a="1"/>
  <c r="J9" i="1"/>
  <c r="R9" i="1" s="1"/>
  <c r="I9" i="1"/>
  <c r="U8" i="1"/>
  <c r="V8" i="1" s="1"/>
  <c r="P8" i="1" a="1"/>
  <c r="P8" i="1"/>
  <c r="X8" i="1" s="1"/>
  <c r="J8" i="1" a="1"/>
  <c r="J8" i="1"/>
  <c r="R8" i="1" s="1"/>
  <c r="I8" i="1"/>
  <c r="U7" i="1"/>
  <c r="V7" i="1" s="1"/>
  <c r="P7" i="1" a="1"/>
  <c r="P7" i="1"/>
  <c r="X7" i="1" s="1"/>
  <c r="J7" i="1" a="1"/>
  <c r="J7" i="1"/>
  <c r="R7" i="1" s="1"/>
  <c r="H2" i="1" a="1"/>
  <c r="H2" i="1"/>
  <c r="N4" i="2" l="1"/>
  <c r="N3" i="2"/>
  <c r="N6" i="2"/>
  <c r="F20" i="2" a="1"/>
  <c r="F20" i="2" s="1"/>
  <c r="J17" i="2" a="1"/>
  <c r="J17" i="2" s="1"/>
  <c r="J18" i="2" a="1"/>
  <c r="J18" i="2" s="1"/>
  <c r="J19" i="2" a="1"/>
  <c r="J19" i="2" s="1"/>
  <c r="J5" i="2" a="1"/>
  <c r="J5" i="2" s="1"/>
  <c r="J6" i="2" a="1"/>
  <c r="J6" i="2" s="1"/>
  <c r="J7" i="2" a="1"/>
  <c r="J7" i="2" s="1"/>
  <c r="J9" i="2" a="1"/>
  <c r="J9" i="2" s="1"/>
  <c r="F4" i="2" a="1"/>
  <c r="F4" i="2" s="1"/>
  <c r="F3" i="2" a="1"/>
  <c r="F3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J14" i="2" a="1"/>
  <c r="J14" i="2" s="1"/>
  <c r="J15" i="2" a="1"/>
  <c r="J15" i="2" s="1"/>
  <c r="J16" i="2" a="1"/>
  <c r="J16" i="2" s="1"/>
  <c r="J8" i="2" a="1"/>
  <c r="J8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<sst xmlns="http://schemas.openxmlformats.org/spreadsheetml/2006/main" count="4215" uniqueCount="3210">
  <si>
    <t>بخشنامه  مابه التفاوت ارز نوبت :</t>
  </si>
  <si>
    <t>تاریخ مبنای محاسبه مابه التفاوت ارز:</t>
  </si>
  <si>
    <t>c</t>
  </si>
  <si>
    <t>ردیف قراردادی</t>
  </si>
  <si>
    <t>شرح ردیف</t>
  </si>
  <si>
    <t>نام بسته خرید</t>
  </si>
  <si>
    <t>تاریخ پیشنهاد قیمت در زمان مناقصه</t>
  </si>
  <si>
    <t>تاریخ مبنای محاسبات طبق بخشنامه</t>
  </si>
  <si>
    <t>تاریخ ورود به کارگاه/ حواله ارز</t>
  </si>
  <si>
    <t>ضریب ارزبری طبق استعلام</t>
  </si>
  <si>
    <t>ضریب ارزبری منظور شده بر اساس درصد ارزبری درخواستی</t>
  </si>
  <si>
    <t>ضریب F روش الف</t>
  </si>
  <si>
    <t>قیمت ارز در زمان خرید(Ci)</t>
  </si>
  <si>
    <t>قیمت ارز پایه بر اساس بخشنامه(C0)</t>
  </si>
  <si>
    <t>محاسبات بر مبنای مقدار ارز حواله شده میباشد ؟</t>
  </si>
  <si>
    <t>N</t>
  </si>
  <si>
    <t>درصد کاهش مقدار N بر اساس بخشنامه با توافق کارفرما</t>
  </si>
  <si>
    <t>تعداد ماه سپری شده(r)</t>
  </si>
  <si>
    <t>ستون محاسباتی</t>
  </si>
  <si>
    <t>مبلغ قراردادی ردیف
(ريال)</t>
  </si>
  <si>
    <t>مبلغ جبرانی بر اساس روش الف M=F[(Ci/Co)-y)]*(P/1.06*K)
(ريال)</t>
  </si>
  <si>
    <t>تحویل/ حواله ارز در تاخیرات خارج از قصور خریدار یا پیمانکار</t>
  </si>
  <si>
    <t>-</t>
  </si>
  <si>
    <t>(N*r)/z</t>
  </si>
  <si>
    <t>*(1+x)</t>
  </si>
  <si>
    <t>پیش پرداخت</t>
  </si>
  <si>
    <t>۱۴۰۲/۰۶/۲۹</t>
  </si>
  <si>
    <t>1402/06/30</t>
  </si>
  <si>
    <t>بله</t>
  </si>
  <si>
    <t>DWDM</t>
  </si>
  <si>
    <t>صورتحساب 1</t>
  </si>
  <si>
    <t>1402/08/20</t>
  </si>
  <si>
    <t>RINO</t>
  </si>
  <si>
    <t>صورتحساب-1 1</t>
  </si>
  <si>
    <t>1402/11/02</t>
  </si>
  <si>
    <t>02 HPDS&amp;SHARIF</t>
  </si>
  <si>
    <t>صورتحساب 2</t>
  </si>
  <si>
    <t>1402/10/30</t>
  </si>
  <si>
    <t>03 Xfusion1</t>
  </si>
  <si>
    <t>صورتحساب 3</t>
  </si>
  <si>
    <t>1402/12/26</t>
  </si>
  <si>
    <t>04 HPDS&amp;FORTINET</t>
  </si>
  <si>
    <t>صورتحساب 4</t>
  </si>
  <si>
    <t>1403/04/06</t>
  </si>
  <si>
    <t>05 Xfusion2</t>
  </si>
  <si>
    <t>صورتحساب 5</t>
  </si>
  <si>
    <t>1403/06/30</t>
  </si>
  <si>
    <t>20 درصد کسورات تست و تحویل صورتحساب 5</t>
  </si>
  <si>
    <t>1403/07/01</t>
  </si>
  <si>
    <t>1403/10/09</t>
  </si>
  <si>
    <t>Yes</t>
  </si>
  <si>
    <t>20 درصد کسورات تست و تحویل صورتحساب 4</t>
  </si>
  <si>
    <t>1404/02/09</t>
  </si>
  <si>
    <t>06 F5</t>
  </si>
  <si>
    <t>صورتحساب شماره 6</t>
  </si>
  <si>
    <t>1403/12/18</t>
  </si>
  <si>
    <t>07 Cisco</t>
  </si>
  <si>
    <t>صورتحساب شماره 7</t>
  </si>
  <si>
    <t>08 Spare</t>
  </si>
  <si>
    <t>صورتحساب شماره 8</t>
  </si>
  <si>
    <t>۱۴۰۴/۰۳/۲۹</t>
  </si>
  <si>
    <t>1404/02/13</t>
  </si>
  <si>
    <t>جمع</t>
  </si>
  <si>
    <t>09 Dell</t>
  </si>
  <si>
    <t>صورتحساب شماره 9</t>
  </si>
  <si>
    <t xml:space="preserve">جدول شماره یک </t>
  </si>
  <si>
    <t xml:space="preserve">آخرین مهلت پیشنهاد قیمت </t>
  </si>
  <si>
    <t>نرخ تسعیر ارز</t>
  </si>
  <si>
    <t>مبنای شاخص (یک فصل قبل)</t>
  </si>
  <si>
    <t>تنظیمات / Settings ⚙️</t>
  </si>
  <si>
    <t>ردیف</t>
  </si>
  <si>
    <t>نام فهرست بهای پایه 1</t>
  </si>
  <si>
    <t>شماره فصل</t>
  </si>
  <si>
    <t>1-درصد</t>
  </si>
  <si>
    <t>شاخص مبنای فصلی فهرست ۱</t>
  </si>
  <si>
    <t>نام فهرست بهای پایه 2</t>
  </si>
  <si>
    <t>2-درصد</t>
  </si>
  <si>
    <t>شاخص مبنای فصلی فهرست ۲</t>
  </si>
  <si>
    <t>نرخ ارز در زمان پرداخت</t>
  </si>
  <si>
    <t xml:space="preserve">درصد ارزبری </t>
  </si>
  <si>
    <t xml:space="preserve">شاخص تعدیل ارزی </t>
  </si>
  <si>
    <t>Language / زبان</t>
  </si>
  <si>
    <t>Persian</t>
  </si>
  <si>
    <t>(Choose: Persian/English)</t>
  </si>
  <si>
    <t>پمپ های سانتریفوژ</t>
  </si>
  <si>
    <t>تاسیسات برقی</t>
  </si>
  <si>
    <t>۱۴۰۳/۰۳/۱۰</t>
  </si>
  <si>
    <t>Direction / جهت</t>
  </si>
  <si>
    <t>RTL</t>
  </si>
  <si>
    <t>Auto from language</t>
  </si>
  <si>
    <t>پمپ های مستغرق</t>
  </si>
  <si>
    <t>مکانیک</t>
  </si>
  <si>
    <t>۱۴۰۲/۱۰/۱۹</t>
  </si>
  <si>
    <t>Digits / ارقام</t>
  </si>
  <si>
    <t>(Auto from language)</t>
  </si>
  <si>
    <t xml:space="preserve">پمپ های ارشمیدس (اسکروپمپ) </t>
  </si>
  <si>
    <t>ابنیه</t>
  </si>
  <si>
    <t>1402/03/15</t>
  </si>
  <si>
    <t>دریچه دستی فولادی با پوشش</t>
  </si>
  <si>
    <t>۱۴۰۳/۰۷/۰۱</t>
  </si>
  <si>
    <t xml:space="preserve">دریچه فولادی با پوشش مجهز به  محرک برقی و یا بادی </t>
  </si>
  <si>
    <t>نرخ ارز</t>
  </si>
  <si>
    <t xml:space="preserve">دریچه فولاد ضد زنگ دستی </t>
  </si>
  <si>
    <t xml:space="preserve">دریچه فولادی ضد زنگ با محرک برقی و یا بادی </t>
  </si>
  <si>
    <t>آشغالگیر دستی فولادی با پوشش</t>
  </si>
  <si>
    <t xml:space="preserve">آشغالگیر دستی فولاد ضد زنگ </t>
  </si>
  <si>
    <t>سبد آشغالگیری فولادی با پوشش</t>
  </si>
  <si>
    <t xml:space="preserve">سبد آشغالگیر فولاد ضد زنگ </t>
  </si>
  <si>
    <t>آشغالگیر مکانیکی - فولادی با پوشش</t>
  </si>
  <si>
    <t xml:space="preserve">آشغالگیر مکانیکی فولاد ضد زنگ </t>
  </si>
  <si>
    <t xml:space="preserve">نقاله های حلزونی، فشرده سازی آشغال، کلاسیفایر- فولاد  گالوانیزه  </t>
  </si>
  <si>
    <t>نقاله های حلزونی، فشرده سازی آشغال، کلاسیفایر- فولاد ضد زنگ</t>
  </si>
  <si>
    <t xml:space="preserve">تسمه نقاله، سازه فولادی، تسمه نقاله با سازه فولاد پوشش دار  </t>
  </si>
  <si>
    <t xml:space="preserve">تسمه نقاله، سازه فولادی، تسمه نقاله با سازه فولاد ضد زنگ </t>
  </si>
  <si>
    <t>کانتینر و ترولی حمل دانه و آشغال - فولادی با پوشش</t>
  </si>
  <si>
    <t xml:space="preserve">کانیتر و ترولی حمل دانه و آشغال - فولاد ضد زنگ </t>
  </si>
  <si>
    <t>سال یافت نشد</t>
  </si>
  <si>
    <t>یافت نشد</t>
  </si>
  <si>
    <t xml:space="preserve">ترولی آشغال - پلی اتیلن </t>
  </si>
  <si>
    <t>جرثقیل دستی 4 حرکته مونوریل</t>
  </si>
  <si>
    <t>جرثقیل برقی 4 حرکته مونوریل</t>
  </si>
  <si>
    <t xml:space="preserve">جرثقیل برقی 6 حرکته </t>
  </si>
  <si>
    <t xml:space="preserve">لجن روب ها، دانه روب تمام فولادی پوشش دار </t>
  </si>
  <si>
    <t xml:space="preserve">لجن روب ها، دانه روب ها بخش مستغرق از فولاد ضد زنگ </t>
  </si>
  <si>
    <t xml:space="preserve">لجن روب چرخ زنجیری </t>
  </si>
  <si>
    <t xml:space="preserve">کانال پارشال فلوم فولادی پوشش دار </t>
  </si>
  <si>
    <t>کانال پارشال فلوم فایبرگلاس</t>
  </si>
  <si>
    <t xml:space="preserve">کانال پارشال فلوم فولاد ضد زنگ </t>
  </si>
  <si>
    <t xml:space="preserve">صفحات سرریز و مانع کف، سبد جمع آوری کف فولادی پوشش دار </t>
  </si>
  <si>
    <t xml:space="preserve">صفحات سرریز و مانع کف، سبد جمع آوری کف فولاد ضد زنگ </t>
  </si>
  <si>
    <t xml:space="preserve">صفحات سرریز و مانع کف آلومینیوم  </t>
  </si>
  <si>
    <t xml:space="preserve">صفحات سرریز و مانع کف پلیمری  </t>
  </si>
  <si>
    <t xml:space="preserve">پمپ ایرلیفت فولادی پوشش دار </t>
  </si>
  <si>
    <t>فصل ناموجود</t>
  </si>
  <si>
    <t xml:space="preserve">پمپ ایرلیفت فولاد ضد زنگ </t>
  </si>
  <si>
    <t>شیر تلسکوپی دستی - فولادی پوشش دار</t>
  </si>
  <si>
    <t>شیر تلسکوپی با محرک برقی - فولادی پوشش دار</t>
  </si>
  <si>
    <t>شیر تلسکوپی دستی - فولاد ضد زنگ</t>
  </si>
  <si>
    <t>شیر تلسکوپی با محرک برقی - فولاد ضد زنگ</t>
  </si>
  <si>
    <t xml:space="preserve">دکانتر اس بی آر از جنس فولاد ضد زنگ </t>
  </si>
  <si>
    <t xml:space="preserve">همزن استاتیکی فولادی پوشش دار </t>
  </si>
  <si>
    <t>همزن استاتیکی پلیمری</t>
  </si>
  <si>
    <t xml:space="preserve">همزن استاتیکی فولاد ضد زنگ </t>
  </si>
  <si>
    <t xml:space="preserve">همزن پروانه ای فولادی با پوشش </t>
  </si>
  <si>
    <t xml:space="preserve">همزن پروانه ای فولاد ضد زنگ </t>
  </si>
  <si>
    <t>همزن پارویی فولادی با پوشش</t>
  </si>
  <si>
    <t xml:space="preserve">همزن پارویی فولاد ضد زنگ </t>
  </si>
  <si>
    <t>همزن پارویی شفت فولاد ضد زنگ و پره های پلیمری و یا چوبی</t>
  </si>
  <si>
    <t xml:space="preserve">همزن های مستغرق با پروانه فولاد ضد زنگ </t>
  </si>
  <si>
    <t xml:space="preserve">پکیج آماده سازی مواد شیمیایی با سازه فولادی - مخزن پلیمری - همزن فولاد ضد زنگ </t>
  </si>
  <si>
    <t xml:space="preserve">پکیج آماده سازی مواد شیمیایی - تمام فولاد ضد زنگ </t>
  </si>
  <si>
    <t xml:space="preserve">سیلوها و مخازن و برجهای فولادی پوشش دار </t>
  </si>
  <si>
    <t>سیلوها و مخازن و برجهای پلیمری</t>
  </si>
  <si>
    <t xml:space="preserve">سیلوها و مخازن و برجهای فولاد ضد زنگ </t>
  </si>
  <si>
    <t xml:space="preserve">هواده سطحی دور کند، نصب ثابت فولادی پوشش دار </t>
  </si>
  <si>
    <t xml:space="preserve">هواده سطحی دور کند نصب شناور - فولادی پوشش دار </t>
  </si>
  <si>
    <t xml:space="preserve">هواده سطحی دور تند نصب ثابت </t>
  </si>
  <si>
    <t xml:space="preserve">هواده سطحی دور تند با شناور فولاد ضد زنگ </t>
  </si>
  <si>
    <t xml:space="preserve">بلوئرهای جابجایی مثبت بدون پوشش اکوستیک </t>
  </si>
  <si>
    <t xml:space="preserve">بلوئرهای جابجایی مثبت با پوشش اکوستیک </t>
  </si>
  <si>
    <t xml:space="preserve">بلوئرهای توربو با بیرینگ هوایی یا مگنتی </t>
  </si>
  <si>
    <t>بلوئرهای توربو سانتریفوژ</t>
  </si>
  <si>
    <t xml:space="preserve">کمپرسور همراه با مخزن ذخیره </t>
  </si>
  <si>
    <t>دیفیوزر حباب درشت - پلیمری</t>
  </si>
  <si>
    <t xml:space="preserve">دیفیوزر حباب درشت فولاد ضد زنگ </t>
  </si>
  <si>
    <t>دیفیوزر حباب ریز</t>
  </si>
  <si>
    <t xml:space="preserve">لوله های فولاد ضد زنگ </t>
  </si>
  <si>
    <t>لوله های فولادی با پوشش</t>
  </si>
  <si>
    <t>لوله های پلیمری</t>
  </si>
  <si>
    <t xml:space="preserve">لوله های فایبرگلاس </t>
  </si>
  <si>
    <t>تجهیزات آب و فاضلاب</t>
  </si>
  <si>
    <t xml:space="preserve">لوله های مسی </t>
  </si>
  <si>
    <t xml:space="preserve">فیدرهای تزریق مواد شیمیایی از نوع دیافراگمی </t>
  </si>
  <si>
    <t>فیدرهای تزریق مواد شیمیایی از نوع سانتریفوژ</t>
  </si>
  <si>
    <t xml:space="preserve">شیرآلات و اتصالات پلیمری </t>
  </si>
  <si>
    <t>شیرآلات چدنی و فولادی با عملگر دستی</t>
  </si>
  <si>
    <t>شیرآلات چدنی و فولادی با عملگر برقی یا بادی</t>
  </si>
  <si>
    <t xml:space="preserve">روتامتر - منبع انبساط - شیراطمینان و دمپرهای نوسان گیر فیدرهای تزریق </t>
  </si>
  <si>
    <t xml:space="preserve">پمپ های تزریق از نوع جابجایی مثبت </t>
  </si>
  <si>
    <t>مدیا پلاستیکی و صفحات و ورقهای پلیمری</t>
  </si>
  <si>
    <t xml:space="preserve">تجهیزات کلرزنی، تزریق کننده گاز، رگولاتور خلاء، انژکتور، انژکتور ، تراپ مایع، تعویض کننده </t>
  </si>
  <si>
    <t xml:space="preserve">مخازن کلر و نیتروژن </t>
  </si>
  <si>
    <t>اسکرابر خنثی سازی گاز کلر</t>
  </si>
  <si>
    <t>اواپراتور کلر</t>
  </si>
  <si>
    <t xml:space="preserve">ژنراتور الکترولیز نمک طعام </t>
  </si>
  <si>
    <t>ژنراتور ازن</t>
  </si>
  <si>
    <t xml:space="preserve">پکیج ضد عفونی توسط اشعه ماوراء بنفش </t>
  </si>
  <si>
    <t xml:space="preserve">دوش و چشم شور </t>
  </si>
  <si>
    <t xml:space="preserve">لوازم حفاظت فردی </t>
  </si>
  <si>
    <t>رشته ای</t>
  </si>
  <si>
    <t xml:space="preserve">آبگیری لجن نوع فیلترپرس </t>
  </si>
  <si>
    <t>راه، راه آهن و باند فرودگاه</t>
  </si>
  <si>
    <t xml:space="preserve">آبگیری لجن نوع بلت فیلتر پرس </t>
  </si>
  <si>
    <t>آبگیری لجن نوع سانتریفوژ</t>
  </si>
  <si>
    <t>آبگیری لجن نوع اسکروپرس</t>
  </si>
  <si>
    <t>تو پرامت بعدی که "و یا عربی" با یکی و یا "فارسی" یکی</t>
  </si>
  <si>
    <t>شیت ناموجود</t>
  </si>
  <si>
    <t xml:space="preserve">تغلیظ لجن نوع بلت </t>
  </si>
  <si>
    <t>نازل فیلتر</t>
  </si>
  <si>
    <t>شن سیلیسی</t>
  </si>
  <si>
    <t xml:space="preserve">آنتراسیت </t>
  </si>
  <si>
    <t xml:space="preserve">رزین آنیونی ، کاتیونی </t>
  </si>
  <si>
    <t xml:space="preserve">سیفون و پارشالیزیشن باکس </t>
  </si>
  <si>
    <t xml:space="preserve">فیلتر شنی، فیلتر سرامیکی، دریچه بازدید، پنجره بازدید، تراپ گاز، تراپ کف، شعله گیر، تراپ مایع کندانس ، کلاهک گاز هاضم های بیهوازی لجن </t>
  </si>
  <si>
    <t xml:space="preserve">دیگ آبگرم </t>
  </si>
  <si>
    <t xml:space="preserve">مبدل حرارتی نوع فولاد ضد زنگ </t>
  </si>
  <si>
    <t xml:space="preserve"> مشعل دو گانه سوز دیگ</t>
  </si>
  <si>
    <t xml:space="preserve">مخزن نگهداری بیوگاز </t>
  </si>
  <si>
    <t xml:space="preserve">مشعل بیوگاز </t>
  </si>
  <si>
    <t>پکیج سولفور زدایی</t>
  </si>
  <si>
    <t>پکیج CHP</t>
  </si>
  <si>
    <t>میکرواسترینر</t>
  </si>
  <si>
    <t>میکروفیلتر</t>
  </si>
  <si>
    <t>فیلتر کارتریج</t>
  </si>
  <si>
    <t>ممبران RO, NF,UF</t>
  </si>
  <si>
    <t>پکیج MBR</t>
  </si>
  <si>
    <t xml:space="preserve">آنالایزرهای کمی و کیفی فاضلاب </t>
  </si>
  <si>
    <t xml:space="preserve">پکیج حذف بو </t>
  </si>
  <si>
    <t>فن سانتریفوژ - ساید چنل - دمپر</t>
  </si>
  <si>
    <t>تجهیزات آزمایشگاهی - شیشه آلات شیمیایی</t>
  </si>
  <si>
    <t>مواد شیمیایی</t>
  </si>
  <si>
    <t>کابینت  آزمایشگاهی</t>
  </si>
  <si>
    <t xml:space="preserve">ابزارآلات مکانیکی </t>
  </si>
  <si>
    <t>ابزارآلات برقی</t>
  </si>
  <si>
    <t xml:space="preserve">ماشین آلات بهره برداری </t>
  </si>
  <si>
    <t>قطعات مدفون در بتن فولادی پوشش دار</t>
  </si>
  <si>
    <t xml:space="preserve">قطعات مدفون در بتن فولاد ضد زنگ  </t>
  </si>
  <si>
    <t>قطعات مدفون در بتن پلیمری</t>
  </si>
  <si>
    <t>شرح</t>
  </si>
  <si>
    <t>سه ماهه اول</t>
  </si>
  <si>
    <t>تیر</t>
  </si>
  <si>
    <t>مرداد</t>
  </si>
  <si>
    <t>شهریور</t>
  </si>
  <si>
    <t>سه ماهه سوم</t>
  </si>
  <si>
    <t>سه ماهه چهارم</t>
  </si>
  <si>
    <t>سه ماهه دوم</t>
  </si>
  <si>
    <t>دی</t>
  </si>
  <si>
    <t>بهمن</t>
  </si>
  <si>
    <t>اسفند</t>
  </si>
  <si>
    <t xml:space="preserve">ابنیه </t>
  </si>
  <si>
    <t>برق</t>
  </si>
  <si>
    <t xml:space="preserve"> شاخص رشته شبكه جمع آوري و انتقال فاضلاب </t>
  </si>
  <si>
    <t>بهره‌برداری و نگهداشت تجهیزات برقی، کنترلی و ابزار دقیق تاسیسات</t>
  </si>
  <si>
    <t>بهره‌برداری و نگهداری  از شبکه جمع‌آوری و انتقال فاضلاب</t>
  </si>
  <si>
    <t xml:space="preserve">اول </t>
  </si>
  <si>
    <t>سوم</t>
  </si>
  <si>
    <t>چهارم</t>
  </si>
  <si>
    <t>دوم</t>
  </si>
  <si>
    <t xml:space="preserve">لوله های فولادی </t>
  </si>
  <si>
    <t>لوله های چدنی</t>
  </si>
  <si>
    <t>لوله های پی.وی.سی</t>
  </si>
  <si>
    <t>لوله های پلی اتیلن</t>
  </si>
  <si>
    <t>لوله های آزبست سیمان</t>
  </si>
  <si>
    <t>لوله های مسی</t>
  </si>
  <si>
    <t>شیرها</t>
  </si>
  <si>
    <t>مفضل انبساط</t>
  </si>
  <si>
    <t>لرزه گیر</t>
  </si>
  <si>
    <t>صافی</t>
  </si>
  <si>
    <t>دیگهای حرارتی آب گرم</t>
  </si>
  <si>
    <t>دیگهای بخار</t>
  </si>
  <si>
    <t>مشعل</t>
  </si>
  <si>
    <t>دستگاههای کنترل و اندازه گیری</t>
  </si>
  <si>
    <t>آب گرم کن ( نفتی و گازی )</t>
  </si>
  <si>
    <t>رادیاتور</t>
  </si>
  <si>
    <t>آب سرد کن</t>
  </si>
  <si>
    <t>کانال هوا ، درچه هوا</t>
  </si>
  <si>
    <t>هواکش</t>
  </si>
  <si>
    <t>فن کویل ، یونیت هیتر</t>
  </si>
  <si>
    <t>کولر آبی</t>
  </si>
  <si>
    <t>کولر گازی</t>
  </si>
  <si>
    <t>الکترو پمپ</t>
  </si>
  <si>
    <t>عایق</t>
  </si>
  <si>
    <t>دستگاههای مبرد</t>
  </si>
  <si>
    <t>برجهای خنک کننده</t>
  </si>
  <si>
    <t>لوازم بهداشتی ، شیرآلات بهداشتی</t>
  </si>
  <si>
    <t>وسایل آتش نشانی</t>
  </si>
  <si>
    <t>لوازم آشپزخانه</t>
  </si>
  <si>
    <t>سختی گیر</t>
  </si>
  <si>
    <t>منابع و مبدلها</t>
  </si>
  <si>
    <t>بستها ، تکیه گاهها ، دودکش</t>
  </si>
  <si>
    <t>کارهای دستمزدی</t>
  </si>
  <si>
    <t>شاخص رشته تاسیسات مکانیکی</t>
  </si>
  <si>
    <t>عملیات تخریب و برچیدن</t>
  </si>
  <si>
    <t>عملیات خاکی با دست</t>
  </si>
  <si>
    <t>عملیات خاکی با ماشین</t>
  </si>
  <si>
    <t>عملیات بنایی با سنگ</t>
  </si>
  <si>
    <t>قالب بندی چوبی</t>
  </si>
  <si>
    <t>قالب بندی فلزی</t>
  </si>
  <si>
    <t>کارهای فولادی با میلگرد</t>
  </si>
  <si>
    <t>بتن درجا</t>
  </si>
  <si>
    <t>کارهای فولادی سنگین</t>
  </si>
  <si>
    <t>سقف سبک بتنی</t>
  </si>
  <si>
    <t>آجرکاری و شفته ریزی</t>
  </si>
  <si>
    <t>بتن پیش ساخته و بلوک چینی</t>
  </si>
  <si>
    <t>عایق کاری رطوبتی</t>
  </si>
  <si>
    <t>عایق کاری حرارتی</t>
  </si>
  <si>
    <t>کارهای آزبست سیمان</t>
  </si>
  <si>
    <t>کارهای فولادی سبک</t>
  </si>
  <si>
    <t>کارهای آلومینیومی</t>
  </si>
  <si>
    <t>اندود و بندکشی</t>
  </si>
  <si>
    <t>کارهای چوبی</t>
  </si>
  <si>
    <t>کاشی و سرامیک کاری</t>
  </si>
  <si>
    <t>فرش کف با موزاییک</t>
  </si>
  <si>
    <t>کارهای سنگی با سنگ پلاک</t>
  </si>
  <si>
    <t>کارهای پلاستیکی</t>
  </si>
  <si>
    <t>بر ش و نصب شیشه</t>
  </si>
  <si>
    <t>رنگ آمیزی</t>
  </si>
  <si>
    <t xml:space="preserve">زیراساس و اساس </t>
  </si>
  <si>
    <t>آسفالت</t>
  </si>
  <si>
    <t>حمل و نقل</t>
  </si>
  <si>
    <t>شاخص رشته ابنیه</t>
  </si>
  <si>
    <t>چراغ های فلورسنت</t>
  </si>
  <si>
    <t>چراغ ها با لامپهای کم مصرف</t>
  </si>
  <si>
    <t>چراغ های صنعتی</t>
  </si>
  <si>
    <t>چراغ های فضای ازاد</t>
  </si>
  <si>
    <t>چراغ های مخصوص</t>
  </si>
  <si>
    <t>سیم ها</t>
  </si>
  <si>
    <t>کابلهای فشار ضعیف</t>
  </si>
  <si>
    <t>کابلشوها</t>
  </si>
  <si>
    <t>کابلهای فشار متوسط</t>
  </si>
  <si>
    <t>سرکابلها و مفصلها</t>
  </si>
  <si>
    <t>کلید پریز</t>
  </si>
  <si>
    <t>لوله های فولادی</t>
  </si>
  <si>
    <t>لوله های پی وی سی</t>
  </si>
  <si>
    <t>وسایل فشار ضعیف تابلویی</t>
  </si>
  <si>
    <t>وسایل اندازه گیری</t>
  </si>
  <si>
    <t>تابلوهای فشار متوسط</t>
  </si>
  <si>
    <t>مولدهای برق</t>
  </si>
  <si>
    <t>خازن های صنعتی و منابع تغذیه جریان مستقیم</t>
  </si>
  <si>
    <t>ترانسفورماتورهای فشار قوی</t>
  </si>
  <si>
    <t>وسایل شبکه</t>
  </si>
  <si>
    <t>کابلهای تلفن</t>
  </si>
  <si>
    <t>وسایل ارتباطی</t>
  </si>
  <si>
    <t>سیستم احضار و در بازکن</t>
  </si>
  <si>
    <t>سیستم آنتن تلوزیون</t>
  </si>
  <si>
    <t>سیستم مادر ساعت</t>
  </si>
  <si>
    <t>وسایل اعلام و اطفای حریق</t>
  </si>
  <si>
    <t>وسایل صوتی</t>
  </si>
  <si>
    <t>وسایل متفرقه</t>
  </si>
  <si>
    <t>سیستم شبکه های اطلاع رسانی</t>
  </si>
  <si>
    <t>سیستم نظارت تصویری</t>
  </si>
  <si>
    <t>اینورتر سامانه های تجدید پذیر</t>
  </si>
  <si>
    <t>پنل خورشیدی</t>
  </si>
  <si>
    <t>سازه های نگهدارنده پنل های خورشیدی</t>
  </si>
  <si>
    <t>کنترل کننده شارژ سامانه های خورشیدی</t>
  </si>
  <si>
    <t>باتری سامانه‌های تجدید پذیر</t>
  </si>
  <si>
    <t>شاخص رشته برق</t>
  </si>
  <si>
    <t>عملیات تخریب</t>
  </si>
  <si>
    <t>حفاری تونل</t>
  </si>
  <si>
    <t>عملیات حفاری، شمع کوبی و سپرکوبی</t>
  </si>
  <si>
    <t>عملیات بنایی سنگ</t>
  </si>
  <si>
    <t>قالب بندی و چوب بست</t>
  </si>
  <si>
    <t>بتن پیش ساخته</t>
  </si>
  <si>
    <t>زیراساس، اساس و بالادست</t>
  </si>
  <si>
    <t>15(1)</t>
  </si>
  <si>
    <t>اسفالت</t>
  </si>
  <si>
    <t>عایقکاری</t>
  </si>
  <si>
    <t>تاسیسات تونلها پلها، نقاط مه گیر و سطوح پروازی</t>
  </si>
  <si>
    <t>ساختمانها، علایم و تجهیزات ایمنی</t>
  </si>
  <si>
    <t>کارهای متفرقه</t>
  </si>
  <si>
    <t>22(1)</t>
  </si>
  <si>
    <t xml:space="preserve">ریل و سوزن </t>
  </si>
  <si>
    <t>اجرای روسازی راه آهن</t>
  </si>
  <si>
    <t>ژئوسنتتیک ها</t>
  </si>
  <si>
    <t>15(2)</t>
  </si>
  <si>
    <t xml:space="preserve"> آسفالت</t>
  </si>
  <si>
    <t>22(2)</t>
  </si>
  <si>
    <t>ادوات روسازی راه آهن (به جز ریل و سوزن)</t>
  </si>
  <si>
    <t>شاخص رشته راه</t>
  </si>
  <si>
    <t>ببین، فقط در این صفحه که شعر کردم، یعنی شیط تجهیزات آب و فاضل‌ها</t>
  </si>
  <si>
    <t>فصل پمپ ها</t>
  </si>
  <si>
    <t>همزنها</t>
  </si>
  <si>
    <t>آشغالگیر</t>
  </si>
  <si>
    <t>بلوئرها و کمپرسورها</t>
  </si>
  <si>
    <t>دیفیوزرها</t>
  </si>
  <si>
    <t>آبگیری لجن</t>
  </si>
  <si>
    <t>گندزدایی</t>
  </si>
  <si>
    <t>تجهیزات فرآوری گاز</t>
  </si>
  <si>
    <t>مبدل های حرارتی</t>
  </si>
  <si>
    <t>دیگ حرارتی آب گرم</t>
  </si>
  <si>
    <t>مشعلها</t>
  </si>
  <si>
    <t>جرثقیلها</t>
  </si>
  <si>
    <t>الکتروموتورها</t>
  </si>
  <si>
    <t>خنثیسازی و حذفبو</t>
  </si>
  <si>
    <t>لولهها و اتصالات و متعلقات فولادی</t>
  </si>
  <si>
    <t>لولهها و اتصالات و منعلقات استیل</t>
  </si>
  <si>
    <t>لولهها و اتصالات و متعلقات چدنی نشکن</t>
  </si>
  <si>
    <t>لولهها و اتصالات و متعلقات پلیاتیلن</t>
  </si>
  <si>
    <t>لولهها و اتصالات فایبرگلاس</t>
  </si>
  <si>
    <t>لولهها و اتصالات و متعلقات پلیپروپیلن و پی وی سخت</t>
  </si>
  <si>
    <t>شیر آلات و متعلقات فلزی</t>
  </si>
  <si>
    <t>شیر آلات و متعلقات پلاستیکی</t>
  </si>
  <si>
    <t>کارهای فلزی</t>
  </si>
  <si>
    <t>عملگرها</t>
  </si>
  <si>
    <t>غشاها</t>
  </si>
  <si>
    <t>غلاف غشا</t>
  </si>
  <si>
    <t>تجهیزات ابزاردقیق اندازهگیری سطح یا فشار</t>
  </si>
  <si>
    <t>تجهیزات ابزاردقیق اندازهگیری دبی</t>
  </si>
  <si>
    <t xml:space="preserve"> آنالایزرها</t>
  </si>
  <si>
    <t>شاخص رشته تجهیزات آب و فاضلاب</t>
  </si>
  <si>
    <t>تاریخ شمسی</t>
  </si>
  <si>
    <t>یورو (ریال)</t>
  </si>
  <si>
    <t>1397/01/01</t>
  </si>
  <si>
    <t>1397/01/02</t>
  </si>
  <si>
    <t>1397/01/03</t>
  </si>
  <si>
    <t>1397/01/04</t>
  </si>
  <si>
    <t>1397/01/05</t>
  </si>
  <si>
    <t>1397/01/06</t>
  </si>
  <si>
    <t>1397/01/07</t>
  </si>
  <si>
    <t>1397/01/08</t>
  </si>
  <si>
    <t>1397/01/09</t>
  </si>
  <si>
    <t>1397/01/10</t>
  </si>
  <si>
    <t>1397/01/11</t>
  </si>
  <si>
    <t>1397/01/12</t>
  </si>
  <si>
    <t>1397/01/13</t>
  </si>
  <si>
    <t>1397/01/14</t>
  </si>
  <si>
    <t>1397/01/15</t>
  </si>
  <si>
    <t>1397/01/16</t>
  </si>
  <si>
    <t>1397/01/17</t>
  </si>
  <si>
    <t>1397/01/18</t>
  </si>
  <si>
    <t>1397/01/19</t>
  </si>
  <si>
    <t>1397/01/20</t>
  </si>
  <si>
    <t>1397/01/21</t>
  </si>
  <si>
    <t>1397/01/22</t>
  </si>
  <si>
    <t>1397/01/23</t>
  </si>
  <si>
    <t>1397/01/24</t>
  </si>
  <si>
    <t>1397/01/25</t>
  </si>
  <si>
    <t>1397/01/26</t>
  </si>
  <si>
    <t>1397/01/27</t>
  </si>
  <si>
    <t>1397/01/28</t>
  </si>
  <si>
    <t>1397/01/29</t>
  </si>
  <si>
    <t>1397/01/30</t>
  </si>
  <si>
    <t>1397/01/31</t>
  </si>
  <si>
    <t>1397/02/01</t>
  </si>
  <si>
    <t>1397/02/02</t>
  </si>
  <si>
    <t>1397/02/03</t>
  </si>
  <si>
    <t>1397/02/04</t>
  </si>
  <si>
    <t>1397/02/05</t>
  </si>
  <si>
    <t>1397/02/06</t>
  </si>
  <si>
    <t>1397/02/07</t>
  </si>
  <si>
    <t>1397/02/08</t>
  </si>
  <si>
    <t>1397/02/09</t>
  </si>
  <si>
    <t>1397/02/10</t>
  </si>
  <si>
    <t>1397/02/11</t>
  </si>
  <si>
    <t>1397/02/12</t>
  </si>
  <si>
    <t>1397/02/13</t>
  </si>
  <si>
    <t>1397/02/14</t>
  </si>
  <si>
    <t>1397/02/15</t>
  </si>
  <si>
    <t>1397/02/16</t>
  </si>
  <si>
    <t>1397/02/17</t>
  </si>
  <si>
    <t>1397/02/18</t>
  </si>
  <si>
    <t>1397/02/19</t>
  </si>
  <si>
    <t>1397/02/20</t>
  </si>
  <si>
    <t>1397/02/21</t>
  </si>
  <si>
    <t>1397/02/22</t>
  </si>
  <si>
    <t>1397/02/23</t>
  </si>
  <si>
    <t>1397/02/24</t>
  </si>
  <si>
    <t>1397/02/25</t>
  </si>
  <si>
    <t>1397/02/26</t>
  </si>
  <si>
    <t>1397/02/27</t>
  </si>
  <si>
    <t>1397/02/28</t>
  </si>
  <si>
    <t>1397/02/29</t>
  </si>
  <si>
    <t>1397/02/30</t>
  </si>
  <si>
    <t>1397/02/31</t>
  </si>
  <si>
    <t>1397/03/01</t>
  </si>
  <si>
    <t>1397/03/02</t>
  </si>
  <si>
    <t>1397/03/03</t>
  </si>
  <si>
    <t>1397/03/04</t>
  </si>
  <si>
    <t>1397/03/05</t>
  </si>
  <si>
    <t>1397/03/06</t>
  </si>
  <si>
    <t>1397/03/07</t>
  </si>
  <si>
    <t>1397/03/08</t>
  </si>
  <si>
    <t>1397/03/09</t>
  </si>
  <si>
    <t>1397/03/10</t>
  </si>
  <si>
    <t>1397/03/11</t>
  </si>
  <si>
    <t>1397/03/12</t>
  </si>
  <si>
    <t>1397/03/13</t>
  </si>
  <si>
    <t>1397/03/14</t>
  </si>
  <si>
    <t>1397/03/15</t>
  </si>
  <si>
    <t>1397/03/16</t>
  </si>
  <si>
    <t>1397/03/17</t>
  </si>
  <si>
    <t>1397/03/18</t>
  </si>
  <si>
    <t>1397/03/19</t>
  </si>
  <si>
    <t>1397/03/20</t>
  </si>
  <si>
    <t>1397/03/21</t>
  </si>
  <si>
    <t>1397/03/22</t>
  </si>
  <si>
    <t>1397/03/23</t>
  </si>
  <si>
    <t>1397/03/24</t>
  </si>
  <si>
    <t>1397/03/25</t>
  </si>
  <si>
    <t>1397/03/26</t>
  </si>
  <si>
    <t>1397/03/27</t>
  </si>
  <si>
    <t>1397/03/28</t>
  </si>
  <si>
    <t>1397/03/29</t>
  </si>
  <si>
    <t>1397/03/30</t>
  </si>
  <si>
    <t>1397/03/31</t>
  </si>
  <si>
    <t>1397/04/01</t>
  </si>
  <si>
    <t>1397/04/02</t>
  </si>
  <si>
    <t>1397/04/03</t>
  </si>
  <si>
    <t>1397/04/04</t>
  </si>
  <si>
    <t>1397/04/05</t>
  </si>
  <si>
    <t>1397/04/06</t>
  </si>
  <si>
    <t>1397/04/07</t>
  </si>
  <si>
    <t>1397/04/08</t>
  </si>
  <si>
    <t>1397/04/09</t>
  </si>
  <si>
    <t>1397/04/10</t>
  </si>
  <si>
    <t>1397/04/11</t>
  </si>
  <si>
    <t>1397/04/12</t>
  </si>
  <si>
    <t>1397/04/13</t>
  </si>
  <si>
    <t>1397/04/14</t>
  </si>
  <si>
    <t>1397/04/15</t>
  </si>
  <si>
    <t>1397/04/16</t>
  </si>
  <si>
    <t>1397/04/17</t>
  </si>
  <si>
    <t>1397/04/18</t>
  </si>
  <si>
    <t>1397/04/19</t>
  </si>
  <si>
    <t>1397/04/20</t>
  </si>
  <si>
    <t>1397/04/21</t>
  </si>
  <si>
    <t>1397/04/22</t>
  </si>
  <si>
    <t>1397/04/23</t>
  </si>
  <si>
    <t>1397/04/24</t>
  </si>
  <si>
    <t>1397/04/25</t>
  </si>
  <si>
    <t>1397/04/26</t>
  </si>
  <si>
    <t>1397/04/27</t>
  </si>
  <si>
    <t>1397/04/28</t>
  </si>
  <si>
    <t>1397/04/29</t>
  </si>
  <si>
    <t>1397/04/30</t>
  </si>
  <si>
    <t>1397/04/31</t>
  </si>
  <si>
    <t>1397/05/01</t>
  </si>
  <si>
    <t>1397/05/02</t>
  </si>
  <si>
    <t>1397/05/03</t>
  </si>
  <si>
    <t>1397/05/04</t>
  </si>
  <si>
    <t>1397/05/05</t>
  </si>
  <si>
    <t>1397/05/06</t>
  </si>
  <si>
    <t>1397/05/07</t>
  </si>
  <si>
    <t>1397/05/08</t>
  </si>
  <si>
    <t>1397/05/09</t>
  </si>
  <si>
    <t>1397/05/10</t>
  </si>
  <si>
    <t>1397/05/11</t>
  </si>
  <si>
    <t>1397/05/12</t>
  </si>
  <si>
    <t>1397/05/13</t>
  </si>
  <si>
    <t>1397/05/14</t>
  </si>
  <si>
    <t>1397/05/15</t>
  </si>
  <si>
    <t>1397/05/16</t>
  </si>
  <si>
    <t>1397/05/17</t>
  </si>
  <si>
    <t>1397/05/18</t>
  </si>
  <si>
    <t>1397/05/19</t>
  </si>
  <si>
    <t>1397/05/20</t>
  </si>
  <si>
    <t>1397/05/21</t>
  </si>
  <si>
    <t>1397/05/22</t>
  </si>
  <si>
    <t>1397/05/23</t>
  </si>
  <si>
    <t>1397/05/24</t>
  </si>
  <si>
    <t>1397/05/25</t>
  </si>
  <si>
    <t>1397/05/26</t>
  </si>
  <si>
    <t>1397/05/27</t>
  </si>
  <si>
    <t>1397/05/28</t>
  </si>
  <si>
    <t>1397/05/29</t>
  </si>
  <si>
    <t>1397/05/30</t>
  </si>
  <si>
    <t>1397/05/31</t>
  </si>
  <si>
    <t>1397/06/01</t>
  </si>
  <si>
    <t>1397/06/02</t>
  </si>
  <si>
    <t>1397/06/03</t>
  </si>
  <si>
    <t>1397/06/04</t>
  </si>
  <si>
    <t>1397/06/05</t>
  </si>
  <si>
    <t>1397/06/06</t>
  </si>
  <si>
    <t>1397/06/07</t>
  </si>
  <si>
    <t>1397/06/08</t>
  </si>
  <si>
    <t>1397/06/09</t>
  </si>
  <si>
    <t>1397/06/10</t>
  </si>
  <si>
    <t>1397/06/11</t>
  </si>
  <si>
    <t>1397/06/12</t>
  </si>
  <si>
    <t>1397/06/13</t>
  </si>
  <si>
    <t>1397/06/14</t>
  </si>
  <si>
    <t>1397/06/15</t>
  </si>
  <si>
    <t>1397/06/16</t>
  </si>
  <si>
    <t>1397/06/17</t>
  </si>
  <si>
    <t>1397/06/18</t>
  </si>
  <si>
    <t>1397/06/19</t>
  </si>
  <si>
    <t>1397/06/20</t>
  </si>
  <si>
    <t>1397/06/21</t>
  </si>
  <si>
    <t>1397/06/22</t>
  </si>
  <si>
    <t>1397/06/23</t>
  </si>
  <si>
    <t>1397/06/24</t>
  </si>
  <si>
    <t>1397/06/25</t>
  </si>
  <si>
    <t>1397/06/26</t>
  </si>
  <si>
    <t>1397/06/27</t>
  </si>
  <si>
    <t>1397/06/28</t>
  </si>
  <si>
    <t>1397/06/29</t>
  </si>
  <si>
    <t>1397/06/30</t>
  </si>
  <si>
    <t>1397/06/31</t>
  </si>
  <si>
    <t>1397/07/01</t>
  </si>
  <si>
    <t>1397/07/02</t>
  </si>
  <si>
    <t>1397/07/03</t>
  </si>
  <si>
    <t>1397/07/04</t>
  </si>
  <si>
    <t>1397/07/05</t>
  </si>
  <si>
    <t>1397/07/06</t>
  </si>
  <si>
    <t>1397/07/07</t>
  </si>
  <si>
    <t>1397/07/08</t>
  </si>
  <si>
    <t>1397/07/09</t>
  </si>
  <si>
    <t>1397/07/10</t>
  </si>
  <si>
    <t>1397/07/11</t>
  </si>
  <si>
    <t>1397/07/12</t>
  </si>
  <si>
    <t>1397/07/13</t>
  </si>
  <si>
    <t>1397/07/14</t>
  </si>
  <si>
    <t>1397/07/15</t>
  </si>
  <si>
    <t>1397/07/16</t>
  </si>
  <si>
    <t>1397/07/17</t>
  </si>
  <si>
    <t>1397/07/18</t>
  </si>
  <si>
    <t>1397/07/19</t>
  </si>
  <si>
    <t>1397/07/20</t>
  </si>
  <si>
    <t>1397/07/21</t>
  </si>
  <si>
    <t>1397/07/22</t>
  </si>
  <si>
    <t>1397/07/23</t>
  </si>
  <si>
    <t>1397/07/24</t>
  </si>
  <si>
    <t>1397/07/25</t>
  </si>
  <si>
    <t>1397/07/26</t>
  </si>
  <si>
    <t>1397/07/27</t>
  </si>
  <si>
    <t>1397/07/28</t>
  </si>
  <si>
    <t>1397/07/29</t>
  </si>
  <si>
    <t>1397/07/30</t>
  </si>
  <si>
    <t>1397/08/01</t>
  </si>
  <si>
    <t>1397/08/02</t>
  </si>
  <si>
    <t>1397/08/03</t>
  </si>
  <si>
    <t>1397/08/04</t>
  </si>
  <si>
    <t>1397/08/05</t>
  </si>
  <si>
    <t>1397/08/06</t>
  </si>
  <si>
    <t>1397/08/07</t>
  </si>
  <si>
    <t>1397/08/08</t>
  </si>
  <si>
    <t>1397/08/09</t>
  </si>
  <si>
    <t>1397/08/10</t>
  </si>
  <si>
    <t>1397/08/11</t>
  </si>
  <si>
    <t>1397/08/12</t>
  </si>
  <si>
    <t>1397/08/13</t>
  </si>
  <si>
    <t>1397/08/14</t>
  </si>
  <si>
    <t>1397/08/15</t>
  </si>
  <si>
    <t>1397/08/16</t>
  </si>
  <si>
    <t>1397/08/17</t>
  </si>
  <si>
    <t>1397/08/18</t>
  </si>
  <si>
    <t>1397/08/19</t>
  </si>
  <si>
    <t>1397/08/20</t>
  </si>
  <si>
    <t>1397/08/21</t>
  </si>
  <si>
    <t>1397/08/22</t>
  </si>
  <si>
    <t>1397/08/23</t>
  </si>
  <si>
    <t>1397/08/24</t>
  </si>
  <si>
    <t>1397/08/25</t>
  </si>
  <si>
    <t>1397/08/26</t>
  </si>
  <si>
    <t>1397/08/27</t>
  </si>
  <si>
    <t>1397/08/28</t>
  </si>
  <si>
    <t>1397/08/29</t>
  </si>
  <si>
    <t>1397/08/30</t>
  </si>
  <si>
    <t>1397/09/01</t>
  </si>
  <si>
    <t>1397/09/02</t>
  </si>
  <si>
    <t>1397/09/03</t>
  </si>
  <si>
    <t>1397/09/04</t>
  </si>
  <si>
    <t>1397/09/05</t>
  </si>
  <si>
    <t>1397/09/06</t>
  </si>
  <si>
    <t>1397/09/07</t>
  </si>
  <si>
    <t>1397/09/08</t>
  </si>
  <si>
    <t>1397/09/09</t>
  </si>
  <si>
    <t>1397/09/10</t>
  </si>
  <si>
    <t>1397/09/11</t>
  </si>
  <si>
    <t>1397/09/12</t>
  </si>
  <si>
    <t>1397/09/13</t>
  </si>
  <si>
    <t>1397/09/14</t>
  </si>
  <si>
    <t>1397/09/15</t>
  </si>
  <si>
    <t>1397/09/16</t>
  </si>
  <si>
    <t>1397/09/17</t>
  </si>
  <si>
    <t>1397/09/18</t>
  </si>
  <si>
    <t>1397/09/19</t>
  </si>
  <si>
    <t>1397/09/20</t>
  </si>
  <si>
    <t>1397/09/21</t>
  </si>
  <si>
    <t>1397/09/22</t>
  </si>
  <si>
    <t>1397/09/23</t>
  </si>
  <si>
    <t>1397/09/24</t>
  </si>
  <si>
    <t>1397/09/25</t>
  </si>
  <si>
    <t>1397/09/26</t>
  </si>
  <si>
    <t>1397/09/27</t>
  </si>
  <si>
    <t>1397/09/28</t>
  </si>
  <si>
    <t>1397/09/29</t>
  </si>
  <si>
    <t>1397/09/30</t>
  </si>
  <si>
    <t>1397/10/01</t>
  </si>
  <si>
    <t>1397/10/02</t>
  </si>
  <si>
    <t>1397/10/03</t>
  </si>
  <si>
    <t>1397/10/04</t>
  </si>
  <si>
    <t>1397/10/05</t>
  </si>
  <si>
    <t>1397/10/06</t>
  </si>
  <si>
    <t>1397/10/07</t>
  </si>
  <si>
    <t>1397/10/08</t>
  </si>
  <si>
    <t>1397/10/09</t>
  </si>
  <si>
    <t>1397/10/10</t>
  </si>
  <si>
    <t>1397/10/11</t>
  </si>
  <si>
    <t>1397/10/12</t>
  </si>
  <si>
    <t>1397/10/13</t>
  </si>
  <si>
    <t>1397/10/14</t>
  </si>
  <si>
    <t>1397/10/15</t>
  </si>
  <si>
    <t>1397/10/16</t>
  </si>
  <si>
    <t>1397/10/17</t>
  </si>
  <si>
    <t>1397/10/18</t>
  </si>
  <si>
    <t>1397/10/19</t>
  </si>
  <si>
    <t>1397/10/20</t>
  </si>
  <si>
    <t>1397/10/21</t>
  </si>
  <si>
    <t>1397/10/22</t>
  </si>
  <si>
    <t>1397/10/23</t>
  </si>
  <si>
    <t>1397/10/24</t>
  </si>
  <si>
    <t>1397/10/25</t>
  </si>
  <si>
    <t>1397/10/26</t>
  </si>
  <si>
    <t>1397/10/27</t>
  </si>
  <si>
    <t>1397/10/28</t>
  </si>
  <si>
    <t>1397/10/29</t>
  </si>
  <si>
    <t>1397/10/30</t>
  </si>
  <si>
    <t>1397/11/01</t>
  </si>
  <si>
    <t>1397/11/02</t>
  </si>
  <si>
    <t>1397/11/03</t>
  </si>
  <si>
    <t>1397/11/04</t>
  </si>
  <si>
    <t>1397/11/05</t>
  </si>
  <si>
    <t>1397/11/06</t>
  </si>
  <si>
    <t>1397/11/07</t>
  </si>
  <si>
    <t>1397/11/08</t>
  </si>
  <si>
    <t>1397/11/09</t>
  </si>
  <si>
    <t>1397/11/10</t>
  </si>
  <si>
    <t>1397/11/11</t>
  </si>
  <si>
    <t>1397/11/12</t>
  </si>
  <si>
    <t>1397/11/13</t>
  </si>
  <si>
    <t>1397/11/14</t>
  </si>
  <si>
    <t>1397/11/15</t>
  </si>
  <si>
    <t>1397/11/16</t>
  </si>
  <si>
    <t>1397/11/17</t>
  </si>
  <si>
    <t>1397/11/18</t>
  </si>
  <si>
    <t>1397/11/19</t>
  </si>
  <si>
    <t>1397/11/20</t>
  </si>
  <si>
    <t>1397/11/21</t>
  </si>
  <si>
    <t>1397/11/22</t>
  </si>
  <si>
    <t>1397/11/23</t>
  </si>
  <si>
    <t>1397/11/24</t>
  </si>
  <si>
    <t>1397/11/25</t>
  </si>
  <si>
    <t>1397/11/26</t>
  </si>
  <si>
    <t>1397/11/27</t>
  </si>
  <si>
    <t>1397/11/28</t>
  </si>
  <si>
    <t>1397/11/29</t>
  </si>
  <si>
    <t>1397/11/30</t>
  </si>
  <si>
    <t>1397/12/01</t>
  </si>
  <si>
    <t>1397/12/02</t>
  </si>
  <si>
    <t>1397/12/03</t>
  </si>
  <si>
    <t>1397/12/04</t>
  </si>
  <si>
    <t>1397/12/05</t>
  </si>
  <si>
    <t>1397/12/06</t>
  </si>
  <si>
    <t>1397/12/07</t>
  </si>
  <si>
    <t>1397/12/08</t>
  </si>
  <si>
    <t>1397/12/09</t>
  </si>
  <si>
    <t>1397/12/10</t>
  </si>
  <si>
    <t>1397/12/11</t>
  </si>
  <si>
    <t>1397/12/12</t>
  </si>
  <si>
    <t>1397/12/13</t>
  </si>
  <si>
    <t>1397/12/14</t>
  </si>
  <si>
    <t>1397/12/15</t>
  </si>
  <si>
    <t>1397/12/16</t>
  </si>
  <si>
    <t>1397/12/17</t>
  </si>
  <si>
    <t>1397/12/18</t>
  </si>
  <si>
    <t>1397/12/19</t>
  </si>
  <si>
    <t>1397/12/20</t>
  </si>
  <si>
    <t>1397/12/21</t>
  </si>
  <si>
    <t>1397/12/22</t>
  </si>
  <si>
    <t>1397/12/23</t>
  </si>
  <si>
    <t>1397/12/24</t>
  </si>
  <si>
    <t>1397/12/25</t>
  </si>
  <si>
    <t>1397/12/26</t>
  </si>
  <si>
    <t>1397/12/27</t>
  </si>
  <si>
    <t>1397/12/28</t>
  </si>
  <si>
    <t>1397/12/29</t>
  </si>
  <si>
    <t>1398/01/01</t>
  </si>
  <si>
    <t>1398/01/02</t>
  </si>
  <si>
    <t>1398/01/03</t>
  </si>
  <si>
    <t>1398/01/04</t>
  </si>
  <si>
    <t>1398/01/05</t>
  </si>
  <si>
    <t>1398/01/06</t>
  </si>
  <si>
    <t>1398/01/07</t>
  </si>
  <si>
    <t>1398/01/08</t>
  </si>
  <si>
    <t>1398/01/09</t>
  </si>
  <si>
    <t>1398/01/10</t>
  </si>
  <si>
    <t>1398/01/11</t>
  </si>
  <si>
    <t>1398/01/12</t>
  </si>
  <si>
    <t>1398/01/13</t>
  </si>
  <si>
    <t>1398/01/14</t>
  </si>
  <si>
    <t>1398/01/15</t>
  </si>
  <si>
    <t>1398/01/16</t>
  </si>
  <si>
    <t>1398/01/17</t>
  </si>
  <si>
    <t>1398/01/18</t>
  </si>
  <si>
    <t>1398/01/19</t>
  </si>
  <si>
    <t>1398/01/20</t>
  </si>
  <si>
    <t>1398/01/21</t>
  </si>
  <si>
    <t>1398/01/22</t>
  </si>
  <si>
    <t>1398/01/23</t>
  </si>
  <si>
    <t>1398/01/24</t>
  </si>
  <si>
    <t>1398/01/25</t>
  </si>
  <si>
    <t>1398/01/26</t>
  </si>
  <si>
    <t>1398/01/27</t>
  </si>
  <si>
    <t>1398/01/28</t>
  </si>
  <si>
    <t>1398/01/29</t>
  </si>
  <si>
    <t>1398/01/30</t>
  </si>
  <si>
    <t>1398/01/31</t>
  </si>
  <si>
    <t>1398/02/01</t>
  </si>
  <si>
    <t>1398/02/02</t>
  </si>
  <si>
    <t>1398/02/03</t>
  </si>
  <si>
    <t>1398/02/04</t>
  </si>
  <si>
    <t>1398/02/05</t>
  </si>
  <si>
    <t>1398/02/06</t>
  </si>
  <si>
    <t>1398/02/07</t>
  </si>
  <si>
    <t>1398/02/08</t>
  </si>
  <si>
    <t>1398/02/09</t>
  </si>
  <si>
    <t>1398/02/10</t>
  </si>
  <si>
    <t>1398/02/11</t>
  </si>
  <si>
    <t>1398/02/12</t>
  </si>
  <si>
    <t>1398/02/13</t>
  </si>
  <si>
    <t>1398/02/14</t>
  </si>
  <si>
    <t>1398/02/15</t>
  </si>
  <si>
    <t>1398/02/16</t>
  </si>
  <si>
    <t>1398/02/17</t>
  </si>
  <si>
    <t>1398/02/18</t>
  </si>
  <si>
    <t>1398/02/19</t>
  </si>
  <si>
    <t>1398/02/20</t>
  </si>
  <si>
    <t>1398/02/21</t>
  </si>
  <si>
    <t>1398/02/22</t>
  </si>
  <si>
    <t>1398/02/23</t>
  </si>
  <si>
    <t>1398/02/24</t>
  </si>
  <si>
    <t>1398/02/25</t>
  </si>
  <si>
    <t>1398/02/26</t>
  </si>
  <si>
    <t>1398/02/27</t>
  </si>
  <si>
    <t>1398/02/28</t>
  </si>
  <si>
    <t>1398/02/29</t>
  </si>
  <si>
    <t>1398/02/30</t>
  </si>
  <si>
    <t>1398/02/31</t>
  </si>
  <si>
    <t>1398/03/01</t>
  </si>
  <si>
    <t>1398/03/02</t>
  </si>
  <si>
    <t>1398/03/03</t>
  </si>
  <si>
    <t>1398/03/04</t>
  </si>
  <si>
    <t>1398/03/05</t>
  </si>
  <si>
    <t>1398/03/06</t>
  </si>
  <si>
    <t>1398/03/07</t>
  </si>
  <si>
    <t>1398/03/08</t>
  </si>
  <si>
    <t>1398/03/09</t>
  </si>
  <si>
    <t>1398/03/10</t>
  </si>
  <si>
    <t>1398/03/11</t>
  </si>
  <si>
    <t>1398/03/12</t>
  </si>
  <si>
    <t>1398/03/13</t>
  </si>
  <si>
    <t>1398/03/14</t>
  </si>
  <si>
    <t>1398/03/15</t>
  </si>
  <si>
    <t>1398/03/16</t>
  </si>
  <si>
    <t>1398/03/17</t>
  </si>
  <si>
    <t>1398/03/18</t>
  </si>
  <si>
    <t>1398/03/19</t>
  </si>
  <si>
    <t>1398/03/20</t>
  </si>
  <si>
    <t>1398/03/21</t>
  </si>
  <si>
    <t>1398/03/22</t>
  </si>
  <si>
    <t>1398/03/23</t>
  </si>
  <si>
    <t>1398/03/24</t>
  </si>
  <si>
    <t>1398/03/25</t>
  </si>
  <si>
    <t>1398/03/26</t>
  </si>
  <si>
    <t>1398/03/27</t>
  </si>
  <si>
    <t>1398/03/28</t>
  </si>
  <si>
    <t>1398/03/29</t>
  </si>
  <si>
    <t>1398/03/30</t>
  </si>
  <si>
    <t>1398/03/31</t>
  </si>
  <si>
    <t>1398/04/01</t>
  </si>
  <si>
    <t>1398/04/02</t>
  </si>
  <si>
    <t>1398/04/03</t>
  </si>
  <si>
    <t>1398/04/04</t>
  </si>
  <si>
    <t>1398/04/05</t>
  </si>
  <si>
    <t>1398/04/06</t>
  </si>
  <si>
    <t>1398/04/07</t>
  </si>
  <si>
    <t>1398/04/08</t>
  </si>
  <si>
    <t>1398/04/09</t>
  </si>
  <si>
    <t>1398/04/10</t>
  </si>
  <si>
    <t>1398/04/11</t>
  </si>
  <si>
    <t>1398/04/12</t>
  </si>
  <si>
    <t>1398/04/13</t>
  </si>
  <si>
    <t>1398/04/14</t>
  </si>
  <si>
    <t>1398/04/15</t>
  </si>
  <si>
    <t>1398/04/16</t>
  </si>
  <si>
    <t>1398/04/17</t>
  </si>
  <si>
    <t>1398/04/18</t>
  </si>
  <si>
    <t>1398/04/19</t>
  </si>
  <si>
    <t>1398/04/20</t>
  </si>
  <si>
    <t>1398/04/21</t>
  </si>
  <si>
    <t>1398/04/22</t>
  </si>
  <si>
    <t>1398/04/23</t>
  </si>
  <si>
    <t>1398/04/24</t>
  </si>
  <si>
    <t>1398/04/25</t>
  </si>
  <si>
    <t>1398/04/26</t>
  </si>
  <si>
    <t>1398/04/27</t>
  </si>
  <si>
    <t>1398/04/28</t>
  </si>
  <si>
    <t>1398/04/29</t>
  </si>
  <si>
    <t>1398/04/30</t>
  </si>
  <si>
    <t>1398/04/31</t>
  </si>
  <si>
    <t>1398/05/01</t>
  </si>
  <si>
    <t>1398/05/02</t>
  </si>
  <si>
    <t>1398/05/03</t>
  </si>
  <si>
    <t>1398/05/04</t>
  </si>
  <si>
    <t>1398/05/05</t>
  </si>
  <si>
    <t>1398/05/06</t>
  </si>
  <si>
    <t>1398/05/07</t>
  </si>
  <si>
    <t>1398/05/08</t>
  </si>
  <si>
    <t>1398/05/09</t>
  </si>
  <si>
    <t>1398/05/10</t>
  </si>
  <si>
    <t>1398/05/11</t>
  </si>
  <si>
    <t>1398/05/12</t>
  </si>
  <si>
    <t>1398/05/13</t>
  </si>
  <si>
    <t>1398/05/14</t>
  </si>
  <si>
    <t>1398/05/15</t>
  </si>
  <si>
    <t>1398/05/16</t>
  </si>
  <si>
    <t>1398/05/17</t>
  </si>
  <si>
    <t>1398/05/18</t>
  </si>
  <si>
    <t>1398/05/19</t>
  </si>
  <si>
    <t>1398/05/20</t>
  </si>
  <si>
    <t>1398/05/21</t>
  </si>
  <si>
    <t>1398/05/22</t>
  </si>
  <si>
    <t>1398/05/23</t>
  </si>
  <si>
    <t>1398/05/24</t>
  </si>
  <si>
    <t>1398/05/25</t>
  </si>
  <si>
    <t>1398/05/26</t>
  </si>
  <si>
    <t>1398/05/27</t>
  </si>
  <si>
    <t>1398/05/28</t>
  </si>
  <si>
    <t>1398/05/29</t>
  </si>
  <si>
    <t>1398/05/30</t>
  </si>
  <si>
    <t>1398/05/31</t>
  </si>
  <si>
    <t>1398/06/01</t>
  </si>
  <si>
    <t>1398/06/02</t>
  </si>
  <si>
    <t>1398/06/03</t>
  </si>
  <si>
    <t>1398/06/04</t>
  </si>
  <si>
    <t>1398/06/05</t>
  </si>
  <si>
    <t>1398/06/06</t>
  </si>
  <si>
    <t>1398/06/07</t>
  </si>
  <si>
    <t>1398/06/08</t>
  </si>
  <si>
    <t>1398/06/09</t>
  </si>
  <si>
    <t>1398/06/10</t>
  </si>
  <si>
    <t>1398/06/11</t>
  </si>
  <si>
    <t>1398/06/12</t>
  </si>
  <si>
    <t>1398/06/13</t>
  </si>
  <si>
    <t>1398/06/14</t>
  </si>
  <si>
    <t>1398/06/15</t>
  </si>
  <si>
    <t>1398/06/16</t>
  </si>
  <si>
    <t>1398/06/17</t>
  </si>
  <si>
    <t>1398/06/18</t>
  </si>
  <si>
    <t>1398/06/19</t>
  </si>
  <si>
    <t>1398/06/20</t>
  </si>
  <si>
    <t>1398/06/21</t>
  </si>
  <si>
    <t>1398/06/22</t>
  </si>
  <si>
    <t>1398/06/23</t>
  </si>
  <si>
    <t>1398/06/24</t>
  </si>
  <si>
    <t>1398/06/25</t>
  </si>
  <si>
    <t>1398/06/26</t>
  </si>
  <si>
    <t>1398/06/27</t>
  </si>
  <si>
    <t>1398/06/28</t>
  </si>
  <si>
    <t>1398/06/29</t>
  </si>
  <si>
    <t>1398/06/30</t>
  </si>
  <si>
    <t>1398/06/31</t>
  </si>
  <si>
    <t>1398/07/01</t>
  </si>
  <si>
    <t>1398/07/02</t>
  </si>
  <si>
    <t>1398/07/03</t>
  </si>
  <si>
    <t>1398/07/04</t>
  </si>
  <si>
    <t>1398/07/05</t>
  </si>
  <si>
    <t>1398/07/06</t>
  </si>
  <si>
    <t>1398/07/07</t>
  </si>
  <si>
    <t>1398/07/08</t>
  </si>
  <si>
    <t>1398/07/09</t>
  </si>
  <si>
    <t>1398/07/10</t>
  </si>
  <si>
    <t>1398/07/11</t>
  </si>
  <si>
    <t>1398/07/12</t>
  </si>
  <si>
    <t>1398/07/13</t>
  </si>
  <si>
    <t>1398/07/14</t>
  </si>
  <si>
    <t>1398/07/15</t>
  </si>
  <si>
    <t>1398/07/16</t>
  </si>
  <si>
    <t>1398/07/17</t>
  </si>
  <si>
    <t>1398/07/18</t>
  </si>
  <si>
    <t>1398/07/19</t>
  </si>
  <si>
    <t>1398/07/20</t>
  </si>
  <si>
    <t>1398/07/21</t>
  </si>
  <si>
    <t>1398/07/22</t>
  </si>
  <si>
    <t>1398/07/23</t>
  </si>
  <si>
    <t>1398/07/24</t>
  </si>
  <si>
    <t>1398/07/25</t>
  </si>
  <si>
    <t>1398/07/26</t>
  </si>
  <si>
    <t>1398/07/27</t>
  </si>
  <si>
    <t>1398/07/28</t>
  </si>
  <si>
    <t>1398/07/29</t>
  </si>
  <si>
    <t>1398/07/30</t>
  </si>
  <si>
    <t>1398/08/01</t>
  </si>
  <si>
    <t>1398/08/02</t>
  </si>
  <si>
    <t>1398/08/03</t>
  </si>
  <si>
    <t>1398/08/04</t>
  </si>
  <si>
    <t>1398/08/05</t>
  </si>
  <si>
    <t>1398/08/06</t>
  </si>
  <si>
    <t>1398/08/07</t>
  </si>
  <si>
    <t>1398/08/08</t>
  </si>
  <si>
    <t>1398/08/09</t>
  </si>
  <si>
    <t>1398/08/10</t>
  </si>
  <si>
    <t>1398/08/11</t>
  </si>
  <si>
    <t>1398/08/12</t>
  </si>
  <si>
    <t>1398/08/13</t>
  </si>
  <si>
    <t>1398/08/14</t>
  </si>
  <si>
    <t>1398/08/15</t>
  </si>
  <si>
    <t>1398/08/16</t>
  </si>
  <si>
    <t>1398/08/17</t>
  </si>
  <si>
    <t>1398/08/18</t>
  </si>
  <si>
    <t>1398/08/19</t>
  </si>
  <si>
    <t>1398/08/20</t>
  </si>
  <si>
    <t>1398/08/21</t>
  </si>
  <si>
    <t>1398/08/22</t>
  </si>
  <si>
    <t>1398/08/23</t>
  </si>
  <si>
    <t>1398/08/24</t>
  </si>
  <si>
    <t>1398/08/25</t>
  </si>
  <si>
    <t>1398/08/26</t>
  </si>
  <si>
    <t>1398/08/27</t>
  </si>
  <si>
    <t>1398/08/28</t>
  </si>
  <si>
    <t>1398/08/29</t>
  </si>
  <si>
    <t>1398/08/30</t>
  </si>
  <si>
    <t>1398/09/01</t>
  </si>
  <si>
    <t>1398/09/02</t>
  </si>
  <si>
    <t>1398/09/03</t>
  </si>
  <si>
    <t>1398/09/04</t>
  </si>
  <si>
    <t>1398/09/05</t>
  </si>
  <si>
    <t>1398/09/06</t>
  </si>
  <si>
    <t>1398/09/07</t>
  </si>
  <si>
    <t>1398/09/08</t>
  </si>
  <si>
    <t>1398/09/09</t>
  </si>
  <si>
    <t>1398/09/10</t>
  </si>
  <si>
    <t>1398/09/11</t>
  </si>
  <si>
    <t>1398/09/12</t>
  </si>
  <si>
    <t>1398/09/13</t>
  </si>
  <si>
    <t>1398/09/14</t>
  </si>
  <si>
    <t>1398/09/15</t>
  </si>
  <si>
    <t>1398/09/16</t>
  </si>
  <si>
    <t>1398/09/17</t>
  </si>
  <si>
    <t>1398/09/18</t>
  </si>
  <si>
    <t>1398/09/19</t>
  </si>
  <si>
    <t>1398/09/20</t>
  </si>
  <si>
    <t>1398/09/21</t>
  </si>
  <si>
    <t>1398/09/22</t>
  </si>
  <si>
    <t>1398/09/23</t>
  </si>
  <si>
    <t>1398/09/24</t>
  </si>
  <si>
    <t>1398/09/25</t>
  </si>
  <si>
    <t>1398/09/26</t>
  </si>
  <si>
    <t>1398/09/27</t>
  </si>
  <si>
    <t>1398/09/28</t>
  </si>
  <si>
    <t>1398/09/29</t>
  </si>
  <si>
    <t>1398/09/30</t>
  </si>
  <si>
    <t>1398/10/01</t>
  </si>
  <si>
    <t>1398/10/02</t>
  </si>
  <si>
    <t>1398/10/03</t>
  </si>
  <si>
    <t>1398/10/04</t>
  </si>
  <si>
    <t>1398/10/05</t>
  </si>
  <si>
    <t>1398/10/06</t>
  </si>
  <si>
    <t>1398/10/07</t>
  </si>
  <si>
    <t>1398/10/08</t>
  </si>
  <si>
    <t>1398/10/09</t>
  </si>
  <si>
    <t>1398/10/10</t>
  </si>
  <si>
    <t>1398/10/11</t>
  </si>
  <si>
    <t>1398/10/12</t>
  </si>
  <si>
    <t>1398/10/13</t>
  </si>
  <si>
    <t>1398/10/14</t>
  </si>
  <si>
    <t>1398/10/15</t>
  </si>
  <si>
    <t>1398/10/16</t>
  </si>
  <si>
    <t>1398/10/17</t>
  </si>
  <si>
    <t>1398/10/18</t>
  </si>
  <si>
    <t>1398/10/19</t>
  </si>
  <si>
    <t>1398/10/20</t>
  </si>
  <si>
    <t>1398/10/21</t>
  </si>
  <si>
    <t>1398/10/22</t>
  </si>
  <si>
    <t>1398/10/23</t>
  </si>
  <si>
    <t>1398/10/24</t>
  </si>
  <si>
    <t>1398/10/25</t>
  </si>
  <si>
    <t>1398/10/26</t>
  </si>
  <si>
    <t>1398/10/27</t>
  </si>
  <si>
    <t>1398/10/28</t>
  </si>
  <si>
    <t>1398/10/29</t>
  </si>
  <si>
    <t>1398/10/30</t>
  </si>
  <si>
    <t>1398/11/01</t>
  </si>
  <si>
    <t>1398/11/02</t>
  </si>
  <si>
    <t>1398/11/03</t>
  </si>
  <si>
    <t>1398/11/04</t>
  </si>
  <si>
    <t>1398/11/05</t>
  </si>
  <si>
    <t>1398/11/06</t>
  </si>
  <si>
    <t>1398/11/07</t>
  </si>
  <si>
    <t>1398/11/08</t>
  </si>
  <si>
    <t>1398/11/09</t>
  </si>
  <si>
    <t>1398/11/10</t>
  </si>
  <si>
    <t>1398/11/11</t>
  </si>
  <si>
    <t>1398/11/12</t>
  </si>
  <si>
    <t>1398/11/13</t>
  </si>
  <si>
    <t>1398/11/14</t>
  </si>
  <si>
    <t>1398/11/15</t>
  </si>
  <si>
    <t>1398/11/16</t>
  </si>
  <si>
    <t>1398/11/17</t>
  </si>
  <si>
    <t>1398/11/18</t>
  </si>
  <si>
    <t>1398/11/19</t>
  </si>
  <si>
    <t>1398/11/20</t>
  </si>
  <si>
    <t>1398/11/21</t>
  </si>
  <si>
    <t>1398/11/22</t>
  </si>
  <si>
    <t>1398/11/23</t>
  </si>
  <si>
    <t>1398/11/24</t>
  </si>
  <si>
    <t>1398/11/25</t>
  </si>
  <si>
    <t>1398/11/26</t>
  </si>
  <si>
    <t>1398/11/27</t>
  </si>
  <si>
    <t>1398/11/28</t>
  </si>
  <si>
    <t>1398/11/29</t>
  </si>
  <si>
    <t>1398/11/30</t>
  </si>
  <si>
    <t>1398/12/01</t>
  </si>
  <si>
    <t>1398/12/02</t>
  </si>
  <si>
    <t xml:space="preserve"> </t>
  </si>
  <si>
    <t>1398/12/03</t>
  </si>
  <si>
    <t>1398/12/04</t>
  </si>
  <si>
    <t>1398/12/05</t>
  </si>
  <si>
    <t>1398/12/06</t>
  </si>
  <si>
    <t>1398/12/07</t>
  </si>
  <si>
    <t>1398/12/08</t>
  </si>
  <si>
    <t>1398/12/09</t>
  </si>
  <si>
    <t>1398/12/10</t>
  </si>
  <si>
    <t>1398/12/11</t>
  </si>
  <si>
    <t>1398/12/12</t>
  </si>
  <si>
    <t>1398/12/13</t>
  </si>
  <si>
    <t>1398/12/14</t>
  </si>
  <si>
    <t>1398/12/15</t>
  </si>
  <si>
    <t>1398/12/16</t>
  </si>
  <si>
    <t>1398/12/17</t>
  </si>
  <si>
    <t>1398/12/18</t>
  </si>
  <si>
    <t>1398/12/19</t>
  </si>
  <si>
    <t>1398/12/20</t>
  </si>
  <si>
    <t>1398/12/21</t>
  </si>
  <si>
    <t>1398/12/22</t>
  </si>
  <si>
    <t>1398/12/23</t>
  </si>
  <si>
    <t>1398/12/24</t>
  </si>
  <si>
    <t>1398/12/25</t>
  </si>
  <si>
    <t>1398/12/26</t>
  </si>
  <si>
    <t>1398/12/27</t>
  </si>
  <si>
    <t>1398/12/28</t>
  </si>
  <si>
    <t>1398/12/29</t>
  </si>
  <si>
    <t>1399/01/01</t>
  </si>
  <si>
    <t>1399/01/02</t>
  </si>
  <si>
    <t>1399/01/03</t>
  </si>
  <si>
    <t>1399/01/04</t>
  </si>
  <si>
    <t>1399/01/05</t>
  </si>
  <si>
    <t>1399/01/06</t>
  </si>
  <si>
    <t>1399/01/07</t>
  </si>
  <si>
    <t>1399/01/08</t>
  </si>
  <si>
    <t>1399/01/09</t>
  </si>
  <si>
    <t>1399/01/10</t>
  </si>
  <si>
    <t>1399/01/11</t>
  </si>
  <si>
    <t>1399/01/12</t>
  </si>
  <si>
    <t>1399/01/13</t>
  </si>
  <si>
    <t>1399/01/14</t>
  </si>
  <si>
    <t>1399/01/15</t>
  </si>
  <si>
    <t>1399/01/16</t>
  </si>
  <si>
    <t>1399/01/17</t>
  </si>
  <si>
    <t>1399/01/18</t>
  </si>
  <si>
    <t>1399/01/19</t>
  </si>
  <si>
    <t>1399/01/20</t>
  </si>
  <si>
    <t>1399/01/21</t>
  </si>
  <si>
    <t>1399/01/22</t>
  </si>
  <si>
    <t>1399/01/23</t>
  </si>
  <si>
    <t>1399/01/24</t>
  </si>
  <si>
    <t>1399/01/25</t>
  </si>
  <si>
    <t>1399/01/26</t>
  </si>
  <si>
    <t>1399/01/27</t>
  </si>
  <si>
    <t>1399/01/28</t>
  </si>
  <si>
    <t>1399/01/29</t>
  </si>
  <si>
    <t>1399/01/30</t>
  </si>
  <si>
    <t>1399/01/31</t>
  </si>
  <si>
    <t>1399/02/01</t>
  </si>
  <si>
    <t>1399/02/02</t>
  </si>
  <si>
    <t>1399/02/03</t>
  </si>
  <si>
    <t>1399/02/04</t>
  </si>
  <si>
    <t>1399/02/05</t>
  </si>
  <si>
    <t>1399/02/06</t>
  </si>
  <si>
    <t>1399/02/07</t>
  </si>
  <si>
    <t>1399/02/08</t>
  </si>
  <si>
    <t>1399/02/09</t>
  </si>
  <si>
    <t>1399/02/10</t>
  </si>
  <si>
    <t>1399/02/11</t>
  </si>
  <si>
    <t>1399/02/12</t>
  </si>
  <si>
    <t>1399/02/13</t>
  </si>
  <si>
    <t>1399/02/14</t>
  </si>
  <si>
    <t>1399/02/15</t>
  </si>
  <si>
    <t>1399/02/16</t>
  </si>
  <si>
    <t>1399/02/17</t>
  </si>
  <si>
    <t>1399/02/18</t>
  </si>
  <si>
    <t>1399/02/19</t>
  </si>
  <si>
    <t>1399/02/20</t>
  </si>
  <si>
    <t>1399/02/21</t>
  </si>
  <si>
    <t>1399/02/22</t>
  </si>
  <si>
    <t>1399/02/23</t>
  </si>
  <si>
    <t>1399/02/24</t>
  </si>
  <si>
    <t>1399/02/25</t>
  </si>
  <si>
    <t>1399/02/26</t>
  </si>
  <si>
    <t>1399/02/27</t>
  </si>
  <si>
    <t>1399/02/28</t>
  </si>
  <si>
    <t>1399/02/29</t>
  </si>
  <si>
    <t>1399/02/30</t>
  </si>
  <si>
    <t>1399/02/31</t>
  </si>
  <si>
    <t>1399/03/01</t>
  </si>
  <si>
    <t>1399/03/02</t>
  </si>
  <si>
    <t>1399/03/03</t>
  </si>
  <si>
    <t>1399/03/04</t>
  </si>
  <si>
    <t>1399/03/05</t>
  </si>
  <si>
    <t>1399/03/06</t>
  </si>
  <si>
    <t>1399/03/07</t>
  </si>
  <si>
    <t>1399/03/08</t>
  </si>
  <si>
    <t>1399/03/09</t>
  </si>
  <si>
    <t>1399/03/10</t>
  </si>
  <si>
    <t>1399/03/11</t>
  </si>
  <si>
    <t>1399/03/12</t>
  </si>
  <si>
    <t>1399/03/13</t>
  </si>
  <si>
    <t>1399/03/14</t>
  </si>
  <si>
    <t>1399/03/15</t>
  </si>
  <si>
    <t>1399/03/16</t>
  </si>
  <si>
    <t>1399/03/17</t>
  </si>
  <si>
    <t>1399/03/18</t>
  </si>
  <si>
    <t>1399/03/19</t>
  </si>
  <si>
    <t>1399/03/20</t>
  </si>
  <si>
    <t>1399/03/21</t>
  </si>
  <si>
    <t>1399/03/22</t>
  </si>
  <si>
    <t>1399/03/23</t>
  </si>
  <si>
    <t>1399/03/24</t>
  </si>
  <si>
    <t>1399/03/25</t>
  </si>
  <si>
    <t>1399/03/26</t>
  </si>
  <si>
    <t>1399/03/27</t>
  </si>
  <si>
    <t>1399/03/28</t>
  </si>
  <si>
    <t>1399/03/29</t>
  </si>
  <si>
    <t>1399/03/30</t>
  </si>
  <si>
    <t>1399/03/31</t>
  </si>
  <si>
    <t>1399/04/01</t>
  </si>
  <si>
    <t>1399/04/02</t>
  </si>
  <si>
    <t>1399/04/03</t>
  </si>
  <si>
    <t>1399/04/04</t>
  </si>
  <si>
    <t>1399/04/05</t>
  </si>
  <si>
    <t>1399/04/06</t>
  </si>
  <si>
    <t>1399/04/07</t>
  </si>
  <si>
    <t>1399/04/08</t>
  </si>
  <si>
    <t>1399/04/09</t>
  </si>
  <si>
    <t>1399/04/10</t>
  </si>
  <si>
    <t>1399/04/11</t>
  </si>
  <si>
    <t>1399/04/12</t>
  </si>
  <si>
    <t>1399/04/13</t>
  </si>
  <si>
    <t>1399/04/14</t>
  </si>
  <si>
    <t>1399/04/15</t>
  </si>
  <si>
    <t>1399/04/16</t>
  </si>
  <si>
    <t>1399/04/17</t>
  </si>
  <si>
    <t>1399/04/18</t>
  </si>
  <si>
    <t>1399/04/19</t>
  </si>
  <si>
    <t>1399/04/20</t>
  </si>
  <si>
    <t>1399/04/21</t>
  </si>
  <si>
    <t>1399/04/22</t>
  </si>
  <si>
    <t>1399/04/23</t>
  </si>
  <si>
    <t>1399/04/24</t>
  </si>
  <si>
    <t>1399/04/25</t>
  </si>
  <si>
    <t>1399/04/26</t>
  </si>
  <si>
    <t>1399/04/27</t>
  </si>
  <si>
    <t>1399/04/28</t>
  </si>
  <si>
    <t>1399/04/29</t>
  </si>
  <si>
    <t>1399/04/30</t>
  </si>
  <si>
    <t>1399/04/31</t>
  </si>
  <si>
    <t>1399/05/01</t>
  </si>
  <si>
    <t>1399/05/02</t>
  </si>
  <si>
    <t>1399/05/03</t>
  </si>
  <si>
    <t>1399/05/04</t>
  </si>
  <si>
    <t>1399/05/05</t>
  </si>
  <si>
    <t>1399/05/06</t>
  </si>
  <si>
    <t>1399/05/07</t>
  </si>
  <si>
    <t>1399/05/08</t>
  </si>
  <si>
    <t>1399/05/09</t>
  </si>
  <si>
    <t>1399/05/10</t>
  </si>
  <si>
    <t>1399/05/11</t>
  </si>
  <si>
    <t>1399/05/12</t>
  </si>
  <si>
    <t>1399/05/13</t>
  </si>
  <si>
    <t>1399/05/14</t>
  </si>
  <si>
    <t>1399/05/15</t>
  </si>
  <si>
    <t>1399/05/16</t>
  </si>
  <si>
    <t>1399/05/17</t>
  </si>
  <si>
    <t>1399/05/18</t>
  </si>
  <si>
    <t>1399/05/19</t>
  </si>
  <si>
    <t>1399/05/20</t>
  </si>
  <si>
    <t>1399/05/21</t>
  </si>
  <si>
    <t>1399/05/22</t>
  </si>
  <si>
    <t>1399/05/23</t>
  </si>
  <si>
    <t>1399/05/24</t>
  </si>
  <si>
    <t>1399/05/25</t>
  </si>
  <si>
    <t>1399/05/26</t>
  </si>
  <si>
    <t>1399/05/27</t>
  </si>
  <si>
    <t>1399/05/28</t>
  </si>
  <si>
    <t>1399/05/29</t>
  </si>
  <si>
    <t>1399/05/30</t>
  </si>
  <si>
    <t>1399/05/31</t>
  </si>
  <si>
    <t>1399/06/01</t>
  </si>
  <si>
    <t>1399/06/02</t>
  </si>
  <si>
    <t>1399/06/03</t>
  </si>
  <si>
    <t>1399/06/04</t>
  </si>
  <si>
    <t>1399/06/05</t>
  </si>
  <si>
    <t>1399/06/06</t>
  </si>
  <si>
    <t>1399/06/07</t>
  </si>
  <si>
    <t>1399/06/08</t>
  </si>
  <si>
    <t>1399/06/09</t>
  </si>
  <si>
    <t>1399/06/10</t>
  </si>
  <si>
    <t>1399/06/11</t>
  </si>
  <si>
    <t>1399/06/12</t>
  </si>
  <si>
    <t>1399/06/13</t>
  </si>
  <si>
    <t>1399/06/14</t>
  </si>
  <si>
    <t>1399/06/15</t>
  </si>
  <si>
    <t>1399/06/16</t>
  </si>
  <si>
    <t>1399/06/17</t>
  </si>
  <si>
    <t>1399/06/18</t>
  </si>
  <si>
    <t>1399/06/19</t>
  </si>
  <si>
    <t>1399/06/20</t>
  </si>
  <si>
    <t>1399/06/21</t>
  </si>
  <si>
    <t>1399/06/22</t>
  </si>
  <si>
    <t>1399/06/23</t>
  </si>
  <si>
    <t>1399/06/24</t>
  </si>
  <si>
    <t>1399/06/25</t>
  </si>
  <si>
    <t>1399/06/26</t>
  </si>
  <si>
    <t>1399/06/27</t>
  </si>
  <si>
    <t>1399/06/28</t>
  </si>
  <si>
    <t>1399/06/29</t>
  </si>
  <si>
    <t>1399/06/30</t>
  </si>
  <si>
    <t>1399/06/31</t>
  </si>
  <si>
    <t>1399/07/01</t>
  </si>
  <si>
    <t>1399/07/02</t>
  </si>
  <si>
    <t>1399/07/03</t>
  </si>
  <si>
    <t>1399/07/04</t>
  </si>
  <si>
    <t>1399/07/05</t>
  </si>
  <si>
    <t>1399/07/06</t>
  </si>
  <si>
    <t>1399/07/07</t>
  </si>
  <si>
    <t>1399/07/08</t>
  </si>
  <si>
    <t>1399/07/09</t>
  </si>
  <si>
    <t>1399/07/10</t>
  </si>
  <si>
    <t>1399/07/11</t>
  </si>
  <si>
    <t>1399/07/12</t>
  </si>
  <si>
    <t>1399/07/13</t>
  </si>
  <si>
    <t>1399/07/14</t>
  </si>
  <si>
    <t>1399/07/15</t>
  </si>
  <si>
    <t>1399/07/16</t>
  </si>
  <si>
    <t>1399/07/17</t>
  </si>
  <si>
    <t>1399/07/18</t>
  </si>
  <si>
    <t>1399/07/19</t>
  </si>
  <si>
    <t>1399/07/20</t>
  </si>
  <si>
    <t>1399/07/21</t>
  </si>
  <si>
    <t>1399/07/22</t>
  </si>
  <si>
    <t>1399/07/23</t>
  </si>
  <si>
    <t>1399/07/24</t>
  </si>
  <si>
    <t>1399/07/25</t>
  </si>
  <si>
    <t>1399/07/26</t>
  </si>
  <si>
    <t>1399/07/27</t>
  </si>
  <si>
    <t>1399/07/28</t>
  </si>
  <si>
    <t>1399/07/29</t>
  </si>
  <si>
    <t>1399/07/30</t>
  </si>
  <si>
    <t>1399/08/01</t>
  </si>
  <si>
    <t>1399/08/02</t>
  </si>
  <si>
    <t>1399/08/03</t>
  </si>
  <si>
    <t>1399/08/04</t>
  </si>
  <si>
    <t>1399/08/05</t>
  </si>
  <si>
    <t>1399/08/06</t>
  </si>
  <si>
    <t>1399/08/07</t>
  </si>
  <si>
    <t>1399/08/08</t>
  </si>
  <si>
    <t>1399/08/09</t>
  </si>
  <si>
    <t>1399/08/10</t>
  </si>
  <si>
    <t>1399/08/11</t>
  </si>
  <si>
    <t>1399/08/12</t>
  </si>
  <si>
    <t>1399/08/13</t>
  </si>
  <si>
    <t>1399/08/14</t>
  </si>
  <si>
    <t>1399/08/15</t>
  </si>
  <si>
    <t>1399/08/16</t>
  </si>
  <si>
    <t>1399/08/17</t>
  </si>
  <si>
    <t>1399/08/18</t>
  </si>
  <si>
    <t>1399/08/19</t>
  </si>
  <si>
    <t>1399/08/20</t>
  </si>
  <si>
    <t>1399/08/21</t>
  </si>
  <si>
    <t>1399/08/22</t>
  </si>
  <si>
    <t>1399/08/23</t>
  </si>
  <si>
    <t>1399/08/24</t>
  </si>
  <si>
    <t>1399/08/25</t>
  </si>
  <si>
    <t>1399/08/26</t>
  </si>
  <si>
    <t>1399/08/27</t>
  </si>
  <si>
    <t>1399/08/28</t>
  </si>
  <si>
    <t>1399/08/29</t>
  </si>
  <si>
    <t>1399/08/30</t>
  </si>
  <si>
    <t>1399/09/01</t>
  </si>
  <si>
    <t>1399/09/02</t>
  </si>
  <si>
    <t>1399/09/03</t>
  </si>
  <si>
    <t>1399/09/04</t>
  </si>
  <si>
    <t>1399/09/05</t>
  </si>
  <si>
    <t>1399/09/06</t>
  </si>
  <si>
    <t>1399/09/07</t>
  </si>
  <si>
    <t>1399/09/08</t>
  </si>
  <si>
    <t>1399/09/09</t>
  </si>
  <si>
    <t>1399/09/10</t>
  </si>
  <si>
    <t>1399/09/11</t>
  </si>
  <si>
    <t>1399/09/12</t>
  </si>
  <si>
    <t>1399/09/13</t>
  </si>
  <si>
    <t>1399/09/14</t>
  </si>
  <si>
    <t>1399/09/15</t>
  </si>
  <si>
    <t>1399/09/16</t>
  </si>
  <si>
    <t>1399/09/17</t>
  </si>
  <si>
    <t>1399/09/18</t>
  </si>
  <si>
    <t>1399/09/19</t>
  </si>
  <si>
    <t>1399/09/20</t>
  </si>
  <si>
    <t>1399/09/21</t>
  </si>
  <si>
    <t>1399/09/22</t>
  </si>
  <si>
    <t>1399/09/23</t>
  </si>
  <si>
    <t>1399/09/24</t>
  </si>
  <si>
    <t>1399/09/25</t>
  </si>
  <si>
    <t>1399/09/26</t>
  </si>
  <si>
    <t>1399/09/27</t>
  </si>
  <si>
    <t>1399/09/28</t>
  </si>
  <si>
    <t>1399/09/29</t>
  </si>
  <si>
    <t>1399/09/30</t>
  </si>
  <si>
    <t>1399/10/01</t>
  </si>
  <si>
    <t>1399/10/02</t>
  </si>
  <si>
    <t>1399/10/03</t>
  </si>
  <si>
    <t>1399/10/04</t>
  </si>
  <si>
    <t>1399/10/05</t>
  </si>
  <si>
    <t>1399/10/06</t>
  </si>
  <si>
    <t>1399/10/07</t>
  </si>
  <si>
    <t>1399/10/08</t>
  </si>
  <si>
    <t>1399/10/09</t>
  </si>
  <si>
    <t>1399/10/10</t>
  </si>
  <si>
    <t>1399/10/11</t>
  </si>
  <si>
    <t>1399/10/12</t>
  </si>
  <si>
    <t>1399/10/13</t>
  </si>
  <si>
    <t>1399/10/14</t>
  </si>
  <si>
    <t>1399/10/15</t>
  </si>
  <si>
    <t>1399/10/16</t>
  </si>
  <si>
    <t>1399/10/17</t>
  </si>
  <si>
    <t>1399/10/18</t>
  </si>
  <si>
    <t>1399/10/19</t>
  </si>
  <si>
    <t>1399/10/20</t>
  </si>
  <si>
    <t>1399/10/21</t>
  </si>
  <si>
    <t>1399/10/22</t>
  </si>
  <si>
    <t>1399/10/23</t>
  </si>
  <si>
    <t>1399/10/24</t>
  </si>
  <si>
    <t>1399/10/25</t>
  </si>
  <si>
    <t>1399/10/26</t>
  </si>
  <si>
    <t>1399/10/27</t>
  </si>
  <si>
    <t>1399/10/28</t>
  </si>
  <si>
    <t>1399/10/29</t>
  </si>
  <si>
    <t>1399/10/30</t>
  </si>
  <si>
    <t>1399/11/01</t>
  </si>
  <si>
    <t>1399/11/02</t>
  </si>
  <si>
    <t>1399/11/03</t>
  </si>
  <si>
    <t>1399/11/04</t>
  </si>
  <si>
    <t>1399/11/05</t>
  </si>
  <si>
    <t>1399/11/06</t>
  </si>
  <si>
    <t>1399/11/07</t>
  </si>
  <si>
    <t>1399/11/08</t>
  </si>
  <si>
    <t>1399/11/09</t>
  </si>
  <si>
    <t>1399/11/10</t>
  </si>
  <si>
    <t>1399/11/11</t>
  </si>
  <si>
    <t>1399/11/12</t>
  </si>
  <si>
    <t>1399/11/13</t>
  </si>
  <si>
    <t>1399/11/14</t>
  </si>
  <si>
    <t>1399/11/15</t>
  </si>
  <si>
    <t>1399/11/16</t>
  </si>
  <si>
    <t>1399/11/17</t>
  </si>
  <si>
    <t>1399/11/18</t>
  </si>
  <si>
    <t>1399/11/19</t>
  </si>
  <si>
    <t>1399/11/20</t>
  </si>
  <si>
    <t>1399/11/21</t>
  </si>
  <si>
    <t>1399/11/22</t>
  </si>
  <si>
    <t>1399/11/23</t>
  </si>
  <si>
    <t>1399/11/24</t>
  </si>
  <si>
    <t>1399/11/25</t>
  </si>
  <si>
    <t>1399/11/26</t>
  </si>
  <si>
    <t>1399/11/27</t>
  </si>
  <si>
    <t>1399/11/28</t>
  </si>
  <si>
    <t>1399/11/29</t>
  </si>
  <si>
    <t>1399/11/30</t>
  </si>
  <si>
    <t>1399/12/01</t>
  </si>
  <si>
    <t>1399/12/02</t>
  </si>
  <si>
    <t>1399/12/03</t>
  </si>
  <si>
    <t>1399/12/04</t>
  </si>
  <si>
    <t>1399/12/05</t>
  </si>
  <si>
    <t>1399/12/06</t>
  </si>
  <si>
    <t>1399/12/07</t>
  </si>
  <si>
    <t>1399/12/08</t>
  </si>
  <si>
    <t>1399/12/09</t>
  </si>
  <si>
    <t>1399/12/10</t>
  </si>
  <si>
    <t>1399/12/11</t>
  </si>
  <si>
    <t>1399/12/12</t>
  </si>
  <si>
    <t>1399/12/13</t>
  </si>
  <si>
    <t>1399/12/14</t>
  </si>
  <si>
    <t>1399/12/15</t>
  </si>
  <si>
    <t>1399/12/16</t>
  </si>
  <si>
    <t>1399/12/17</t>
  </si>
  <si>
    <t>1399/12/18</t>
  </si>
  <si>
    <t>1399/12/19</t>
  </si>
  <si>
    <t>1399/12/20</t>
  </si>
  <si>
    <t>1399/12/21</t>
  </si>
  <si>
    <t>1399/12/22</t>
  </si>
  <si>
    <t>1399/12/23</t>
  </si>
  <si>
    <t>1399/12/24</t>
  </si>
  <si>
    <t>1399/12/25</t>
  </si>
  <si>
    <t>1399/12/26</t>
  </si>
  <si>
    <t>1399/12/27</t>
  </si>
  <si>
    <t>1399/12/28</t>
  </si>
  <si>
    <t>1399/12/29</t>
  </si>
  <si>
    <t>1399/12/30</t>
  </si>
  <si>
    <t>1400/01/01</t>
  </si>
  <si>
    <t>1400/01/02</t>
  </si>
  <si>
    <t>1400/01/03</t>
  </si>
  <si>
    <t>1400/01/04</t>
  </si>
  <si>
    <t>1400/01/05</t>
  </si>
  <si>
    <t>1400/01/06</t>
  </si>
  <si>
    <t>1400/01/07</t>
  </si>
  <si>
    <t>1400/01/08</t>
  </si>
  <si>
    <t>1400/01/09</t>
  </si>
  <si>
    <t>1400/01/10</t>
  </si>
  <si>
    <t>1400/01/11</t>
  </si>
  <si>
    <t>1400/01/12</t>
  </si>
  <si>
    <t>1400/01/13</t>
  </si>
  <si>
    <t>1400/01/14</t>
  </si>
  <si>
    <t>1400/01/15</t>
  </si>
  <si>
    <t>1400/01/16</t>
  </si>
  <si>
    <t>1400/01/17</t>
  </si>
  <si>
    <t>1400/01/18</t>
  </si>
  <si>
    <t>1400/01/19</t>
  </si>
  <si>
    <t>1400/01/20</t>
  </si>
  <si>
    <t>1400/01/21</t>
  </si>
  <si>
    <t>1400/01/22</t>
  </si>
  <si>
    <t>1400/01/23</t>
  </si>
  <si>
    <t>1400/01/24</t>
  </si>
  <si>
    <t>1400/01/25</t>
  </si>
  <si>
    <t>1400/01/26</t>
  </si>
  <si>
    <t>1400/01/27</t>
  </si>
  <si>
    <t>1400/01/28</t>
  </si>
  <si>
    <t>1400/01/29</t>
  </si>
  <si>
    <t>1400/01/30</t>
  </si>
  <si>
    <t>1400/01/31</t>
  </si>
  <si>
    <t>1400/02/01</t>
  </si>
  <si>
    <t>1400/02/02</t>
  </si>
  <si>
    <t>1400/02/03</t>
  </si>
  <si>
    <t>1400/02/04</t>
  </si>
  <si>
    <t>1400/02/05</t>
  </si>
  <si>
    <t>1400/02/06</t>
  </si>
  <si>
    <t>1400/02/07</t>
  </si>
  <si>
    <t>1400/02/08</t>
  </si>
  <si>
    <t>1400/02/09</t>
  </si>
  <si>
    <t>1400/02/10</t>
  </si>
  <si>
    <t>1400/02/11</t>
  </si>
  <si>
    <t>1400/02/12</t>
  </si>
  <si>
    <t>1400/02/13</t>
  </si>
  <si>
    <t>1400/02/14</t>
  </si>
  <si>
    <t>1400/02/15</t>
  </si>
  <si>
    <t>1400/02/16</t>
  </si>
  <si>
    <t>1400/02/17</t>
  </si>
  <si>
    <t>1400/02/18</t>
  </si>
  <si>
    <t>1400/02/19</t>
  </si>
  <si>
    <t>1400/02/20</t>
  </si>
  <si>
    <t>1400/02/21</t>
  </si>
  <si>
    <t>1400/02/22</t>
  </si>
  <si>
    <t>1400/02/23</t>
  </si>
  <si>
    <t>1400/02/24</t>
  </si>
  <si>
    <t>1400/02/25</t>
  </si>
  <si>
    <t>1400/02/26</t>
  </si>
  <si>
    <t>1400/02/27</t>
  </si>
  <si>
    <t>1400/02/28</t>
  </si>
  <si>
    <t>1400/02/29</t>
  </si>
  <si>
    <t>1400/02/30</t>
  </si>
  <si>
    <t>1400/02/31</t>
  </si>
  <si>
    <t>1400/03/01</t>
  </si>
  <si>
    <t>1400/03/02</t>
  </si>
  <si>
    <t>1400/03/03</t>
  </si>
  <si>
    <t>1400/03/04</t>
  </si>
  <si>
    <t>1400/03/05</t>
  </si>
  <si>
    <t>1400/03/06</t>
  </si>
  <si>
    <t>1400/03/07</t>
  </si>
  <si>
    <t>1400/03/08</t>
  </si>
  <si>
    <t>1400/03/09</t>
  </si>
  <si>
    <t>1400/03/10</t>
  </si>
  <si>
    <t>1400/03/11</t>
  </si>
  <si>
    <t>1400/03/12</t>
  </si>
  <si>
    <t>1400/03/13</t>
  </si>
  <si>
    <t>1400/03/14</t>
  </si>
  <si>
    <t>1400/03/15</t>
  </si>
  <si>
    <t>1400/03/16</t>
  </si>
  <si>
    <t>1400/03/17</t>
  </si>
  <si>
    <t>1400/03/18</t>
  </si>
  <si>
    <t>1400/03/19</t>
  </si>
  <si>
    <t>1400/03/20</t>
  </si>
  <si>
    <t>1400/03/21</t>
  </si>
  <si>
    <t>1400/03/22</t>
  </si>
  <si>
    <t>1400/03/23</t>
  </si>
  <si>
    <t>1400/03/24</t>
  </si>
  <si>
    <t>1400/03/25</t>
  </si>
  <si>
    <t>1400/03/26</t>
  </si>
  <si>
    <t>1400/03/27</t>
  </si>
  <si>
    <t>1400/03/28</t>
  </si>
  <si>
    <t>1400/03/29</t>
  </si>
  <si>
    <t>1400/03/30</t>
  </si>
  <si>
    <t>1400/03/31</t>
  </si>
  <si>
    <t>1400/04/01</t>
  </si>
  <si>
    <t>1400/04/02</t>
  </si>
  <si>
    <t>1400/04/03</t>
  </si>
  <si>
    <t>1400/04/04</t>
  </si>
  <si>
    <t>1400/04/05</t>
  </si>
  <si>
    <t>1400/04/06</t>
  </si>
  <si>
    <t>1400/04/07</t>
  </si>
  <si>
    <t>1400/04/08</t>
  </si>
  <si>
    <t>1400/04/09</t>
  </si>
  <si>
    <t>1400/04/10</t>
  </si>
  <si>
    <t>1400/04/11</t>
  </si>
  <si>
    <t>1400/04/12</t>
  </si>
  <si>
    <t>1400/04/13</t>
  </si>
  <si>
    <t>1400/04/14</t>
  </si>
  <si>
    <t>1400/04/15</t>
  </si>
  <si>
    <t>1400/04/16</t>
  </si>
  <si>
    <t>1400/04/17</t>
  </si>
  <si>
    <t>1400/04/18</t>
  </si>
  <si>
    <t>1400/04/19</t>
  </si>
  <si>
    <t>1400/04/20</t>
  </si>
  <si>
    <t>1400/04/21</t>
  </si>
  <si>
    <t>1400/04/22</t>
  </si>
  <si>
    <t>1400/04/23</t>
  </si>
  <si>
    <t>1400/04/24</t>
  </si>
  <si>
    <t>1400/04/25</t>
  </si>
  <si>
    <t>1400/04/26</t>
  </si>
  <si>
    <t>1400/04/27</t>
  </si>
  <si>
    <t>1400/04/28</t>
  </si>
  <si>
    <t>1400/04/29</t>
  </si>
  <si>
    <t>1400/04/30</t>
  </si>
  <si>
    <t>1400/04/31</t>
  </si>
  <si>
    <t>1400/05/01</t>
  </si>
  <si>
    <t>1400/05/02</t>
  </si>
  <si>
    <t>1400/05/03</t>
  </si>
  <si>
    <t>1400/05/04</t>
  </si>
  <si>
    <t>1400/05/05</t>
  </si>
  <si>
    <t>1400/05/06</t>
  </si>
  <si>
    <t>1400/05/07</t>
  </si>
  <si>
    <t>1400/05/08</t>
  </si>
  <si>
    <t>1400/05/09</t>
  </si>
  <si>
    <t>1400/05/10</t>
  </si>
  <si>
    <t>1400/05/11</t>
  </si>
  <si>
    <t>1400/05/12</t>
  </si>
  <si>
    <t>1400/05/13</t>
  </si>
  <si>
    <t>1400/05/14</t>
  </si>
  <si>
    <t>1400/05/15</t>
  </si>
  <si>
    <t>1400/05/16</t>
  </si>
  <si>
    <t>1400/05/17</t>
  </si>
  <si>
    <t>1400/05/18</t>
  </si>
  <si>
    <t>1400/05/19</t>
  </si>
  <si>
    <t>1400/05/20</t>
  </si>
  <si>
    <t>1400/05/21</t>
  </si>
  <si>
    <t>1400/05/22</t>
  </si>
  <si>
    <t>1400/05/23</t>
  </si>
  <si>
    <t>1400/05/24</t>
  </si>
  <si>
    <t>1400/05/25</t>
  </si>
  <si>
    <t>1400/05/26</t>
  </si>
  <si>
    <t>1400/05/27</t>
  </si>
  <si>
    <t>1400/05/28</t>
  </si>
  <si>
    <t>1400/05/29</t>
  </si>
  <si>
    <t>1400/05/30</t>
  </si>
  <si>
    <t>1400/05/31</t>
  </si>
  <si>
    <t>1400/06/01</t>
  </si>
  <si>
    <t>1400/06/02</t>
  </si>
  <si>
    <t>1400/06/03</t>
  </si>
  <si>
    <t>1400/06/04</t>
  </si>
  <si>
    <t>1400/06/05</t>
  </si>
  <si>
    <t>1400/06/06</t>
  </si>
  <si>
    <t>1400/06/07</t>
  </si>
  <si>
    <t>1400/06/08</t>
  </si>
  <si>
    <t>1400/06/09</t>
  </si>
  <si>
    <t>1400/06/10</t>
  </si>
  <si>
    <t>1400/06/11</t>
  </si>
  <si>
    <t>1400/06/12</t>
  </si>
  <si>
    <t>1400/06/13</t>
  </si>
  <si>
    <t>1400/06/14</t>
  </si>
  <si>
    <t>1400/06/15</t>
  </si>
  <si>
    <t>1400/06/16</t>
  </si>
  <si>
    <t>1400/06/17</t>
  </si>
  <si>
    <t>1400/06/18</t>
  </si>
  <si>
    <t>1400/06/19</t>
  </si>
  <si>
    <t>1400/06/20</t>
  </si>
  <si>
    <t>1400/06/21</t>
  </si>
  <si>
    <t>1400/06/22</t>
  </si>
  <si>
    <t>1400/06/23</t>
  </si>
  <si>
    <t>1400/06/24</t>
  </si>
  <si>
    <t>1400/06/25</t>
  </si>
  <si>
    <t>1400/06/26</t>
  </si>
  <si>
    <t>1400/06/27</t>
  </si>
  <si>
    <t>1400/06/28</t>
  </si>
  <si>
    <t>1400/06/29</t>
  </si>
  <si>
    <t>1400/06/30</t>
  </si>
  <si>
    <t>1400/06/31</t>
  </si>
  <si>
    <t>1400/07/01</t>
  </si>
  <si>
    <t>1400/07/02</t>
  </si>
  <si>
    <t>1400/07/03</t>
  </si>
  <si>
    <t>1400/07/04</t>
  </si>
  <si>
    <t>1400/07/05</t>
  </si>
  <si>
    <t>1400/07/06</t>
  </si>
  <si>
    <t>1400/07/07</t>
  </si>
  <si>
    <t>1400/07/08</t>
  </si>
  <si>
    <t>1400/07/09</t>
  </si>
  <si>
    <t>1400/07/10</t>
  </si>
  <si>
    <t>1400/07/11</t>
  </si>
  <si>
    <t>1400/07/12</t>
  </si>
  <si>
    <t>1400/07/13</t>
  </si>
  <si>
    <t>1400/07/14</t>
  </si>
  <si>
    <t>1400/07/15</t>
  </si>
  <si>
    <t>1400/07/16</t>
  </si>
  <si>
    <t>1400/07/17</t>
  </si>
  <si>
    <t>1400/07/18</t>
  </si>
  <si>
    <t>1400/07/19</t>
  </si>
  <si>
    <t>1400/07/20</t>
  </si>
  <si>
    <t>1400/07/21</t>
  </si>
  <si>
    <t>1400/07/22</t>
  </si>
  <si>
    <t>1400/07/23</t>
  </si>
  <si>
    <t>1400/07/24</t>
  </si>
  <si>
    <t>1400/07/25</t>
  </si>
  <si>
    <t>1400/07/26</t>
  </si>
  <si>
    <t>1400/07/27</t>
  </si>
  <si>
    <t>1400/07/28</t>
  </si>
  <si>
    <t>1400/07/29</t>
  </si>
  <si>
    <t>1400/07/30</t>
  </si>
  <si>
    <t>1400/08/01</t>
  </si>
  <si>
    <t>1400/08/02</t>
  </si>
  <si>
    <t>1400/08/03</t>
  </si>
  <si>
    <t>1400/08/04</t>
  </si>
  <si>
    <t>1400/08/05</t>
  </si>
  <si>
    <t>1400/08/06</t>
  </si>
  <si>
    <t>1400/08/07</t>
  </si>
  <si>
    <t>1400/08/08</t>
  </si>
  <si>
    <t>1400/08/09</t>
  </si>
  <si>
    <t>1400/08/10</t>
  </si>
  <si>
    <t>1400/08/11</t>
  </si>
  <si>
    <t>1400/08/12</t>
  </si>
  <si>
    <t>1400/08/13</t>
  </si>
  <si>
    <t>1400/08/14</t>
  </si>
  <si>
    <t>1400/08/15</t>
  </si>
  <si>
    <t>1400/08/16</t>
  </si>
  <si>
    <t>1400/08/17</t>
  </si>
  <si>
    <t>1400/08/18</t>
  </si>
  <si>
    <t>1400/08/19</t>
  </si>
  <si>
    <t>1400/08/20</t>
  </si>
  <si>
    <t>1400/08/21</t>
  </si>
  <si>
    <t>1400/08/22</t>
  </si>
  <si>
    <t>1400/08/23</t>
  </si>
  <si>
    <t>1400/08/24</t>
  </si>
  <si>
    <t>1400/08/25</t>
  </si>
  <si>
    <t>1400/08/26</t>
  </si>
  <si>
    <t>1400/08/27</t>
  </si>
  <si>
    <t>1400/08/28</t>
  </si>
  <si>
    <t>1400/08/29</t>
  </si>
  <si>
    <t>1400/08/30</t>
  </si>
  <si>
    <t>1400/09/01</t>
  </si>
  <si>
    <t>1400/09/02</t>
  </si>
  <si>
    <t>1400/09/03</t>
  </si>
  <si>
    <t>1400/09/04</t>
  </si>
  <si>
    <t>1400/09/05</t>
  </si>
  <si>
    <t>1400/09/06</t>
  </si>
  <si>
    <t>1400/09/07</t>
  </si>
  <si>
    <t>1400/09/08</t>
  </si>
  <si>
    <t>1400/09/09</t>
  </si>
  <si>
    <t>1400/09/10</t>
  </si>
  <si>
    <t>1400/09/11</t>
  </si>
  <si>
    <t>1400/09/12</t>
  </si>
  <si>
    <t>1400/09/13</t>
  </si>
  <si>
    <t>1400/09/14</t>
  </si>
  <si>
    <t>1400/09/15</t>
  </si>
  <si>
    <t>1400/09/16</t>
  </si>
  <si>
    <t>1400/09/17</t>
  </si>
  <si>
    <t>1400/09/18</t>
  </si>
  <si>
    <t>1400/09/19</t>
  </si>
  <si>
    <t>1400/09/20</t>
  </si>
  <si>
    <t>1400/09/21</t>
  </si>
  <si>
    <t>1400/09/22</t>
  </si>
  <si>
    <t>1400/09/23</t>
  </si>
  <si>
    <t>1400/09/24</t>
  </si>
  <si>
    <t>1400/09/25</t>
  </si>
  <si>
    <t>1400/09/26</t>
  </si>
  <si>
    <t>1400/09/27</t>
  </si>
  <si>
    <t>1400/09/28</t>
  </si>
  <si>
    <t>1400/09/29</t>
  </si>
  <si>
    <t>1400/09/30</t>
  </si>
  <si>
    <t>1400/10/01</t>
  </si>
  <si>
    <t>1400/10/02</t>
  </si>
  <si>
    <t>1400/10/03</t>
  </si>
  <si>
    <t>1400/10/04</t>
  </si>
  <si>
    <t>1400/10/05</t>
  </si>
  <si>
    <t>1400/10/06</t>
  </si>
  <si>
    <t>1400/10/07</t>
  </si>
  <si>
    <t>1400/10/08</t>
  </si>
  <si>
    <t>1400/10/09</t>
  </si>
  <si>
    <t>1400/10/10</t>
  </si>
  <si>
    <t>1400/10/11</t>
  </si>
  <si>
    <t>1400/10/12</t>
  </si>
  <si>
    <t>1400/10/13</t>
  </si>
  <si>
    <t>1400/10/14</t>
  </si>
  <si>
    <t>1400/10/15</t>
  </si>
  <si>
    <t>1400/10/16</t>
  </si>
  <si>
    <t>1400/10/17</t>
  </si>
  <si>
    <t>1400/10/18</t>
  </si>
  <si>
    <t>1400/10/19</t>
  </si>
  <si>
    <t>1400/10/20</t>
  </si>
  <si>
    <t>1400/10/21</t>
  </si>
  <si>
    <t>1400/10/22</t>
  </si>
  <si>
    <t>1400/10/23</t>
  </si>
  <si>
    <t>1400/10/24</t>
  </si>
  <si>
    <t>1400/10/25</t>
  </si>
  <si>
    <t>1400/10/26</t>
  </si>
  <si>
    <t>1400/10/27</t>
  </si>
  <si>
    <t>1400/10/28</t>
  </si>
  <si>
    <t>1400/10/29</t>
  </si>
  <si>
    <t>1400/10/30</t>
  </si>
  <si>
    <t>1400/11/01</t>
  </si>
  <si>
    <t>1400/11/02</t>
  </si>
  <si>
    <t>1400/11/03</t>
  </si>
  <si>
    <t>1400/11/04</t>
  </si>
  <si>
    <t>1400/11/05</t>
  </si>
  <si>
    <t>1400/11/06</t>
  </si>
  <si>
    <t>1400/11/07</t>
  </si>
  <si>
    <t>1400/11/08</t>
  </si>
  <si>
    <t>1400/11/09</t>
  </si>
  <si>
    <t>1400/11/10</t>
  </si>
  <si>
    <t>1400/11/11</t>
  </si>
  <si>
    <t>1400/11/12</t>
  </si>
  <si>
    <t>1400/11/13</t>
  </si>
  <si>
    <t>1400/11/14</t>
  </si>
  <si>
    <t>1400/11/15</t>
  </si>
  <si>
    <t>1400/11/16</t>
  </si>
  <si>
    <t>1400/11/17</t>
  </si>
  <si>
    <t>1400/11/18</t>
  </si>
  <si>
    <t>1400/11/19</t>
  </si>
  <si>
    <t>1400/11/20</t>
  </si>
  <si>
    <t>1400/11/21</t>
  </si>
  <si>
    <t>1400/11/22</t>
  </si>
  <si>
    <t>1400/11/23</t>
  </si>
  <si>
    <t>1400/11/24</t>
  </si>
  <si>
    <t>1400/11/25</t>
  </si>
  <si>
    <t>1400/11/26</t>
  </si>
  <si>
    <t>1400/11/27</t>
  </si>
  <si>
    <t>1400/11/28</t>
  </si>
  <si>
    <t>1400/11/29</t>
  </si>
  <si>
    <t>1400/11/30</t>
  </si>
  <si>
    <t>1400/12/01</t>
  </si>
  <si>
    <t>1400/12/02</t>
  </si>
  <si>
    <t>1400/12/03</t>
  </si>
  <si>
    <t>1400/12/04</t>
  </si>
  <si>
    <t>1400/12/05</t>
  </si>
  <si>
    <t>1400/12/06</t>
  </si>
  <si>
    <t>1400/12/07</t>
  </si>
  <si>
    <t>1400/12/08</t>
  </si>
  <si>
    <t>1400/12/09</t>
  </si>
  <si>
    <t>1400/12/10</t>
  </si>
  <si>
    <t>1400/12/11</t>
  </si>
  <si>
    <t>1400/12/12</t>
  </si>
  <si>
    <t>1400/12/13</t>
  </si>
  <si>
    <t>1400/12/14</t>
  </si>
  <si>
    <t>1400/12/15</t>
  </si>
  <si>
    <t>1400/12/16</t>
  </si>
  <si>
    <t>1400/12/17</t>
  </si>
  <si>
    <t>1400/12/18</t>
  </si>
  <si>
    <t>1400/12/19</t>
  </si>
  <si>
    <t>1400/12/20</t>
  </si>
  <si>
    <t>1400/12/21</t>
  </si>
  <si>
    <t>1400/12/22</t>
  </si>
  <si>
    <t>1400/12/23</t>
  </si>
  <si>
    <t>1400/12/24</t>
  </si>
  <si>
    <t>1400/12/25</t>
  </si>
  <si>
    <t>1400/12/26</t>
  </si>
  <si>
    <t>1400/12/27</t>
  </si>
  <si>
    <t>1400/12/28</t>
  </si>
  <si>
    <t>1400/12/29</t>
  </si>
  <si>
    <t>1401/01/01</t>
  </si>
  <si>
    <t>1401/01/02</t>
  </si>
  <si>
    <t>1401/01/03</t>
  </si>
  <si>
    <t>1401/01/04</t>
  </si>
  <si>
    <t>1401/01/05</t>
  </si>
  <si>
    <t>1401/01/06</t>
  </si>
  <si>
    <t>1401/01/07</t>
  </si>
  <si>
    <t>1401/01/08</t>
  </si>
  <si>
    <t>1401/01/09</t>
  </si>
  <si>
    <t>1401/01/10</t>
  </si>
  <si>
    <t>1401/01/11</t>
  </si>
  <si>
    <t>1401/01/12</t>
  </si>
  <si>
    <t>1401/01/13</t>
  </si>
  <si>
    <t>1401/01/14</t>
  </si>
  <si>
    <t>1401/01/15</t>
  </si>
  <si>
    <t>1401/01/16</t>
  </si>
  <si>
    <t>1401/01/17</t>
  </si>
  <si>
    <t>1401/01/18</t>
  </si>
  <si>
    <t>1401/01/19</t>
  </si>
  <si>
    <t>1401/01/20</t>
  </si>
  <si>
    <t>1401/01/21</t>
  </si>
  <si>
    <t>1401/01/22</t>
  </si>
  <si>
    <t>1401/01/23</t>
  </si>
  <si>
    <t>1401/01/24</t>
  </si>
  <si>
    <t>1401/01/25</t>
  </si>
  <si>
    <t>1401/01/26</t>
  </si>
  <si>
    <t>1401/01/27</t>
  </si>
  <si>
    <t>1401/01/28</t>
  </si>
  <si>
    <t>1401/01/29</t>
  </si>
  <si>
    <t>1401/01/30</t>
  </si>
  <si>
    <t>1401/01/31</t>
  </si>
  <si>
    <t>1401/02/01</t>
  </si>
  <si>
    <t>1401/02/02</t>
  </si>
  <si>
    <t>1401/02/03</t>
  </si>
  <si>
    <t>1401/02/04</t>
  </si>
  <si>
    <t>1401/02/05</t>
  </si>
  <si>
    <t>1401/02/06</t>
  </si>
  <si>
    <t>1401/02/07</t>
  </si>
  <si>
    <t>1401/02/08</t>
  </si>
  <si>
    <t>1401/02/09</t>
  </si>
  <si>
    <t>1401/02/10</t>
  </si>
  <si>
    <t>1401/02/11</t>
  </si>
  <si>
    <t>1401/02/12</t>
  </si>
  <si>
    <t>1401/02/13</t>
  </si>
  <si>
    <t>1401/02/14</t>
  </si>
  <si>
    <t>1401/02/15</t>
  </si>
  <si>
    <t>1401/02/16</t>
  </si>
  <si>
    <t>1401/02/17</t>
  </si>
  <si>
    <t>1401/02/18</t>
  </si>
  <si>
    <t>1401/02/19</t>
  </si>
  <si>
    <t>1401/02/20</t>
  </si>
  <si>
    <t>1401/02/21</t>
  </si>
  <si>
    <t>1401/02/22</t>
  </si>
  <si>
    <t>1401/02/23</t>
  </si>
  <si>
    <t>1401/02/24</t>
  </si>
  <si>
    <t>1401/02/25</t>
  </si>
  <si>
    <t>1401/02/26</t>
  </si>
  <si>
    <t>1401/02/27</t>
  </si>
  <si>
    <t>1401/02/28</t>
  </si>
  <si>
    <t>1401/02/29</t>
  </si>
  <si>
    <t>1401/02/30</t>
  </si>
  <si>
    <t>1401/02/31</t>
  </si>
  <si>
    <t>1401/03/01</t>
  </si>
  <si>
    <t>1401/03/02</t>
  </si>
  <si>
    <t>1401/03/03</t>
  </si>
  <si>
    <t>1401/03/04</t>
  </si>
  <si>
    <t>1401/03/05</t>
  </si>
  <si>
    <t>1401/03/06</t>
  </si>
  <si>
    <t>1401/03/07</t>
  </si>
  <si>
    <t>1401/03/08</t>
  </si>
  <si>
    <t>1401/03/09</t>
  </si>
  <si>
    <t>1401/03/10</t>
  </si>
  <si>
    <t>1401/03/11</t>
  </si>
  <si>
    <t>1401/03/12</t>
  </si>
  <si>
    <t>1401/03/13</t>
  </si>
  <si>
    <t>1401/03/14</t>
  </si>
  <si>
    <t>1401/03/15</t>
  </si>
  <si>
    <t>1401/03/16</t>
  </si>
  <si>
    <t>1401/03/17</t>
  </si>
  <si>
    <t>1401/03/18</t>
  </si>
  <si>
    <t>1401/03/19</t>
  </si>
  <si>
    <t>1401/03/20</t>
  </si>
  <si>
    <t>1401/03/21</t>
  </si>
  <si>
    <t>1401/03/22</t>
  </si>
  <si>
    <t>1401/03/23</t>
  </si>
  <si>
    <t>1401/03/24</t>
  </si>
  <si>
    <t>1401/03/25</t>
  </si>
  <si>
    <t>1401/03/26</t>
  </si>
  <si>
    <t>1401/03/27</t>
  </si>
  <si>
    <t>1401/03/28</t>
  </si>
  <si>
    <t>1401/03/29</t>
  </si>
  <si>
    <t>1401/03/30</t>
  </si>
  <si>
    <t>1401/03/31</t>
  </si>
  <si>
    <t>1401/04/01</t>
  </si>
  <si>
    <t>1401/04/02</t>
  </si>
  <si>
    <t>1401/04/03</t>
  </si>
  <si>
    <t>1401/04/04</t>
  </si>
  <si>
    <t>1401/04/05</t>
  </si>
  <si>
    <t>1401/04/06</t>
  </si>
  <si>
    <t>1401/04/07</t>
  </si>
  <si>
    <t>1401/04/08</t>
  </si>
  <si>
    <t>1401/04/09</t>
  </si>
  <si>
    <t>1401/04/10</t>
  </si>
  <si>
    <t>1401/04/11</t>
  </si>
  <si>
    <t>1401/04/12</t>
  </si>
  <si>
    <t>1401/04/13</t>
  </si>
  <si>
    <t>1401/04/14</t>
  </si>
  <si>
    <t>1401/04/15</t>
  </si>
  <si>
    <t>1401/04/16</t>
  </si>
  <si>
    <t>1401/04/17</t>
  </si>
  <si>
    <t>1401/04/18</t>
  </si>
  <si>
    <t>1401/04/19</t>
  </si>
  <si>
    <t>1401/04/20</t>
  </si>
  <si>
    <t>1401/04/21</t>
  </si>
  <si>
    <t>1401/04/22</t>
  </si>
  <si>
    <t>1401/04/23</t>
  </si>
  <si>
    <t>1401/04/24</t>
  </si>
  <si>
    <t>1401/04/25</t>
  </si>
  <si>
    <t>1401/04/26</t>
  </si>
  <si>
    <t>1401/04/27</t>
  </si>
  <si>
    <t>1401/04/28</t>
  </si>
  <si>
    <t>1401/04/29</t>
  </si>
  <si>
    <t>1401/04/30</t>
  </si>
  <si>
    <t>1401/04/31</t>
  </si>
  <si>
    <t>1401/05/01</t>
  </si>
  <si>
    <t>1401/05/02</t>
  </si>
  <si>
    <t>1401/05/03</t>
  </si>
  <si>
    <t>1401/05/04</t>
  </si>
  <si>
    <t>1401/05/05</t>
  </si>
  <si>
    <t>1401/05/06</t>
  </si>
  <si>
    <t>1401/05/07</t>
  </si>
  <si>
    <t>1401/05/08</t>
  </si>
  <si>
    <t>1401/05/09</t>
  </si>
  <si>
    <t>1401/05/10</t>
  </si>
  <si>
    <t>1401/05/11</t>
  </si>
  <si>
    <t>1401/05/12</t>
  </si>
  <si>
    <t>1401/05/13</t>
  </si>
  <si>
    <t>1401/05/14</t>
  </si>
  <si>
    <t>1401/05/15</t>
  </si>
  <si>
    <t>1401/05/16</t>
  </si>
  <si>
    <t>1401/05/17</t>
  </si>
  <si>
    <t>1401/05/18</t>
  </si>
  <si>
    <t>1401/05/19</t>
  </si>
  <si>
    <t>1401/05/20</t>
  </si>
  <si>
    <t>1401/05/21</t>
  </si>
  <si>
    <t>1401/05/22</t>
  </si>
  <si>
    <t>1401/05/23</t>
  </si>
  <si>
    <t>1401/05/24</t>
  </si>
  <si>
    <t>1401/05/25</t>
  </si>
  <si>
    <t>1401/05/26</t>
  </si>
  <si>
    <t>1401/05/27</t>
  </si>
  <si>
    <t>1401/05/28</t>
  </si>
  <si>
    <t>1401/05/29</t>
  </si>
  <si>
    <t>1401/05/30</t>
  </si>
  <si>
    <t>1401/05/31</t>
  </si>
  <si>
    <t>1401/06/01</t>
  </si>
  <si>
    <t>1401/06/02</t>
  </si>
  <si>
    <t>1401/06/03</t>
  </si>
  <si>
    <t>1401/06/04</t>
  </si>
  <si>
    <t>1401/06/05</t>
  </si>
  <si>
    <t>1401/06/06</t>
  </si>
  <si>
    <t>1401/06/07</t>
  </si>
  <si>
    <t>1401/06/08</t>
  </si>
  <si>
    <t>1401/06/09</t>
  </si>
  <si>
    <t>1401/06/10</t>
  </si>
  <si>
    <t>1401/06/11</t>
  </si>
  <si>
    <t>1401/06/12</t>
  </si>
  <si>
    <t>1401/06/13</t>
  </si>
  <si>
    <t>1401/06/14</t>
  </si>
  <si>
    <t>1401/06/15</t>
  </si>
  <si>
    <t>1401/06/16</t>
  </si>
  <si>
    <t>1401/06/17</t>
  </si>
  <si>
    <t>1401/06/18</t>
  </si>
  <si>
    <t>1401/06/19</t>
  </si>
  <si>
    <t>1401/06/20</t>
  </si>
  <si>
    <t>1401/06/21</t>
  </si>
  <si>
    <t>1401/06/22</t>
  </si>
  <si>
    <t>1401/06/23</t>
  </si>
  <si>
    <t>1401/06/24</t>
  </si>
  <si>
    <t>1401/06/25</t>
  </si>
  <si>
    <t>1401/06/26</t>
  </si>
  <si>
    <t>1401/06/27</t>
  </si>
  <si>
    <t>1401/06/28</t>
  </si>
  <si>
    <t>1401/06/29</t>
  </si>
  <si>
    <t>1401/06/30</t>
  </si>
  <si>
    <t>1401/06/31</t>
  </si>
  <si>
    <t>1401/07/01</t>
  </si>
  <si>
    <t>1401/07/02</t>
  </si>
  <si>
    <t>1401/07/03</t>
  </si>
  <si>
    <t>1401/07/04</t>
  </si>
  <si>
    <t>1401/07/05</t>
  </si>
  <si>
    <t>1401/07/06</t>
  </si>
  <si>
    <t>1401/07/07</t>
  </si>
  <si>
    <t>1401/07/08</t>
  </si>
  <si>
    <t>1401/07/09</t>
  </si>
  <si>
    <t>1401/07/10</t>
  </si>
  <si>
    <t>1401/07/11</t>
  </si>
  <si>
    <t>1401/07/12</t>
  </si>
  <si>
    <t>1401/07/13</t>
  </si>
  <si>
    <t>1401/07/14</t>
  </si>
  <si>
    <t>1401/07/15</t>
  </si>
  <si>
    <t>1401/07/16</t>
  </si>
  <si>
    <t>1401/07/17</t>
  </si>
  <si>
    <t>1401/07/18</t>
  </si>
  <si>
    <t>1401/07/19</t>
  </si>
  <si>
    <t>1401/07/20</t>
  </si>
  <si>
    <t>1401/07/21</t>
  </si>
  <si>
    <t>1401/07/22</t>
  </si>
  <si>
    <t>1401/07/23</t>
  </si>
  <si>
    <t>1401/07/24</t>
  </si>
  <si>
    <t>1401/07/25</t>
  </si>
  <si>
    <t>1401/07/26</t>
  </si>
  <si>
    <t>1401/07/27</t>
  </si>
  <si>
    <t>1401/07/28</t>
  </si>
  <si>
    <t>1401/07/29</t>
  </si>
  <si>
    <t>1401/07/30</t>
  </si>
  <si>
    <t>1401/08/01</t>
  </si>
  <si>
    <t>1401/08/02</t>
  </si>
  <si>
    <t>1401/08/03</t>
  </si>
  <si>
    <t>1401/08/04</t>
  </si>
  <si>
    <t>1401/08/05</t>
  </si>
  <si>
    <t>1401/08/06</t>
  </si>
  <si>
    <t>1401/08/07</t>
  </si>
  <si>
    <t>1401/08/08</t>
  </si>
  <si>
    <t>1401/08/09</t>
  </si>
  <si>
    <t>1401/08/10</t>
  </si>
  <si>
    <t>1401/08/11</t>
  </si>
  <si>
    <t>1401/08/12</t>
  </si>
  <si>
    <t>1401/08/13</t>
  </si>
  <si>
    <t>1401/08/14</t>
  </si>
  <si>
    <t>1401/08/15</t>
  </si>
  <si>
    <t>1401/08/16</t>
  </si>
  <si>
    <t>1401/08/17</t>
  </si>
  <si>
    <t>1401/08/18</t>
  </si>
  <si>
    <t>1401/08/19</t>
  </si>
  <si>
    <t>1401/08/20</t>
  </si>
  <si>
    <t>1401/08/21</t>
  </si>
  <si>
    <t>1401/08/22</t>
  </si>
  <si>
    <t>1401/08/23</t>
  </si>
  <si>
    <t>1401/08/24</t>
  </si>
  <si>
    <t>1401/08/25</t>
  </si>
  <si>
    <t>1401/08/26</t>
  </si>
  <si>
    <t>1401/08/27</t>
  </si>
  <si>
    <t>1401/08/28</t>
  </si>
  <si>
    <t>1401/08/29</t>
  </si>
  <si>
    <t>1401/08/30</t>
  </si>
  <si>
    <t>1401/09/01</t>
  </si>
  <si>
    <t>1401/09/02</t>
  </si>
  <si>
    <t>1401/09/03</t>
  </si>
  <si>
    <t>1401/09/04</t>
  </si>
  <si>
    <t>1401/09/05</t>
  </si>
  <si>
    <t>1401/09/06</t>
  </si>
  <si>
    <t>1401/09/07</t>
  </si>
  <si>
    <t>1401/09/08</t>
  </si>
  <si>
    <t>1401/09/09</t>
  </si>
  <si>
    <t>1401/09/10</t>
  </si>
  <si>
    <t>1401/09/11</t>
  </si>
  <si>
    <t>1401/09/12</t>
  </si>
  <si>
    <t>1401/09/13</t>
  </si>
  <si>
    <t>1401/09/14</t>
  </si>
  <si>
    <t>1401/09/15</t>
  </si>
  <si>
    <t>1401/09/16</t>
  </si>
  <si>
    <t>1401/09/17</t>
  </si>
  <si>
    <t>1401/09/18</t>
  </si>
  <si>
    <t>1401/09/19</t>
  </si>
  <si>
    <t>1401/09/20</t>
  </si>
  <si>
    <t>1401/09/21</t>
  </si>
  <si>
    <t>1401/09/22</t>
  </si>
  <si>
    <t>1401/09/23</t>
  </si>
  <si>
    <t>1401/09/24</t>
  </si>
  <si>
    <t>1401/09/25</t>
  </si>
  <si>
    <t>1401/09/26</t>
  </si>
  <si>
    <t>1401/09/27</t>
  </si>
  <si>
    <t>1401/09/28</t>
  </si>
  <si>
    <t>1401/09/29</t>
  </si>
  <si>
    <t>1401/09/30</t>
  </si>
  <si>
    <t>1401/10/01</t>
  </si>
  <si>
    <t>1401/10/02</t>
  </si>
  <si>
    <t>1401/10/03</t>
  </si>
  <si>
    <t>1401/10/04</t>
  </si>
  <si>
    <t>1401/10/05</t>
  </si>
  <si>
    <t>1401/10/06</t>
  </si>
  <si>
    <t>1401/10/07</t>
  </si>
  <si>
    <t>1401/10/08</t>
  </si>
  <si>
    <t>1401/10/09</t>
  </si>
  <si>
    <t>1401/10/10</t>
  </si>
  <si>
    <t>1401/10/11</t>
  </si>
  <si>
    <t>1401/10/12</t>
  </si>
  <si>
    <t>1401/10/13</t>
  </si>
  <si>
    <t>1401/10/14</t>
  </si>
  <si>
    <t>1401/10/15</t>
  </si>
  <si>
    <t>1401/10/16</t>
  </si>
  <si>
    <t>1401/10/17</t>
  </si>
  <si>
    <t>1401/10/18</t>
  </si>
  <si>
    <t>1401/10/19</t>
  </si>
  <si>
    <t>1401/10/20</t>
  </si>
  <si>
    <t>1401/10/21</t>
  </si>
  <si>
    <t>1401/10/22</t>
  </si>
  <si>
    <t>1401/10/23</t>
  </si>
  <si>
    <t>1401/10/24</t>
  </si>
  <si>
    <t>1401/10/25</t>
  </si>
  <si>
    <t>1401/10/26</t>
  </si>
  <si>
    <t>1401/10/27</t>
  </si>
  <si>
    <t>1401/10/28</t>
  </si>
  <si>
    <t>1401/10/29</t>
  </si>
  <si>
    <t>1401/10/30</t>
  </si>
  <si>
    <t>1401/11/01</t>
  </si>
  <si>
    <t>1401/11/02</t>
  </si>
  <si>
    <t>1401/11/03</t>
  </si>
  <si>
    <t>1401/11/04</t>
  </si>
  <si>
    <t>1401/11/05</t>
  </si>
  <si>
    <t>1401/11/06</t>
  </si>
  <si>
    <t>1401/11/07</t>
  </si>
  <si>
    <t>1401/11/08</t>
  </si>
  <si>
    <t>1401/11/09</t>
  </si>
  <si>
    <t>1401/11/10</t>
  </si>
  <si>
    <t>1401/11/11</t>
  </si>
  <si>
    <t>1401/11/12</t>
  </si>
  <si>
    <t>1401/11/13</t>
  </si>
  <si>
    <t>1401/11/14</t>
  </si>
  <si>
    <t>1401/11/15</t>
  </si>
  <si>
    <t>1401/11/16</t>
  </si>
  <si>
    <t>1401/11/17</t>
  </si>
  <si>
    <t>1401/11/18</t>
  </si>
  <si>
    <t>1401/11/19</t>
  </si>
  <si>
    <t>1401/11/20</t>
  </si>
  <si>
    <t>1401/11/21</t>
  </si>
  <si>
    <t>1401/11/22</t>
  </si>
  <si>
    <t>1401/11/23</t>
  </si>
  <si>
    <t>1401/11/24</t>
  </si>
  <si>
    <t>1401/11/25</t>
  </si>
  <si>
    <t>1401/11/26</t>
  </si>
  <si>
    <t>1401/11/27</t>
  </si>
  <si>
    <t>1401/11/28</t>
  </si>
  <si>
    <t>1401/11/29</t>
  </si>
  <si>
    <t>1401/11/30</t>
  </si>
  <si>
    <t>1401/12/01</t>
  </si>
  <si>
    <t>1401/12/02</t>
  </si>
  <si>
    <t>1401/12/03</t>
  </si>
  <si>
    <t>1401/12/04</t>
  </si>
  <si>
    <t>1401/12/05</t>
  </si>
  <si>
    <t>1401/12/06</t>
  </si>
  <si>
    <t>1401/12/07</t>
  </si>
  <si>
    <t>1401/12/08</t>
  </si>
  <si>
    <t>1401/12/09</t>
  </si>
  <si>
    <t>1401/12/10</t>
  </si>
  <si>
    <t>1401/12/11</t>
  </si>
  <si>
    <t>1401/12/12</t>
  </si>
  <si>
    <t>1401/12/13</t>
  </si>
  <si>
    <t>1401/12/14</t>
  </si>
  <si>
    <t>1401/12/15</t>
  </si>
  <si>
    <t>1401/12/16</t>
  </si>
  <si>
    <t>1401/12/17</t>
  </si>
  <si>
    <t>1401/12/18</t>
  </si>
  <si>
    <t>1401/12/19</t>
  </si>
  <si>
    <t>1401/12/20</t>
  </si>
  <si>
    <t>1401/12/21</t>
  </si>
  <si>
    <t>1401/12/22</t>
  </si>
  <si>
    <t>1401/12/23</t>
  </si>
  <si>
    <t>1401/12/24</t>
  </si>
  <si>
    <t>1401/12/25</t>
  </si>
  <si>
    <t>1401/12/26</t>
  </si>
  <si>
    <t>1401/12/27</t>
  </si>
  <si>
    <t>1401/12/28</t>
  </si>
  <si>
    <t>1401/12/29</t>
  </si>
  <si>
    <t>1402/01/01</t>
  </si>
  <si>
    <t>1402/01/02</t>
  </si>
  <si>
    <t>1402/01/03</t>
  </si>
  <si>
    <t>1102/01/04</t>
  </si>
  <si>
    <t>1402/01/05</t>
  </si>
  <si>
    <t>1402/01/06</t>
  </si>
  <si>
    <t>1402/01/07</t>
  </si>
  <si>
    <t>1402/01/08</t>
  </si>
  <si>
    <t>1402/01/09</t>
  </si>
  <si>
    <t>1402/01/10</t>
  </si>
  <si>
    <t>1402/01/11</t>
  </si>
  <si>
    <t>1402/01/12</t>
  </si>
  <si>
    <t>1402/01/13</t>
  </si>
  <si>
    <t>1402/01/14</t>
  </si>
  <si>
    <t>1402/01/15</t>
  </si>
  <si>
    <t>1402/01/16</t>
  </si>
  <si>
    <t>1402/01/17</t>
  </si>
  <si>
    <t>1402/01/18</t>
  </si>
  <si>
    <t>1402/01/19</t>
  </si>
  <si>
    <t>1402/01/20</t>
  </si>
  <si>
    <t>1402/01/21</t>
  </si>
  <si>
    <t>1402/01/22</t>
  </si>
  <si>
    <t>1402/01/23</t>
  </si>
  <si>
    <t>1402/01/24</t>
  </si>
  <si>
    <t>1402/01/25</t>
  </si>
  <si>
    <t>1402/01/26</t>
  </si>
  <si>
    <t>1402/01/27</t>
  </si>
  <si>
    <t>1402/01/28</t>
  </si>
  <si>
    <t>1402/01/29</t>
  </si>
  <si>
    <t>1402/01/30</t>
  </si>
  <si>
    <t>1402/01/31</t>
  </si>
  <si>
    <t>1402/02/01</t>
  </si>
  <si>
    <t>1402/02/02</t>
  </si>
  <si>
    <t>1402/02/03</t>
  </si>
  <si>
    <t>1402/02/04</t>
  </si>
  <si>
    <t>1402/02/05</t>
  </si>
  <si>
    <t>1402/02/06</t>
  </si>
  <si>
    <t>1402/02/07</t>
  </si>
  <si>
    <t>1402/02/08</t>
  </si>
  <si>
    <t>1402/02/09</t>
  </si>
  <si>
    <t>1402/02/10</t>
  </si>
  <si>
    <t>1402/02/11</t>
  </si>
  <si>
    <t>1402/02/12</t>
  </si>
  <si>
    <t>1402/02/13</t>
  </si>
  <si>
    <t>1402/02/14</t>
  </si>
  <si>
    <t>1402/02/15</t>
  </si>
  <si>
    <t>1402/02/16</t>
  </si>
  <si>
    <t>1402/02/17</t>
  </si>
  <si>
    <t>1402/02/18</t>
  </si>
  <si>
    <t>1402/02/19</t>
  </si>
  <si>
    <t>1402/02/20</t>
  </si>
  <si>
    <t>1402/02/21</t>
  </si>
  <si>
    <t>1402/02/22</t>
  </si>
  <si>
    <t>1402/02/23</t>
  </si>
  <si>
    <t>1402/02/24</t>
  </si>
  <si>
    <t>1402/02/25</t>
  </si>
  <si>
    <t>1402/02/26</t>
  </si>
  <si>
    <t>1402/02/27</t>
  </si>
  <si>
    <t>1402/02/28</t>
  </si>
  <si>
    <t>1402/02/29</t>
  </si>
  <si>
    <t>1402/02/30</t>
  </si>
  <si>
    <t>1402/02/31</t>
  </si>
  <si>
    <t>1402/03/01</t>
  </si>
  <si>
    <t>1402/03/02</t>
  </si>
  <si>
    <t>1402/03/03</t>
  </si>
  <si>
    <t>1402/03/04</t>
  </si>
  <si>
    <t>1402/03/05</t>
  </si>
  <si>
    <t>1402/03/06</t>
  </si>
  <si>
    <t>1402/03/07</t>
  </si>
  <si>
    <t>1402/03/08</t>
  </si>
  <si>
    <t>1402/03/09</t>
  </si>
  <si>
    <t>1402/03/10</t>
  </si>
  <si>
    <t>1402/03/11</t>
  </si>
  <si>
    <t>1402/03/12</t>
  </si>
  <si>
    <t>1402/03/13</t>
  </si>
  <si>
    <t>1402/03/14</t>
  </si>
  <si>
    <t>1402/03/16</t>
  </si>
  <si>
    <t>1402/03/17</t>
  </si>
  <si>
    <t>1402/03/18</t>
  </si>
  <si>
    <t>1402/03/19</t>
  </si>
  <si>
    <t>1402/03/20</t>
  </si>
  <si>
    <t>1402/03/21</t>
  </si>
  <si>
    <t>1402/03/22</t>
  </si>
  <si>
    <t>1402/03/23</t>
  </si>
  <si>
    <t>1402/03/24</t>
  </si>
  <si>
    <t>1402/03/25</t>
  </si>
  <si>
    <t>1402/03/26</t>
  </si>
  <si>
    <t>1402/03/27</t>
  </si>
  <si>
    <t>1402/03/28</t>
  </si>
  <si>
    <t>1402/03/29</t>
  </si>
  <si>
    <t>1402/03/30</t>
  </si>
  <si>
    <t>1402/03/31</t>
  </si>
  <si>
    <t>1402/04/01</t>
  </si>
  <si>
    <t>1402/04/02</t>
  </si>
  <si>
    <t>1402/04/03</t>
  </si>
  <si>
    <t>1402/04/04</t>
  </si>
  <si>
    <t>1402/04/05</t>
  </si>
  <si>
    <t>1402/04/06</t>
  </si>
  <si>
    <t>1402/04/07</t>
  </si>
  <si>
    <t>1402/04/08</t>
  </si>
  <si>
    <t>1402/04/09</t>
  </si>
  <si>
    <t>1402/04/10</t>
  </si>
  <si>
    <t>1402/04/11</t>
  </si>
  <si>
    <t>1402/04/12</t>
  </si>
  <si>
    <t>1402/04/13</t>
  </si>
  <si>
    <t>1402/04/14</t>
  </si>
  <si>
    <t>1402/04/15</t>
  </si>
  <si>
    <t>1402/04/16</t>
  </si>
  <si>
    <t>1402/04/17</t>
  </si>
  <si>
    <t>1402/04/18</t>
  </si>
  <si>
    <t>1402/04/19</t>
  </si>
  <si>
    <t>1402/04/20</t>
  </si>
  <si>
    <t>1402/04/21</t>
  </si>
  <si>
    <t>1402/04/22</t>
  </si>
  <si>
    <t>1402/04/23</t>
  </si>
  <si>
    <t>1402/04/24</t>
  </si>
  <si>
    <t>1402/04/25</t>
  </si>
  <si>
    <t>1402/04/26</t>
  </si>
  <si>
    <t>1402/04/27</t>
  </si>
  <si>
    <t>1402/04/28</t>
  </si>
  <si>
    <t>1402/04/29</t>
  </si>
  <si>
    <t>1402/04/30</t>
  </si>
  <si>
    <t>1402/04/31</t>
  </si>
  <si>
    <t>1402/05/01</t>
  </si>
  <si>
    <t>1402/05/02</t>
  </si>
  <si>
    <t>1402/05/03</t>
  </si>
  <si>
    <t>1402/05/04</t>
  </si>
  <si>
    <t>1402/05/05</t>
  </si>
  <si>
    <t>1402/05/06</t>
  </si>
  <si>
    <t>1402/05/07</t>
  </si>
  <si>
    <t>1402/05/08</t>
  </si>
  <si>
    <t>1402/05/09</t>
  </si>
  <si>
    <t>1402/05/10</t>
  </si>
  <si>
    <t>1402/05/11</t>
  </si>
  <si>
    <t>1402/05/12</t>
  </si>
  <si>
    <t>1402/05/13</t>
  </si>
  <si>
    <t>1402/05/14</t>
  </si>
  <si>
    <t>1402/05/15</t>
  </si>
  <si>
    <t>1402/05/16</t>
  </si>
  <si>
    <t>1402/05/17</t>
  </si>
  <si>
    <t>1402/05/18</t>
  </si>
  <si>
    <t>1402/05/19</t>
  </si>
  <si>
    <t>1402/05/20</t>
  </si>
  <si>
    <t>1402/05/21</t>
  </si>
  <si>
    <t>1402/05/22</t>
  </si>
  <si>
    <t>1402/05/23</t>
  </si>
  <si>
    <t>1402/05/24</t>
  </si>
  <si>
    <t>1402/05/25</t>
  </si>
  <si>
    <t>1402/05/26</t>
  </si>
  <si>
    <t>1402/05/27</t>
  </si>
  <si>
    <t>1402/05/28</t>
  </si>
  <si>
    <t>1402/05/29</t>
  </si>
  <si>
    <t>1402/05/30</t>
  </si>
  <si>
    <t>1402/05/31</t>
  </si>
  <si>
    <t>1402/06/01</t>
  </si>
  <si>
    <t>1402/06/02</t>
  </si>
  <si>
    <t>1402/06/03</t>
  </si>
  <si>
    <t>1402/06/04</t>
  </si>
  <si>
    <t>1402/06/05</t>
  </si>
  <si>
    <t>1402/06/06</t>
  </si>
  <si>
    <t>1402/06/07</t>
  </si>
  <si>
    <t>1402/06/08</t>
  </si>
  <si>
    <t>1402/06/09</t>
  </si>
  <si>
    <t>1402/06/10</t>
  </si>
  <si>
    <t>1402/06/11</t>
  </si>
  <si>
    <t>1402/06/12</t>
  </si>
  <si>
    <t>1402/06/13</t>
  </si>
  <si>
    <t>1402/06/14</t>
  </si>
  <si>
    <t>1402/06/15</t>
  </si>
  <si>
    <t>1402/06/16</t>
  </si>
  <si>
    <t>1402/06/17</t>
  </si>
  <si>
    <t>1402/06/18</t>
  </si>
  <si>
    <t>1402/06/19</t>
  </si>
  <si>
    <t>1402/06/20</t>
  </si>
  <si>
    <t>1402/06/21</t>
  </si>
  <si>
    <t>1402/06/22</t>
  </si>
  <si>
    <t>1402/06/23</t>
  </si>
  <si>
    <t>1402/06/24</t>
  </si>
  <si>
    <t>1402/06/25</t>
  </si>
  <si>
    <t>1402/06/26</t>
  </si>
  <si>
    <t>1402/06/27</t>
  </si>
  <si>
    <t>1402/06/28</t>
  </si>
  <si>
    <t>1402/06/29</t>
  </si>
  <si>
    <t>1402/06/31</t>
  </si>
  <si>
    <t>1402/07/01</t>
  </si>
  <si>
    <t>1402/07/02</t>
  </si>
  <si>
    <t>1402/07/03</t>
  </si>
  <si>
    <t>1402/07/04</t>
  </si>
  <si>
    <t>1402/07/05</t>
  </si>
  <si>
    <t>1402/07/06</t>
  </si>
  <si>
    <t>1402/07/07</t>
  </si>
  <si>
    <t>1402/07/08</t>
  </si>
  <si>
    <t>1402/07/09</t>
  </si>
  <si>
    <t>1402/07/10</t>
  </si>
  <si>
    <t>1402/07/11</t>
  </si>
  <si>
    <t>1402/07/12</t>
  </si>
  <si>
    <t>1402/07/13</t>
  </si>
  <si>
    <t>1402/07/14</t>
  </si>
  <si>
    <t>1402/07/15</t>
  </si>
  <si>
    <t>1402/07/16</t>
  </si>
  <si>
    <t>1402/07/17</t>
  </si>
  <si>
    <t>1402/07/18</t>
  </si>
  <si>
    <t>1402/07/19</t>
  </si>
  <si>
    <t>1402/07/20</t>
  </si>
  <si>
    <t>1402/07/21</t>
  </si>
  <si>
    <t>1402/07/22</t>
  </si>
  <si>
    <t>1402/07/23</t>
  </si>
  <si>
    <t>1402/07/24</t>
  </si>
  <si>
    <t>1402/07/25</t>
  </si>
  <si>
    <t>1402/07/26</t>
  </si>
  <si>
    <t>1402/07/27</t>
  </si>
  <si>
    <t>1402/07/28</t>
  </si>
  <si>
    <t>1402/07/29</t>
  </si>
  <si>
    <t>1402/07/30</t>
  </si>
  <si>
    <t>1402/08/01</t>
  </si>
  <si>
    <t>1402/08/02</t>
  </si>
  <si>
    <t>1402/08/03</t>
  </si>
  <si>
    <t>1402/08/04</t>
  </si>
  <si>
    <t>1402/08/05</t>
  </si>
  <si>
    <t>1402/08/06</t>
  </si>
  <si>
    <t>1402/08/07</t>
  </si>
  <si>
    <t>1402/08/08</t>
  </si>
  <si>
    <t>1402/08/09</t>
  </si>
  <si>
    <t>1402/08/10</t>
  </si>
  <si>
    <t>1402/08/11</t>
  </si>
  <si>
    <t>1402/08/12</t>
  </si>
  <si>
    <t>1402/08/13</t>
  </si>
  <si>
    <t>1402/08/14</t>
  </si>
  <si>
    <t>1402/08/15</t>
  </si>
  <si>
    <t>1402/08/16</t>
  </si>
  <si>
    <t>1402/08/17</t>
  </si>
  <si>
    <t>1402/08/18</t>
  </si>
  <si>
    <t>1402/08/19</t>
  </si>
  <si>
    <t>1402/08/21</t>
  </si>
  <si>
    <t>1402/08/22</t>
  </si>
  <si>
    <t>1402/08/23</t>
  </si>
  <si>
    <t>1402/08/24</t>
  </si>
  <si>
    <t>1402/08/25</t>
  </si>
  <si>
    <t>1402/08/26</t>
  </si>
  <si>
    <t>1402/08/27</t>
  </si>
  <si>
    <t>1402/08/28</t>
  </si>
  <si>
    <t>1402/08/29</t>
  </si>
  <si>
    <t>1402/08/30</t>
  </si>
  <si>
    <t>1402/09/01</t>
  </si>
  <si>
    <t>1402/09/02</t>
  </si>
  <si>
    <t>1402/09/03</t>
  </si>
  <si>
    <t>1402/09/04</t>
  </si>
  <si>
    <t>1402/09/05</t>
  </si>
  <si>
    <t>1402/09/06</t>
  </si>
  <si>
    <t>1402/09/07</t>
  </si>
  <si>
    <t>1402/09/08</t>
  </si>
  <si>
    <t>1402/09/09</t>
  </si>
  <si>
    <t>1402/09/10</t>
  </si>
  <si>
    <t>1402/09/11</t>
  </si>
  <si>
    <t>1402/09/12</t>
  </si>
  <si>
    <t>1402/09/13</t>
  </si>
  <si>
    <t>1402/09/14</t>
  </si>
  <si>
    <t>1402/09/15</t>
  </si>
  <si>
    <t>1402/09/16</t>
  </si>
  <si>
    <t>1402/09/17</t>
  </si>
  <si>
    <t>1402/09/18</t>
  </si>
  <si>
    <t>1402/09/19</t>
  </si>
  <si>
    <t>1402/09/20</t>
  </si>
  <si>
    <t>1402/09/21</t>
  </si>
  <si>
    <t>1402/09/22</t>
  </si>
  <si>
    <t>1402/09/23</t>
  </si>
  <si>
    <t>1402/09/24</t>
  </si>
  <si>
    <t>1402/09/25</t>
  </si>
  <si>
    <t>1402/09/26</t>
  </si>
  <si>
    <t>1402/09/27</t>
  </si>
  <si>
    <t>1402/09/28</t>
  </si>
  <si>
    <t>1402/09/29</t>
  </si>
  <si>
    <t>1402/09/30</t>
  </si>
  <si>
    <t>1402/10/01</t>
  </si>
  <si>
    <t>1402/10/02</t>
  </si>
  <si>
    <t>1402/10/03</t>
  </si>
  <si>
    <t>1402/10/04</t>
  </si>
  <si>
    <t>1402/10/05</t>
  </si>
  <si>
    <t>1402/10/06</t>
  </si>
  <si>
    <t>1402/10/07</t>
  </si>
  <si>
    <t>1402/10/08</t>
  </si>
  <si>
    <t>1402/10/09</t>
  </si>
  <si>
    <t>1402/10/10</t>
  </si>
  <si>
    <t>1402/10/11</t>
  </si>
  <si>
    <t>1402/10/12</t>
  </si>
  <si>
    <t>1402/10/13</t>
  </si>
  <si>
    <t>1402/10/14</t>
  </si>
  <si>
    <t>1402/10/15</t>
  </si>
  <si>
    <t>1402/10/16</t>
  </si>
  <si>
    <t>1402/10/17</t>
  </si>
  <si>
    <t>1402/10/18</t>
  </si>
  <si>
    <t>1402/10/19</t>
  </si>
  <si>
    <t>1402/10/20</t>
  </si>
  <si>
    <t>1402/10/21</t>
  </si>
  <si>
    <t>1402/10/22</t>
  </si>
  <si>
    <t>1402/10/23</t>
  </si>
  <si>
    <t>1402/10/24</t>
  </si>
  <si>
    <t>1402/10/25</t>
  </si>
  <si>
    <t>1402/10/26</t>
  </si>
  <si>
    <t>1402/10/27</t>
  </si>
  <si>
    <t>1402/10/28</t>
  </si>
  <si>
    <t>1402/10/29</t>
  </si>
  <si>
    <t>1402/11/01</t>
  </si>
  <si>
    <t>1402/11/03</t>
  </si>
  <si>
    <t>1402/11/04</t>
  </si>
  <si>
    <t>1402/11/05</t>
  </si>
  <si>
    <t>1402/11/06</t>
  </si>
  <si>
    <t>1402/11/07</t>
  </si>
  <si>
    <t>1402/11/08</t>
  </si>
  <si>
    <t>1402/11/09</t>
  </si>
  <si>
    <t>1402/11/10</t>
  </si>
  <si>
    <t>1402/11/11</t>
  </si>
  <si>
    <t>1402/11/12</t>
  </si>
  <si>
    <t>1402/11/13</t>
  </si>
  <si>
    <t>1402/11/14</t>
  </si>
  <si>
    <t>1402/11/15</t>
  </si>
  <si>
    <t>1402/11/16</t>
  </si>
  <si>
    <t>1402/11/17</t>
  </si>
  <si>
    <t>1402/11/18</t>
  </si>
  <si>
    <t>1402/11/19</t>
  </si>
  <si>
    <t>1402/11/20</t>
  </si>
  <si>
    <t>1402/11/21</t>
  </si>
  <si>
    <t>1402/11/22</t>
  </si>
  <si>
    <t>1402/11/23</t>
  </si>
  <si>
    <t>1402/11/24</t>
  </si>
  <si>
    <t>1402/11/25</t>
  </si>
  <si>
    <t>1402/11/26</t>
  </si>
  <si>
    <t>1402/11/27</t>
  </si>
  <si>
    <t>1402/11/28</t>
  </si>
  <si>
    <t>1402/11/29</t>
  </si>
  <si>
    <t>1402/11/30</t>
  </si>
  <si>
    <t>1402/12/01</t>
  </si>
  <si>
    <t>1402/12/02</t>
  </si>
  <si>
    <t>1402/12/03</t>
  </si>
  <si>
    <t>1402/12/04</t>
  </si>
  <si>
    <t>1402/12/05</t>
  </si>
  <si>
    <t>1402/12/06</t>
  </si>
  <si>
    <t>1402/12/07</t>
  </si>
  <si>
    <t>1402/12/08</t>
  </si>
  <si>
    <t>1402/12/09</t>
  </si>
  <si>
    <t>1402/12/10</t>
  </si>
  <si>
    <t>1402/12/11</t>
  </si>
  <si>
    <t>1402/12/12</t>
  </si>
  <si>
    <t>1402/12/13</t>
  </si>
  <si>
    <t>1402/12/14</t>
  </si>
  <si>
    <t>1402/12/15</t>
  </si>
  <si>
    <t>1402/12/16</t>
  </si>
  <si>
    <t>1402/12/17</t>
  </si>
  <si>
    <t>1402/12/18</t>
  </si>
  <si>
    <t>1402/12/19</t>
  </si>
  <si>
    <t>1402/12/20</t>
  </si>
  <si>
    <t>1402/12/21</t>
  </si>
  <si>
    <t>1402/12/22</t>
  </si>
  <si>
    <t>1402/12/23</t>
  </si>
  <si>
    <t>1402/12/24</t>
  </si>
  <si>
    <t>1402/12/25</t>
  </si>
  <si>
    <t>1402/12/27</t>
  </si>
  <si>
    <t>1402/12/28</t>
  </si>
  <si>
    <t>1402/12/29</t>
  </si>
  <si>
    <t>1403/01/01</t>
  </si>
  <si>
    <t>1403/01/02</t>
  </si>
  <si>
    <t>1403/01/03</t>
  </si>
  <si>
    <t>1403/01/04</t>
  </si>
  <si>
    <t>1403/01/05</t>
  </si>
  <si>
    <t>1403/01/06</t>
  </si>
  <si>
    <t>1403/01/07</t>
  </si>
  <si>
    <t>1403/01/08</t>
  </si>
  <si>
    <t>1403/01/09</t>
  </si>
  <si>
    <t>1403/01/10</t>
  </si>
  <si>
    <t>1403/01/11</t>
  </si>
  <si>
    <t>1403/01/12</t>
  </si>
  <si>
    <t>1403/01/13</t>
  </si>
  <si>
    <t>1403/01/14</t>
  </si>
  <si>
    <t>1403/01/15</t>
  </si>
  <si>
    <t>1403/01/16</t>
  </si>
  <si>
    <t>1403/01/17</t>
  </si>
  <si>
    <t>1403/01/18</t>
  </si>
  <si>
    <t>1403/01/19</t>
  </si>
  <si>
    <t>1403/01/20</t>
  </si>
  <si>
    <t>1403/01/21</t>
  </si>
  <si>
    <t>1403/01/22</t>
  </si>
  <si>
    <t>1403/01/23</t>
  </si>
  <si>
    <t>1403/01/24</t>
  </si>
  <si>
    <t>1403/01/25</t>
  </si>
  <si>
    <t>1403/01/26</t>
  </si>
  <si>
    <t>1403/01/27</t>
  </si>
  <si>
    <t>1403/01/28</t>
  </si>
  <si>
    <t>1403/01/29</t>
  </si>
  <si>
    <t>1403/01/30</t>
  </si>
  <si>
    <t>1403/01/31</t>
  </si>
  <si>
    <t>1403/02/01</t>
  </si>
  <si>
    <t>1403/02/02</t>
  </si>
  <si>
    <t>1403/02/03</t>
  </si>
  <si>
    <t>1403/02/04</t>
  </si>
  <si>
    <t>1403/02/05</t>
  </si>
  <si>
    <t>1403/02/06</t>
  </si>
  <si>
    <t>1403/02/07</t>
  </si>
  <si>
    <t>1403/02/08</t>
  </si>
  <si>
    <t>1403/02/09</t>
  </si>
  <si>
    <t>1403/02/10</t>
  </si>
  <si>
    <t>1403/02/11</t>
  </si>
  <si>
    <t>1403/02/12</t>
  </si>
  <si>
    <t>1403/02/13</t>
  </si>
  <si>
    <t>1403/02/14</t>
  </si>
  <si>
    <t>1403/02/15</t>
  </si>
  <si>
    <t>1403/02/16</t>
  </si>
  <si>
    <t>1403/02/17</t>
  </si>
  <si>
    <t>1403/02/18</t>
  </si>
  <si>
    <t>1403/02/19</t>
  </si>
  <si>
    <t>1403/02/20</t>
  </si>
  <si>
    <t>1403/02/21</t>
  </si>
  <si>
    <t>1403/02/22</t>
  </si>
  <si>
    <t>1403/02/23</t>
  </si>
  <si>
    <t>1403/02/24</t>
  </si>
  <si>
    <t>1403/02/25</t>
  </si>
  <si>
    <t>1403/02/26</t>
  </si>
  <si>
    <t>1403/02/27</t>
  </si>
  <si>
    <t>1403/02/28</t>
  </si>
  <si>
    <t>1403/02/29</t>
  </si>
  <si>
    <t>1403/02/30</t>
  </si>
  <si>
    <t>1403/02/31</t>
  </si>
  <si>
    <t>1403/03/01</t>
  </si>
  <si>
    <t>1403/03/02</t>
  </si>
  <si>
    <t>1403/03/03</t>
  </si>
  <si>
    <t>1403/03/04</t>
  </si>
  <si>
    <t>1403/03/05</t>
  </si>
  <si>
    <t>1403/03/06</t>
  </si>
  <si>
    <t>1403/03/07</t>
  </si>
  <si>
    <t>1403/03/08</t>
  </si>
  <si>
    <t>1403/03/09</t>
  </si>
  <si>
    <t>1403/03/10</t>
  </si>
  <si>
    <t>1403/03/11</t>
  </si>
  <si>
    <t>1403/03/12</t>
  </si>
  <si>
    <t>1403/03/13</t>
  </si>
  <si>
    <t>1403/03/14</t>
  </si>
  <si>
    <t>1403/03/15</t>
  </si>
  <si>
    <t>1403/03/16</t>
  </si>
  <si>
    <t>1403/03/17</t>
  </si>
  <si>
    <t>1403/03/18</t>
  </si>
  <si>
    <t>1403/03/19</t>
  </si>
  <si>
    <t>1403/03/20</t>
  </si>
  <si>
    <t>1403/03/21</t>
  </si>
  <si>
    <t>1403/03/22</t>
  </si>
  <si>
    <t>1403/03/23</t>
  </si>
  <si>
    <t>1403/03/24</t>
  </si>
  <si>
    <t>1403/03/25</t>
  </si>
  <si>
    <t>1403/03/26</t>
  </si>
  <si>
    <t>1403/03/27</t>
  </si>
  <si>
    <t>1403/03/28</t>
  </si>
  <si>
    <t>1403/03/29</t>
  </si>
  <si>
    <t>1403/03/30</t>
  </si>
  <si>
    <t>1403/03/31</t>
  </si>
  <si>
    <t>1403/04/01</t>
  </si>
  <si>
    <t>1403/04/02</t>
  </si>
  <si>
    <t>1403/04/03</t>
  </si>
  <si>
    <t>1403/04/04</t>
  </si>
  <si>
    <t>1403/04/05</t>
  </si>
  <si>
    <t>1403/04/07</t>
  </si>
  <si>
    <t>1403/04/08</t>
  </si>
  <si>
    <t>1403/04/09</t>
  </si>
  <si>
    <t>1403/04/10</t>
  </si>
  <si>
    <t>1403/04/11</t>
  </si>
  <si>
    <t>1403/04/12</t>
  </si>
  <si>
    <t>1403/04/13</t>
  </si>
  <si>
    <t>1403/04/14</t>
  </si>
  <si>
    <t>1403/04/15</t>
  </si>
  <si>
    <t>1403/04/16</t>
  </si>
  <si>
    <t>1403/04/17</t>
  </si>
  <si>
    <t>1403/04/18</t>
  </si>
  <si>
    <t>1403/04/19</t>
  </si>
  <si>
    <t>1403/04/20</t>
  </si>
  <si>
    <t>1403/04/21</t>
  </si>
  <si>
    <t>1403/04/22</t>
  </si>
  <si>
    <t>1403/04/23</t>
  </si>
  <si>
    <t>1403/04/24</t>
  </si>
  <si>
    <t>1403/04/25</t>
  </si>
  <si>
    <t>1403/04/26</t>
  </si>
  <si>
    <t>1403/04/27</t>
  </si>
  <si>
    <t>1403/04/28</t>
  </si>
  <si>
    <t>1403/04/29</t>
  </si>
  <si>
    <t>1403/04/30</t>
  </si>
  <si>
    <t>1403/04/31</t>
  </si>
  <si>
    <t>1403/05/01</t>
  </si>
  <si>
    <t>1403/05/02</t>
  </si>
  <si>
    <t>1403/05/03</t>
  </si>
  <si>
    <t>1403/05/04</t>
  </si>
  <si>
    <t>1403/05/05</t>
  </si>
  <si>
    <t>1403/05/06</t>
  </si>
  <si>
    <t>1403/05/07</t>
  </si>
  <si>
    <t>1403/05/08</t>
  </si>
  <si>
    <t>1403/05/09</t>
  </si>
  <si>
    <t>1403/05/10</t>
  </si>
  <si>
    <t>1403/05/11</t>
  </si>
  <si>
    <t>1403/05/12</t>
  </si>
  <si>
    <t>1403/05/13</t>
  </si>
  <si>
    <t>1403/05/14</t>
  </si>
  <si>
    <t>1403/05/15</t>
  </si>
  <si>
    <t>1403/05/16</t>
  </si>
  <si>
    <t>1403/05/17</t>
  </si>
  <si>
    <t>1403/05/18</t>
  </si>
  <si>
    <t>1403/05/19</t>
  </si>
  <si>
    <t>1403/05/20</t>
  </si>
  <si>
    <t>1403/05/21</t>
  </si>
  <si>
    <t>1403/05/22</t>
  </si>
  <si>
    <t>1403/05/23</t>
  </si>
  <si>
    <t>1403/05/24</t>
  </si>
  <si>
    <t>1403/05/25</t>
  </si>
  <si>
    <t>1403/05/26</t>
  </si>
  <si>
    <t>1403/05/27</t>
  </si>
  <si>
    <t>1403/05/28</t>
  </si>
  <si>
    <t>1403/05/29</t>
  </si>
  <si>
    <t>1403/05/30</t>
  </si>
  <si>
    <t>1403/05/31</t>
  </si>
  <si>
    <t>1403/06/01</t>
  </si>
  <si>
    <t>1403/06/02</t>
  </si>
  <si>
    <t>1403/06/03</t>
  </si>
  <si>
    <t>1403/06/04</t>
  </si>
  <si>
    <t>1403/06/05</t>
  </si>
  <si>
    <t>1403/06/06</t>
  </si>
  <si>
    <t>1403/06/07</t>
  </si>
  <si>
    <t>1403/06/08</t>
  </si>
  <si>
    <t>1403/06/09</t>
  </si>
  <si>
    <t>1403/06/10</t>
  </si>
  <si>
    <t>1403/06/11</t>
  </si>
  <si>
    <t>1403/06/12</t>
  </si>
  <si>
    <t>1403/06/13</t>
  </si>
  <si>
    <t>1403/06/14</t>
  </si>
  <si>
    <t>1403/06/15</t>
  </si>
  <si>
    <t>1403/06/16</t>
  </si>
  <si>
    <t>1403/06/17</t>
  </si>
  <si>
    <t>1403/06/18</t>
  </si>
  <si>
    <t>1403/06/19</t>
  </si>
  <si>
    <t>1403/06/20</t>
  </si>
  <si>
    <t>1403/06/21</t>
  </si>
  <si>
    <t>1403/06/22</t>
  </si>
  <si>
    <t>1403/06/23</t>
  </si>
  <si>
    <t>1403/06/24</t>
  </si>
  <si>
    <t>1403/06/25</t>
  </si>
  <si>
    <t>1403/06/26</t>
  </si>
  <si>
    <t>1403/06/27</t>
  </si>
  <si>
    <t>1403/06/28</t>
  </si>
  <si>
    <t>1403/06/29</t>
  </si>
  <si>
    <t>1403/06/31</t>
  </si>
  <si>
    <t>1403/07/02</t>
  </si>
  <si>
    <t>1403/07/03</t>
  </si>
  <si>
    <t>1403/07/04</t>
  </si>
  <si>
    <t>1403/07/05</t>
  </si>
  <si>
    <t>1403/07/06</t>
  </si>
  <si>
    <t>1403/07/07</t>
  </si>
  <si>
    <t>1403/07/08</t>
  </si>
  <si>
    <t>1403/07/09</t>
  </si>
  <si>
    <t>1403/07/10</t>
  </si>
  <si>
    <t>1403/07/11</t>
  </si>
  <si>
    <t>1403/07/12</t>
  </si>
  <si>
    <t>1403/07/13</t>
  </si>
  <si>
    <t>1403/07/14</t>
  </si>
  <si>
    <t>1403/07/15</t>
  </si>
  <si>
    <t>1403/07/16</t>
  </si>
  <si>
    <t>1403/07/17</t>
  </si>
  <si>
    <t>1403/07/18</t>
  </si>
  <si>
    <t>1403/07/19</t>
  </si>
  <si>
    <t>1403/07/20</t>
  </si>
  <si>
    <t>1403/07/21</t>
  </si>
  <si>
    <t>1403/07/22</t>
  </si>
  <si>
    <t>1403/07/23</t>
  </si>
  <si>
    <t>1403/07/24</t>
  </si>
  <si>
    <t>1403/07/25</t>
  </si>
  <si>
    <t>1403/07/26</t>
  </si>
  <si>
    <t>1403/07/27</t>
  </si>
  <si>
    <t>1403/07/28</t>
  </si>
  <si>
    <t>1403/07/29</t>
  </si>
  <si>
    <t>1403/07/30</t>
  </si>
  <si>
    <t>1403/08/01</t>
  </si>
  <si>
    <t>1403/08/02</t>
  </si>
  <si>
    <t>1403/08/03</t>
  </si>
  <si>
    <t>1403/08/04</t>
  </si>
  <si>
    <t>1403/08/05</t>
  </si>
  <si>
    <t>1403/08/06</t>
  </si>
  <si>
    <t>1403/08/07</t>
  </si>
  <si>
    <t>1403/08/08</t>
  </si>
  <si>
    <t>1403/08/09</t>
  </si>
  <si>
    <t>1403/08/10</t>
  </si>
  <si>
    <t>1403/08/11</t>
  </si>
  <si>
    <t>1403/08/12</t>
  </si>
  <si>
    <t>1403/08/13</t>
  </si>
  <si>
    <t>1403/08/14</t>
  </si>
  <si>
    <t>1403/08/15</t>
  </si>
  <si>
    <t>1403/08/16</t>
  </si>
  <si>
    <t>1403/08/17</t>
  </si>
  <si>
    <t>1403/08/18</t>
  </si>
  <si>
    <t>1403/08/19</t>
  </si>
  <si>
    <t>1403/08/20</t>
  </si>
  <si>
    <t>1403/08/21</t>
  </si>
  <si>
    <t>1403/08/22</t>
  </si>
  <si>
    <t>1403/08/23</t>
  </si>
  <si>
    <t>1403/08/24</t>
  </si>
  <si>
    <t>1403/08/25</t>
  </si>
  <si>
    <t>1403/08/26</t>
  </si>
  <si>
    <t>1403/08/27</t>
  </si>
  <si>
    <t>1403/08/28</t>
  </si>
  <si>
    <t>1403/08/29</t>
  </si>
  <si>
    <t>1403/08/30</t>
  </si>
  <si>
    <t>1403/09/01</t>
  </si>
  <si>
    <t>1403/09/02</t>
  </si>
  <si>
    <t>1403/09/03</t>
  </si>
  <si>
    <t>1403/09/04</t>
  </si>
  <si>
    <t>1403/09/05</t>
  </si>
  <si>
    <t>1403/09/06</t>
  </si>
  <si>
    <t>1403/09/07</t>
  </si>
  <si>
    <t>1403/09/08</t>
  </si>
  <si>
    <t>1403/09/09</t>
  </si>
  <si>
    <t>1403/09/10</t>
  </si>
  <si>
    <t>1403/09/11</t>
  </si>
  <si>
    <t>1403/09/12</t>
  </si>
  <si>
    <t>1403/09/13</t>
  </si>
  <si>
    <t>1403/09/14</t>
  </si>
  <si>
    <t>1403/09/15</t>
  </si>
  <si>
    <t>1403/09/16</t>
  </si>
  <si>
    <t>1403/09/17</t>
  </si>
  <si>
    <t>1403/09/18</t>
  </si>
  <si>
    <t>1403/09/19</t>
  </si>
  <si>
    <t>1403/09/20</t>
  </si>
  <si>
    <t>1403/09/21</t>
  </si>
  <si>
    <t>1403/09/22</t>
  </si>
  <si>
    <t>1403/09/23</t>
  </si>
  <si>
    <t>1403/09/24</t>
  </si>
  <si>
    <t>1403/09/25</t>
  </si>
  <si>
    <t>1403/09/26</t>
  </si>
  <si>
    <t>1403/09/27</t>
  </si>
  <si>
    <t>1403/09/28</t>
  </si>
  <si>
    <t>1403/09/29</t>
  </si>
  <si>
    <t>1403/09/30</t>
  </si>
  <si>
    <t>1403/10/01</t>
  </si>
  <si>
    <t>1403/10/02</t>
  </si>
  <si>
    <t>1403/10/03</t>
  </si>
  <si>
    <t>1403/10/04</t>
  </si>
  <si>
    <t>1403/10/05</t>
  </si>
  <si>
    <t>1403/10/06</t>
  </si>
  <si>
    <t>1403/10/07</t>
  </si>
  <si>
    <t>1403/10/08</t>
  </si>
  <si>
    <t>1403/10/10</t>
  </si>
  <si>
    <t>1403/10/11</t>
  </si>
  <si>
    <t>1403/10/12</t>
  </si>
  <si>
    <t>1403/10/13</t>
  </si>
  <si>
    <t>1403/10/14</t>
  </si>
  <si>
    <t>1403/10/15</t>
  </si>
  <si>
    <t>1403/10/16</t>
  </si>
  <si>
    <t>1403/10/17</t>
  </si>
  <si>
    <t>1403/10/18</t>
  </si>
  <si>
    <t>1403/10/19</t>
  </si>
  <si>
    <t>1403/10/20</t>
  </si>
  <si>
    <t>1403/10/21</t>
  </si>
  <si>
    <t>1403/10/22</t>
  </si>
  <si>
    <t>1403/10/23</t>
  </si>
  <si>
    <t>1403/10/24</t>
  </si>
  <si>
    <t>1403/10/25</t>
  </si>
  <si>
    <t>1403/10/26</t>
  </si>
  <si>
    <t>1403/10/27</t>
  </si>
  <si>
    <t>1403/10/28</t>
  </si>
  <si>
    <t>1403/10/29</t>
  </si>
  <si>
    <t>1403/10/30</t>
  </si>
  <si>
    <t>1403/11/01</t>
  </si>
  <si>
    <t>1403/11/02</t>
  </si>
  <si>
    <t>1403/11/03</t>
  </si>
  <si>
    <t>1403/11/04</t>
  </si>
  <si>
    <t>1403/11/05</t>
  </si>
  <si>
    <t>1403/11/06</t>
  </si>
  <si>
    <t>1403/11/07</t>
  </si>
  <si>
    <t>1403/11/08</t>
  </si>
  <si>
    <t>1403/11/09</t>
  </si>
  <si>
    <t>1403/11/10</t>
  </si>
  <si>
    <t>1403/11/11</t>
  </si>
  <si>
    <t>1403/11/12</t>
  </si>
  <si>
    <t>1403/11/13</t>
  </si>
  <si>
    <t>1403/11/14</t>
  </si>
  <si>
    <t>1403/11/15</t>
  </si>
  <si>
    <t>1403/11/16</t>
  </si>
  <si>
    <t>1403/11/17</t>
  </si>
  <si>
    <t>1403/11/18</t>
  </si>
  <si>
    <t>1403/11/19</t>
  </si>
  <si>
    <t>1403/11/20</t>
  </si>
  <si>
    <t>1403/11/21</t>
  </si>
  <si>
    <t>1403/11/22</t>
  </si>
  <si>
    <t>1403/11/23</t>
  </si>
  <si>
    <t>1403/11/24</t>
  </si>
  <si>
    <t>1403/11/25</t>
  </si>
  <si>
    <t>1403/11/26</t>
  </si>
  <si>
    <t>1403/11/27</t>
  </si>
  <si>
    <t>1403/11/28</t>
  </si>
  <si>
    <t>1403/11/29</t>
  </si>
  <si>
    <t>1403/11/30</t>
  </si>
  <si>
    <t>1403/12/01</t>
  </si>
  <si>
    <t>1403/12/02</t>
  </si>
  <si>
    <t>1403/12/03</t>
  </si>
  <si>
    <t>1403/12/04</t>
  </si>
  <si>
    <t>1403/12/05</t>
  </si>
  <si>
    <t>1403/12/06</t>
  </si>
  <si>
    <t>1403/12/07</t>
  </si>
  <si>
    <t>1403/12/08</t>
  </si>
  <si>
    <t>1403/12/09</t>
  </si>
  <si>
    <t>1403/12/10</t>
  </si>
  <si>
    <t>1403/12/11</t>
  </si>
  <si>
    <t>1403/12/12</t>
  </si>
  <si>
    <t>1403/12/13</t>
  </si>
  <si>
    <t>1403/12/14</t>
  </si>
  <si>
    <t>1403/12/15</t>
  </si>
  <si>
    <t>1403/12/16</t>
  </si>
  <si>
    <t>1403/12/17</t>
  </si>
  <si>
    <t>1403/12/19</t>
  </si>
  <si>
    <t>1403/12/20</t>
  </si>
  <si>
    <t>1403/12/21</t>
  </si>
  <si>
    <t>1403/12/22</t>
  </si>
  <si>
    <t>1403/12/23</t>
  </si>
  <si>
    <t>1403/12/24</t>
  </si>
  <si>
    <t>1403/12/25</t>
  </si>
  <si>
    <t>1403/12/26</t>
  </si>
  <si>
    <t>1403/12/27</t>
  </si>
  <si>
    <t>1403/12/28</t>
  </si>
  <si>
    <t>1403/12/29</t>
  </si>
  <si>
    <t>1404/01/01</t>
  </si>
  <si>
    <t>1404/01/02</t>
  </si>
  <si>
    <t>1404/01/03</t>
  </si>
  <si>
    <t>1404/01/04</t>
  </si>
  <si>
    <t>1404/01/05</t>
  </si>
  <si>
    <t>1404/01/06</t>
  </si>
  <si>
    <t>1404/01/07</t>
  </si>
  <si>
    <t>1404/01/08</t>
  </si>
  <si>
    <t>1404/01/09</t>
  </si>
  <si>
    <t>1404/01/10</t>
  </si>
  <si>
    <t>1404/01/11</t>
  </si>
  <si>
    <t>1404/01/12</t>
  </si>
  <si>
    <t>1404/01/13</t>
  </si>
  <si>
    <t>1404/01/14</t>
  </si>
  <si>
    <t>1404/01/15</t>
  </si>
  <si>
    <t>1404/01/16</t>
  </si>
  <si>
    <t>1404/01/17</t>
  </si>
  <si>
    <t>1404/01/18</t>
  </si>
  <si>
    <t>1404/01/19</t>
  </si>
  <si>
    <t>1404/01/20</t>
  </si>
  <si>
    <t>1404/01/21</t>
  </si>
  <si>
    <t>1404/01/22</t>
  </si>
  <si>
    <t>1404/01/23</t>
  </si>
  <si>
    <t>1404/01/24</t>
  </si>
  <si>
    <t>1404/01/25</t>
  </si>
  <si>
    <t>1404/01/26</t>
  </si>
  <si>
    <t>1404/01/27</t>
  </si>
  <si>
    <t>1404/01/28</t>
  </si>
  <si>
    <t>1404/01/29</t>
  </si>
  <si>
    <t>1404/01/30</t>
  </si>
  <si>
    <t>1404/01/31</t>
  </si>
  <si>
    <t>1404/02/01</t>
  </si>
  <si>
    <t>1404/02/02</t>
  </si>
  <si>
    <t>1404/02/03</t>
  </si>
  <si>
    <t>1404/02/04</t>
  </si>
  <si>
    <t>1404/02/05</t>
  </si>
  <si>
    <t>1404/02/06</t>
  </si>
  <si>
    <t>1404/02/07</t>
  </si>
  <si>
    <t>1404/02/08</t>
  </si>
  <si>
    <t>1404/02/10</t>
  </si>
  <si>
    <t>1404/02/11</t>
  </si>
  <si>
    <t>1404/02/12</t>
  </si>
  <si>
    <t>1404/02/14</t>
  </si>
  <si>
    <t>1404/02/15</t>
  </si>
  <si>
    <t>1404/02/16</t>
  </si>
  <si>
    <t>1404/02/17</t>
  </si>
  <si>
    <t>1404/02/18</t>
  </si>
  <si>
    <t>1404/02/19</t>
  </si>
  <si>
    <t>1404/02/20</t>
  </si>
  <si>
    <t>1404/02/21</t>
  </si>
  <si>
    <t>1404/02/22</t>
  </si>
  <si>
    <t>1404/02/23</t>
  </si>
  <si>
    <t>1404/02/24</t>
  </si>
  <si>
    <t>1404/02/25</t>
  </si>
  <si>
    <t>1404/02/26</t>
  </si>
  <si>
    <t>1404/02/27</t>
  </si>
  <si>
    <t>1404/02/28</t>
  </si>
  <si>
    <t>1404/02/29</t>
  </si>
  <si>
    <t>1404/02/30</t>
  </si>
  <si>
    <t>1404/02/31</t>
  </si>
  <si>
    <t>1404/03/01</t>
  </si>
  <si>
    <t>1404/03/02</t>
  </si>
  <si>
    <t>1404/03/03</t>
  </si>
  <si>
    <t>1404/03/04</t>
  </si>
  <si>
    <t>1404/03/05</t>
  </si>
  <si>
    <t>1404/03/06</t>
  </si>
  <si>
    <t>1404/03/07</t>
  </si>
  <si>
    <t>1404/03/08</t>
  </si>
  <si>
    <t>1404/03/09</t>
  </si>
  <si>
    <t>1404/03/10</t>
  </si>
  <si>
    <t>1404/03/11</t>
  </si>
  <si>
    <t>1404/03/12</t>
  </si>
  <si>
    <t>1404/03/13</t>
  </si>
  <si>
    <t>1404/03/14</t>
  </si>
  <si>
    <t>1404/03/15</t>
  </si>
  <si>
    <t>1404/03/16</t>
  </si>
  <si>
    <t>1404/03/17</t>
  </si>
  <si>
    <t>1404/03/18</t>
  </si>
  <si>
    <t>1404/03/19</t>
  </si>
  <si>
    <t>1404/03/20</t>
  </si>
  <si>
    <t>1404/03/21</t>
  </si>
  <si>
    <t>1404/03/22</t>
  </si>
  <si>
    <t>1404/03/23</t>
  </si>
  <si>
    <t>1404/03/24</t>
  </si>
  <si>
    <t>1404/03/25</t>
  </si>
  <si>
    <t>1404/03/26</t>
  </si>
  <si>
    <t>1404/03/27</t>
  </si>
  <si>
    <t>1404/03/28</t>
  </si>
  <si>
    <t>1404/03/29</t>
  </si>
  <si>
    <t>1404/03/30</t>
  </si>
  <si>
    <t>1404/03/31</t>
  </si>
  <si>
    <t>1404/04/01</t>
  </si>
  <si>
    <t>1404/04/02</t>
  </si>
  <si>
    <t>1404/04/03</t>
  </si>
  <si>
    <t>1404/04/04</t>
  </si>
  <si>
    <t>1404/04/05</t>
  </si>
  <si>
    <t>1404/04/06</t>
  </si>
  <si>
    <t>1404/04/07</t>
  </si>
  <si>
    <t>1404/04/08</t>
  </si>
  <si>
    <t>1404/04/09</t>
  </si>
  <si>
    <t>1404/04/10</t>
  </si>
  <si>
    <t>1404/04/11</t>
  </si>
  <si>
    <t>1404/04/12</t>
  </si>
  <si>
    <t>1404/04/13</t>
  </si>
  <si>
    <t>1404/04/14</t>
  </si>
  <si>
    <t>1404/04/15</t>
  </si>
  <si>
    <t>1404/04/16</t>
  </si>
  <si>
    <t>1404/04/17</t>
  </si>
  <si>
    <t>1404/04/18</t>
  </si>
  <si>
    <t>1404/04/19</t>
  </si>
  <si>
    <t>1404/04/20</t>
  </si>
  <si>
    <t>1404/04/21</t>
  </si>
  <si>
    <t>1404/04/22</t>
  </si>
  <si>
    <t>1404/04/23</t>
  </si>
  <si>
    <t>1404/04/24</t>
  </si>
  <si>
    <t>1404/04/25</t>
  </si>
  <si>
    <t>1404/04/26</t>
  </si>
  <si>
    <t>1404/04/27</t>
  </si>
  <si>
    <t>1404/04/28</t>
  </si>
  <si>
    <t>1404/04/29</t>
  </si>
  <si>
    <t>1404/04/30</t>
  </si>
  <si>
    <t>1404/04/31</t>
  </si>
  <si>
    <t>1404/05/01</t>
  </si>
  <si>
    <t>1404/05/02</t>
  </si>
  <si>
    <t>1404/05/03</t>
  </si>
  <si>
    <t>1404/05/04</t>
  </si>
  <si>
    <t>1404/05/05</t>
  </si>
  <si>
    <t>1404/05/06</t>
  </si>
  <si>
    <t>1404/05/07</t>
  </si>
  <si>
    <t>1404/05/08</t>
  </si>
  <si>
    <t>1404/05/09</t>
  </si>
  <si>
    <t>1404/05/10</t>
  </si>
  <si>
    <t>1404/05/11</t>
  </si>
  <si>
    <t>1404/05/12</t>
  </si>
  <si>
    <t>1404/05/13</t>
  </si>
  <si>
    <t>1404/05/14</t>
  </si>
  <si>
    <t>1404/05/15</t>
  </si>
  <si>
    <t>1404/05/16</t>
  </si>
  <si>
    <t>1404/05/17</t>
  </si>
  <si>
    <t>1404/05/18</t>
  </si>
  <si>
    <t>1404/05/19</t>
  </si>
  <si>
    <t>1404/05/20</t>
  </si>
  <si>
    <t>1404/05/21</t>
  </si>
  <si>
    <t>1404/05/22</t>
  </si>
  <si>
    <t>1404/05/23</t>
  </si>
  <si>
    <t>1404/05/24</t>
  </si>
  <si>
    <t>1404/05/25</t>
  </si>
  <si>
    <t>1404/05/26</t>
  </si>
  <si>
    <t>1404/05/27</t>
  </si>
  <si>
    <t>1404/05/28</t>
  </si>
  <si>
    <t>1404/05/29</t>
  </si>
  <si>
    <t>1404/05/30</t>
  </si>
  <si>
    <t>1404/05/31</t>
  </si>
  <si>
    <t>1404/06/01</t>
  </si>
  <si>
    <t>1404/06/02</t>
  </si>
  <si>
    <t>1404/06/03</t>
  </si>
  <si>
    <t>1404/06/04</t>
  </si>
  <si>
    <t>1404/06/05</t>
  </si>
  <si>
    <t>1404/06/06</t>
  </si>
  <si>
    <t>1404/06/07</t>
  </si>
  <si>
    <t>1404/06/08</t>
  </si>
  <si>
    <t>1404/06/09</t>
  </si>
  <si>
    <t>1404/06/10</t>
  </si>
  <si>
    <t>1404/06/11</t>
  </si>
  <si>
    <t>1404/06/12</t>
  </si>
  <si>
    <t>1404/06/13</t>
  </si>
  <si>
    <t>1404/06/14</t>
  </si>
  <si>
    <t>1404/06/15</t>
  </si>
  <si>
    <t>1404/06/16</t>
  </si>
  <si>
    <t>1404/06/17</t>
  </si>
  <si>
    <t>1404/06/18</t>
  </si>
  <si>
    <t>1404/06/19</t>
  </si>
  <si>
    <t>1404/06/20</t>
  </si>
  <si>
    <t>1404/06/21</t>
  </si>
  <si>
    <t>1404/06/22</t>
  </si>
  <si>
    <t>1404/06/23</t>
  </si>
  <si>
    <t>1404/06/24</t>
  </si>
  <si>
    <t>1404/06/25</t>
  </si>
  <si>
    <t>1404/06/26</t>
  </si>
  <si>
    <t>1404/06/27</t>
  </si>
  <si>
    <t>1404/06/28</t>
  </si>
  <si>
    <t>1404/06/29</t>
  </si>
  <si>
    <t>1404/06/30</t>
  </si>
  <si>
    <t>1404/06/31</t>
  </si>
  <si>
    <t>1404/07/01</t>
  </si>
  <si>
    <t>1404/07/02</t>
  </si>
  <si>
    <t>1404/07/03</t>
  </si>
  <si>
    <t>1404/07/04</t>
  </si>
  <si>
    <t>1404/07/05</t>
  </si>
  <si>
    <t>1404/07/06</t>
  </si>
  <si>
    <t>1404/07/07</t>
  </si>
  <si>
    <t>1404/07/08</t>
  </si>
  <si>
    <t>1404/07/09</t>
  </si>
  <si>
    <t>1404/07/10</t>
  </si>
  <si>
    <t>1404/07/11</t>
  </si>
  <si>
    <t>1404/07/12</t>
  </si>
  <si>
    <t>1404/07/13</t>
  </si>
  <si>
    <t>1404/07/14</t>
  </si>
  <si>
    <t>1404/07/15</t>
  </si>
  <si>
    <t>1404/07/16</t>
  </si>
  <si>
    <t>1404/07/17</t>
  </si>
  <si>
    <t>1404/07/18</t>
  </si>
  <si>
    <t>1404/07/19</t>
  </si>
  <si>
    <t>1404/07/20</t>
  </si>
  <si>
    <t>1404/07/21</t>
  </si>
  <si>
    <t>1404/07/22</t>
  </si>
  <si>
    <t>1404/07/23</t>
  </si>
  <si>
    <t>1404/07/24</t>
  </si>
  <si>
    <t>1404/07/25</t>
  </si>
  <si>
    <t>1404/07/26</t>
  </si>
  <si>
    <t>1404/07/27</t>
  </si>
  <si>
    <t>1404/07/28</t>
  </si>
  <si>
    <t>1404/07/29</t>
  </si>
  <si>
    <t>1404/07/30</t>
  </si>
  <si>
    <t>1404/07/31</t>
  </si>
  <si>
    <t>1404/08/01</t>
  </si>
  <si>
    <t>1404/08/02</t>
  </si>
  <si>
    <t>1404/08/03</t>
  </si>
  <si>
    <t>1404/08/04</t>
  </si>
  <si>
    <t>1404/08/05</t>
  </si>
  <si>
    <t>1404/08/06</t>
  </si>
  <si>
    <t>1404/08/07</t>
  </si>
  <si>
    <t>1404/08/08</t>
  </si>
  <si>
    <t>1404/08/09</t>
  </si>
  <si>
    <t>1404/08/10</t>
  </si>
  <si>
    <t>1404/08/11</t>
  </si>
  <si>
    <t>1404/08/12</t>
  </si>
  <si>
    <t>1404/08/13</t>
  </si>
  <si>
    <t>1404/08/14</t>
  </si>
  <si>
    <t>1404/08/15</t>
  </si>
  <si>
    <t>1404/08/16</t>
  </si>
  <si>
    <t>1404/08/17</t>
  </si>
  <si>
    <t>1404/08/18</t>
  </si>
  <si>
    <t>1404/08/19</t>
  </si>
  <si>
    <t>1404/08/20</t>
  </si>
  <si>
    <t>1404/08/21</t>
  </si>
  <si>
    <t>1404/08/22</t>
  </si>
  <si>
    <t>1404/08/23</t>
  </si>
  <si>
    <t>1404/08/24</t>
  </si>
  <si>
    <t>1404/08/25</t>
  </si>
  <si>
    <t>1404/08/26</t>
  </si>
  <si>
    <t>1404/08/27</t>
  </si>
  <si>
    <t>1404/08/28</t>
  </si>
  <si>
    <t>1404/08/29</t>
  </si>
  <si>
    <t>1404/08/30</t>
  </si>
  <si>
    <t>1404/09/01</t>
  </si>
  <si>
    <t>1404/09/02</t>
  </si>
  <si>
    <t>1404/09/03</t>
  </si>
  <si>
    <t>1404/09/04</t>
  </si>
  <si>
    <t>1404/09/05</t>
  </si>
  <si>
    <t>1404/09/06</t>
  </si>
  <si>
    <t>1404/09/07</t>
  </si>
  <si>
    <t>1404/09/08</t>
  </si>
  <si>
    <t>1404/09/09</t>
  </si>
  <si>
    <t>1404/09/10</t>
  </si>
  <si>
    <t>1404/09/11</t>
  </si>
  <si>
    <t>1404/09/12</t>
  </si>
  <si>
    <t>1404/09/13</t>
  </si>
  <si>
    <t>1404/09/14</t>
  </si>
  <si>
    <t>1404/09/15</t>
  </si>
  <si>
    <t>1404/09/16</t>
  </si>
  <si>
    <t>1404/09/17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</si>
</sst>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#,##0.0"/>
    <numFmt numFmtId="166" formatCode="0.0"/>
    <numFmt numFmtId="167" formatCode="[$-2000401]0"/>
    <numFmt numFmtId="168" formatCode="_-* #,##0_-;_-* #,##0\-;_-* &quot;-&quot;??_-;_-@_-"/>
    <numFmt numFmtId="169" formatCode="#,##0.000"/>
    <numFmt numFmtId="170" formatCode="[$-3000401]0"/>
    <numFmt numFmtId="171" formatCode="0.000"/>
    <numFmt numFmtId="172" formatCode="_-* #,##0.00_-;_-* #,##0.00\-;_-* &quot;-&quot;??_-;_-@_-"/>
    <numFmt numFmtId="173" formatCode="0.0000"/>
  </numFmts>
  <fonts count="26">
    <font>
      <sz val="11"/>
      <color theme="1"/>
      <name val="Arial"/>
      <family val="2"/>
      <charset val="1"/>
    </font>
    <font>
      <sz val="11"/>
      <color theme="1"/>
      <name val="Arial"/>
      <family val="2"/>
      <charset val="178"/>
    </font>
    <font>
      <b/>
      <sz val="11"/>
      <color theme="1"/>
      <name val="B Nazanin"/>
      <charset val="178"/>
    </font>
    <font>
      <sz val="14"/>
      <color theme="1"/>
      <name val="B Nazanin"/>
      <charset val="178"/>
    </font>
    <font>
      <sz val="16"/>
      <color theme="1"/>
      <name val="B Nazanin"/>
      <charset val="178"/>
    </font>
    <font>
      <b/>
      <sz val="14"/>
      <color theme="1"/>
      <name val="B Nazanin"/>
      <charset val="178"/>
    </font>
    <font>
      <b/>
      <sz val="12"/>
      <color rgb="FF1A3A52"/>
      <name val="Calibri"/>
      <family val="2"/>
      <charset val="1"/>
    </font>
    <font>
      <b/>
      <sz val="12"/>
      <color rgb="FF1A3A52"/>
      <name val="Arial"/>
      <family val="2"/>
      <charset val="1"/>
    </font>
    <font>
      <b/>
      <sz val="10"/>
      <color rgb="FF2C3E50"/>
      <name val="Calibri"/>
      <family val="2"/>
      <charset val="1"/>
    </font>
    <font>
      <b/>
      <sz val="10"/>
      <color rgb="FF2C3E50"/>
      <name val="Arial"/>
      <family val="2"/>
      <charset val="1"/>
    </font>
    <font>
      <sz val="10"/>
      <color rgb="FF333333"/>
      <name val="Calibri"/>
      <family val="2"/>
      <charset val="1"/>
    </font>
    <font>
      <sz val="10"/>
      <color rgb="FF333333"/>
      <name val="Arial"/>
      <family val="2"/>
      <charset val="1"/>
    </font>
    <font>
      <sz val="11"/>
      <color theme="1"/>
      <name val="Arial"/>
      <family val="2"/>
      <scheme val="minor"/>
    </font>
    <font>
      <sz val="11"/>
      <color rgb="FF333333"/>
      <name val="Arial"/>
      <family val="2"/>
      <scheme val="minor"/>
    </font>
    <font>
      <sz val="11"/>
      <color theme="1"/>
      <name val="B Nazanin"/>
      <charset val="178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  <font>
      <b/>
      <sz val="12"/>
      <color rgb="FF000000"/>
      <name val="Arial"/>
      <scheme val="minor"/>
    </font>
    <font>
      <sz val="11"/>
      <color rgb="FFC00000"/>
      <name val="B Nazanin"/>
      <charset val="178"/>
    </font>
    <font>
      <b/>
      <sz val="14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scheme val="minor"/>
    </font>
    <font>
      <b/>
      <sz val="12"/>
      <color theme="1"/>
      <name val="Times New Roman"/>
      <family val="1"/>
    </font>
    <font>
      <b/>
      <sz val="14"/>
      <color theme="1"/>
      <name val="B Nazanin"/>
    </font>
    <font>
      <b/>
      <sz val="14"/>
      <color rgb="FF1F4E79"/>
      <name val="B Nazanin"/>
      <charset val="178"/>
    </font>
    <font>
      <sz val="8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theme="4" tint="0.59987182226020086"/>
        <bgColor rgb="FFC5D9E8"/>
      </patternFill>
    </fill>
    <fill>
      <patternFill patternType="solid">
        <fgColor theme="0" tint="-4.9989318521683403E-2"/>
        <bgColor rgb="FFE8EEF4"/>
      </patternFill>
    </fill>
    <fill>
      <patternFill patternType="solid">
        <fgColor theme="0"/>
        <bgColor rgb="FFFAFBFC"/>
      </patternFill>
    </fill>
    <fill>
      <patternFill patternType="solid">
        <fgColor rgb="FFC5D9E8"/>
        <bgColor rgb="FFBDD7EE"/>
      </patternFill>
    </fill>
    <fill>
      <patternFill patternType="solid">
        <fgColor rgb="FFE8EEF4"/>
        <bgColor rgb="FFDEEBF7"/>
      </patternFill>
    </fill>
    <fill>
      <patternFill patternType="solid">
        <fgColor rgb="FFFAFBFC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8DC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rgb="FFFF6464"/>
        <bgColor rgb="FFFF6464"/>
      </patternFill>
    </fill>
    <fill>
      <patternFill patternType="solid">
        <fgColor rgb="FFF4F4F4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8BA4B8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A0B0C0"/>
      </bottom>
      <diagonal/>
    </border>
    <border>
      <left style="medium">
        <color rgb="FF8BA4B8"/>
      </left>
      <right style="thin">
        <color rgb="FFD0D0D0"/>
      </right>
      <top style="thin">
        <color rgb="FFD0D0D0"/>
      </top>
      <bottom style="medium">
        <color rgb="FFA0B0C0"/>
      </bottom>
      <diagonal/>
    </border>
    <border>
      <left style="thin">
        <color rgb="FFD0D0D0"/>
      </left>
      <right style="medium">
        <color rgb="FF8BA4B8"/>
      </right>
      <top style="thin">
        <color rgb="FFD0D0D0"/>
      </top>
      <bottom style="medium">
        <color rgb="FFA0B0C0"/>
      </bottom>
      <diagonal/>
    </border>
    <border>
      <left style="thin">
        <color rgb="FFD0D0D0"/>
      </left>
      <right style="medium">
        <color rgb="FF8BA4B8"/>
      </right>
      <top style="thin">
        <color rgb="FFD0D0D0"/>
      </top>
      <bottom style="thin">
        <color rgb="FFD0D0D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7">
    <xf numFmtId="0" fontId="0" fillId="0" borderId="0"/>
    <xf numFmtId="0" fontId="1" fillId="0" borderId="0"/>
    <xf numFmtId="9" fontId="1" fillId="0" borderId="0"/>
    <xf numFmtId="0" fontId="12" fillId="0" borderId="0"/>
    <xf numFmtId="9" fontId="12" fillId="0" borderId="0"/>
    <xf numFmtId="172" fontId="12" fillId="0" borderId="0"/>
    <xf numFmtId="164" fontId="12" fillId="0" borderId="0"/>
  </cellStyleXfs>
  <cellXfs count="14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top"/>
    </xf>
    <xf numFmtId="9" fontId="3" fillId="0" borderId="0" xfId="0" applyNumberFormat="1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9" fontId="5" fillId="2" borderId="3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4" borderId="0" xfId="0" applyFont="1" applyFill="1"/>
    <xf numFmtId="0" fontId="7" fillId="5" borderId="4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right" vertical="center"/>
    </xf>
    <xf numFmtId="3" fontId="10" fillId="4" borderId="5" xfId="0" applyNumberFormat="1" applyFont="1" applyFill="1" applyBorder="1" applyAlignment="1">
      <alignment horizontal="right" vertical="center"/>
    </xf>
    <xf numFmtId="0" fontId="11" fillId="7" borderId="4" xfId="0" applyFont="1" applyFill="1" applyBorder="1" applyAlignment="1">
      <alignment horizontal="right" vertical="center"/>
    </xf>
    <xf numFmtId="3" fontId="10" fillId="7" borderId="5" xfId="0" applyNumberFormat="1" applyFont="1" applyFill="1" applyBorder="1" applyAlignment="1">
      <alignment horizontal="right" vertical="center"/>
    </xf>
    <xf numFmtId="3" fontId="10" fillId="4" borderId="9" xfId="0" applyNumberFormat="1" applyFont="1" applyFill="1" applyBorder="1" applyAlignment="1">
      <alignment horizontal="right" vertical="center"/>
    </xf>
    <xf numFmtId="3" fontId="10" fillId="7" borderId="9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3" fontId="10" fillId="7" borderId="4" xfId="0" applyNumberFormat="1" applyFont="1" applyFill="1" applyBorder="1" applyAlignment="1">
      <alignment horizontal="right" vertical="center"/>
    </xf>
    <xf numFmtId="0" fontId="12" fillId="0" borderId="0" xfId="3"/>
    <xf numFmtId="3" fontId="12" fillId="0" borderId="0" xfId="3" applyNumberFormat="1"/>
    <xf numFmtId="0" fontId="14" fillId="0" borderId="0" xfId="3" applyFont="1" applyAlignment="1">
      <alignment horizontal="center" vertical="center"/>
    </xf>
    <xf numFmtId="0" fontId="15" fillId="8" borderId="10" xfId="3" applyFont="1" applyFill="1" applyBorder="1" applyAlignment="1">
      <alignment horizontal="center" vertical="center"/>
    </xf>
    <xf numFmtId="0" fontId="16" fillId="9" borderId="11" xfId="3" applyFont="1" applyFill="1" applyBorder="1" applyAlignment="1">
      <alignment horizontal="center" vertical="center" wrapText="1"/>
    </xf>
    <xf numFmtId="0" fontId="14" fillId="0" borderId="0" xfId="3" applyFont="1" applyAlignment="1">
      <alignment horizontal="center" vertical="center" wrapText="1"/>
    </xf>
    <xf numFmtId="9" fontId="14" fillId="0" borderId="0" xfId="4" applyFont="1" applyAlignment="1">
      <alignment horizontal="center" vertical="center"/>
    </xf>
    <xf numFmtId="1" fontId="14" fillId="0" borderId="0" xfId="3" applyNumberFormat="1" applyFont="1" applyAlignment="1">
      <alignment horizontal="center" vertical="center"/>
    </xf>
    <xf numFmtId="1" fontId="14" fillId="0" borderId="0" xfId="5" applyNumberFormat="1" applyFont="1" applyAlignment="1">
      <alignment horizontal="center" vertical="center"/>
    </xf>
    <xf numFmtId="0" fontId="17" fillId="8" borderId="12" xfId="3" applyFont="1" applyFill="1" applyBorder="1" applyAlignment="1">
      <alignment horizontal="center" vertical="center"/>
    </xf>
    <xf numFmtId="0" fontId="16" fillId="9" borderId="13" xfId="3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 wrapText="1"/>
    </xf>
    <xf numFmtId="0" fontId="19" fillId="10" borderId="14" xfId="3" applyFont="1" applyFill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9" fontId="20" fillId="0" borderId="14" xfId="4" applyFont="1" applyBorder="1" applyAlignment="1">
      <alignment horizontal="center" vertical="center" wrapText="1"/>
    </xf>
    <xf numFmtId="1" fontId="20" fillId="0" borderId="14" xfId="3" applyNumberFormat="1" applyFont="1" applyBorder="1" applyAlignment="1">
      <alignment horizontal="center" vertical="center" wrapText="1"/>
    </xf>
    <xf numFmtId="2" fontId="20" fillId="0" borderId="14" xfId="5" applyNumberFormat="1" applyFont="1" applyBorder="1" applyAlignment="1">
      <alignment horizontal="center" vertical="center" wrapText="1"/>
    </xf>
    <xf numFmtId="2" fontId="20" fillId="0" borderId="14" xfId="3" applyNumberFormat="1" applyFont="1" applyBorder="1" applyAlignment="1">
      <alignment horizontal="center" vertical="center" wrapText="1"/>
    </xf>
    <xf numFmtId="4" fontId="20" fillId="0" borderId="14" xfId="3" applyNumberFormat="1" applyFont="1" applyBorder="1" applyAlignment="1">
      <alignment horizontal="center" vertical="center" wrapText="1"/>
    </xf>
    <xf numFmtId="14" fontId="20" fillId="0" borderId="14" xfId="3" applyNumberFormat="1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2" fontId="22" fillId="0" borderId="14" xfId="3" applyNumberFormat="1" applyFont="1" applyBorder="1" applyAlignment="1">
      <alignment horizontal="center" vertical="center" wrapText="1"/>
    </xf>
    <xf numFmtId="9" fontId="14" fillId="0" borderId="0" xfId="4" applyFont="1" applyAlignment="1">
      <alignment horizontal="center" vertical="center" wrapText="1"/>
    </xf>
    <xf numFmtId="1" fontId="14" fillId="0" borderId="0" xfId="3" applyNumberFormat="1" applyFont="1" applyAlignment="1">
      <alignment horizontal="center" vertical="center" wrapText="1"/>
    </xf>
    <xf numFmtId="2" fontId="14" fillId="0" borderId="0" xfId="5" applyNumberFormat="1" applyFont="1" applyAlignment="1">
      <alignment horizontal="center" vertical="center" wrapText="1"/>
    </xf>
    <xf numFmtId="1" fontId="14" fillId="0" borderId="0" xfId="5" applyNumberFormat="1" applyFont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/>
    </xf>
    <xf numFmtId="1" fontId="23" fillId="12" borderId="3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9" fillId="6" borderId="7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10" fillId="4" borderId="9" xfId="0" applyFont="1" applyFill="1" applyBorder="1" applyAlignment="1">
      <alignment horizontal="right" vertical="center"/>
    </xf>
    <xf numFmtId="0" fontId="10" fillId="7" borderId="5" xfId="0" applyFont="1" applyFill="1" applyBorder="1" applyAlignment="1">
      <alignment horizontal="right" vertical="center"/>
    </xf>
    <xf numFmtId="0" fontId="10" fillId="7" borderId="4" xfId="0" applyFont="1" applyFill="1" applyBorder="1" applyAlignment="1">
      <alignment horizontal="right" vertical="center"/>
    </xf>
    <xf numFmtId="0" fontId="10" fillId="7" borderId="9" xfId="0" applyFont="1" applyFill="1" applyBorder="1" applyAlignment="1">
      <alignment horizontal="right" vertical="center"/>
    </xf>
    <xf numFmtId="3" fontId="10" fillId="13" borderId="4" xfId="0" applyNumberFormat="1" applyFont="1" applyFill="1" applyBorder="1" applyAlignment="1">
      <alignment horizontal="right" vertical="center"/>
    </xf>
    <xf numFmtId="0" fontId="11" fillId="13" borderId="4" xfId="0" applyFont="1" applyFill="1" applyBorder="1" applyAlignment="1">
      <alignment horizontal="right" vertical="center"/>
    </xf>
    <xf numFmtId="3" fontId="10" fillId="13" borderId="5" xfId="0" applyNumberFormat="1" applyFont="1" applyFill="1" applyBorder="1" applyAlignment="1">
      <alignment horizontal="right" vertical="center"/>
    </xf>
    <xf numFmtId="3" fontId="10" fillId="13" borderId="9" xfId="0" applyNumberFormat="1" applyFont="1" applyFill="1" applyBorder="1" applyAlignment="1">
      <alignment horizontal="right" vertical="center"/>
    </xf>
    <xf numFmtId="0" fontId="10" fillId="13" borderId="5" xfId="0" applyFont="1" applyFill="1" applyBorder="1" applyAlignment="1">
      <alignment horizontal="right" vertical="center"/>
    </xf>
    <xf numFmtId="0" fontId="10" fillId="13" borderId="4" xfId="0" applyFont="1" applyFill="1" applyBorder="1" applyAlignment="1">
      <alignment horizontal="right" vertical="center"/>
    </xf>
    <xf numFmtId="0" fontId="10" fillId="13" borderId="9" xfId="0" applyFont="1" applyFill="1" applyBorder="1" applyAlignment="1">
      <alignment horizontal="right" vertical="center"/>
    </xf>
    <xf numFmtId="49" fontId="12" fillId="0" borderId="0" xfId="3" applyNumberFormat="1"/>
    <xf numFmtId="49" fontId="13" fillId="0" borderId="0" xfId="3" applyNumberFormat="1" applyFont="1"/>
    <xf numFmtId="0" fontId="5" fillId="2" borderId="3" xfId="0" applyFont="1" applyFill="1" applyBorder="1" applyAlignment="1">
      <alignment horizontal="center" vertical="center" wrapText="1"/>
    </xf>
    <xf numFmtId="9" fontId="5" fillId="2" borderId="3" xfId="0" applyNumberFormat="1" applyFont="1" applyFill="1" applyBorder="1" applyAlignment="1">
      <alignment horizontal="center" vertical="center" wrapText="1"/>
    </xf>
    <xf numFmtId="0" fontId="24" fillId="14" borderId="0" xfId="0" applyFont="1" applyFill="1" applyAlignment="1">
      <alignment horizontal="center" vertical="center"/>
    </xf>
    <xf numFmtId="168" fontId="14" fillId="0" borderId="0" xfId="5" applyNumberFormat="1" applyFont="1" applyAlignment="1">
      <alignment horizontal="center" vertical="center"/>
    </xf>
    <xf numFmtId="169" fontId="14" fillId="0" borderId="0" xfId="5" applyNumberFormat="1" applyFont="1" applyAlignment="1">
      <alignment horizontal="center" vertical="center"/>
    </xf>
    <xf numFmtId="169" fontId="14" fillId="0" borderId="0" xfId="3" applyNumberFormat="1" applyFont="1" applyAlignment="1">
      <alignment horizontal="center" vertical="center"/>
    </xf>
    <xf numFmtId="169" fontId="18" fillId="0" borderId="0" xfId="3" applyNumberFormat="1" applyFont="1" applyAlignment="1">
      <alignment horizontal="center" vertical="center"/>
    </xf>
    <xf numFmtId="168" fontId="19" fillId="10" borderId="14" xfId="5" applyNumberFormat="1" applyFont="1" applyFill="1" applyBorder="1" applyAlignment="1">
      <alignment horizontal="center" vertical="center" wrapText="1"/>
    </xf>
    <xf numFmtId="169" fontId="19" fillId="10" borderId="14" xfId="3" applyNumberFormat="1" applyFont="1" applyFill="1" applyBorder="1" applyAlignment="1">
      <alignment horizontal="center" vertical="center" wrapText="1"/>
    </xf>
    <xf numFmtId="170" fontId="21" fillId="0" borderId="14" xfId="3" applyNumberFormat="1" applyFont="1" applyBorder="1" applyAlignment="1">
      <alignment horizontal="center" vertical="center" wrapText="1"/>
    </xf>
    <xf numFmtId="170" fontId="20" fillId="0" borderId="14" xfId="3" applyNumberFormat="1" applyFont="1" applyBorder="1" applyAlignment="1">
      <alignment horizontal="center" vertical="center" wrapText="1"/>
    </xf>
    <xf numFmtId="168" fontId="20" fillId="0" borderId="14" xfId="5" applyNumberFormat="1" applyFont="1" applyBorder="1" applyAlignment="1">
      <alignment horizontal="center" vertical="center" wrapText="1"/>
    </xf>
    <xf numFmtId="166" fontId="20" fillId="0" borderId="14" xfId="5" applyNumberFormat="1" applyFont="1" applyBorder="1" applyAlignment="1">
      <alignment horizontal="center" vertical="center" wrapText="1"/>
    </xf>
    <xf numFmtId="171" fontId="20" fillId="0" borderId="14" xfId="3" applyNumberFormat="1" applyFont="1" applyBorder="1" applyAlignment="1">
      <alignment horizontal="center" vertical="center" wrapText="1"/>
    </xf>
    <xf numFmtId="168" fontId="20" fillId="0" borderId="14" xfId="5" applyNumberFormat="1" applyFont="1" applyBorder="1" applyAlignment="1">
      <alignment horizontal="center" wrapText="1"/>
    </xf>
    <xf numFmtId="168" fontId="20" fillId="0" borderId="0" xfId="5" applyNumberFormat="1" applyFont="1" applyAlignment="1">
      <alignment horizontal="center" wrapText="1"/>
    </xf>
    <xf numFmtId="169" fontId="20" fillId="0" borderId="14" xfId="3" applyNumberFormat="1" applyFont="1" applyBorder="1" applyAlignment="1">
      <alignment horizontal="center" vertical="center" wrapText="1"/>
    </xf>
    <xf numFmtId="168" fontId="22" fillId="0" borderId="14" xfId="3" applyNumberFormat="1" applyFont="1" applyBorder="1" applyAlignment="1">
      <alignment horizontal="center" vertical="center" wrapText="1"/>
    </xf>
    <xf numFmtId="168" fontId="20" fillId="0" borderId="0" xfId="5" applyNumberFormat="1" applyFont="1" applyAlignment="1">
      <alignment horizontal="center" vertical="center" wrapText="1"/>
    </xf>
    <xf numFmtId="168" fontId="14" fillId="0" borderId="0" xfId="5" applyNumberFormat="1" applyFont="1" applyAlignment="1">
      <alignment horizontal="center" vertical="center" wrapText="1"/>
    </xf>
    <xf numFmtId="169" fontId="14" fillId="0" borderId="0" xfId="3" applyNumberFormat="1" applyFont="1" applyAlignment="1">
      <alignment horizontal="center" vertical="center" wrapText="1"/>
    </xf>
    <xf numFmtId="165" fontId="10" fillId="13" borderId="5" xfId="0" applyNumberFormat="1" applyFont="1" applyFill="1" applyBorder="1" applyAlignment="1">
      <alignment horizontal="right" vertical="center"/>
    </xf>
    <xf numFmtId="165" fontId="10" fillId="13" borderId="9" xfId="0" applyNumberFormat="1" applyFont="1" applyFill="1" applyBorder="1" applyAlignment="1">
      <alignment horizontal="right" vertical="center"/>
    </xf>
    <xf numFmtId="165" fontId="10" fillId="7" borderId="5" xfId="0" applyNumberFormat="1" applyFont="1" applyFill="1" applyBorder="1" applyAlignment="1">
      <alignment horizontal="right" vertical="center"/>
    </xf>
    <xf numFmtId="165" fontId="10" fillId="7" borderId="9" xfId="0" applyNumberFormat="1" applyFont="1" applyFill="1" applyBorder="1" applyAlignment="1">
      <alignment horizontal="right" vertical="center"/>
    </xf>
    <xf numFmtId="165" fontId="10" fillId="4" borderId="9" xfId="0" applyNumberFormat="1" applyFont="1" applyFill="1" applyBorder="1" applyAlignment="1">
      <alignment horizontal="right" vertical="center"/>
    </xf>
    <xf numFmtId="165" fontId="10" fillId="4" borderId="5" xfId="0" applyNumberFormat="1" applyFont="1" applyFill="1" applyBorder="1" applyAlignment="1">
      <alignment horizontal="right" vertical="center"/>
    </xf>
    <xf numFmtId="167" fontId="10" fillId="7" borderId="4" xfId="0" applyNumberFormat="1" applyFont="1" applyFill="1" applyBorder="1" applyAlignment="1">
      <alignment horizontal="right" vertical="center"/>
    </xf>
    <xf numFmtId="165" fontId="10" fillId="13" borderId="4" xfId="0" applyNumberFormat="1" applyFont="1" applyFill="1" applyBorder="1" applyAlignment="1">
      <alignment horizontal="right" vertical="center"/>
    </xf>
    <xf numFmtId="165" fontId="10" fillId="7" borderId="4" xfId="0" applyNumberFormat="1" applyFont="1" applyFill="1" applyBorder="1" applyAlignment="1">
      <alignment horizontal="right" vertical="center"/>
    </xf>
    <xf numFmtId="165" fontId="10" fillId="4" borderId="4" xfId="0" applyNumberFormat="1" applyFont="1" applyFill="1" applyBorder="1" applyAlignment="1">
      <alignment horizontal="right" vertical="center"/>
    </xf>
    <xf numFmtId="166" fontId="10" fillId="7" borderId="5" xfId="0" applyNumberFormat="1" applyFont="1" applyFill="1" applyBorder="1" applyAlignment="1">
      <alignment horizontal="right" vertical="center"/>
    </xf>
    <xf numFmtId="166" fontId="10" fillId="7" borderId="4" xfId="0" applyNumberFormat="1" applyFont="1" applyFill="1" applyBorder="1" applyAlignment="1">
      <alignment horizontal="right" vertical="center"/>
    </xf>
    <xf numFmtId="166" fontId="10" fillId="7" borderId="9" xfId="0" applyNumberFormat="1" applyFont="1" applyFill="1" applyBorder="1" applyAlignment="1">
      <alignment horizontal="right" vertical="center"/>
    </xf>
    <xf numFmtId="3" fontId="5" fillId="2" borderId="3" xfId="0" applyNumberFormat="1" applyFont="1" applyFill="1" applyBorder="1" applyAlignment="1">
      <alignment horizontal="center" vertical="center"/>
    </xf>
    <xf numFmtId="170" fontId="5" fillId="0" borderId="0" xfId="0" applyNumberFormat="1" applyFont="1" applyAlignment="1">
      <alignment horizontal="center" vertical="center"/>
    </xf>
    <xf numFmtId="0" fontId="5" fillId="18" borderId="0" xfId="0" applyFont="1" applyFill="1"/>
    <xf numFmtId="0" fontId="3" fillId="0" borderId="0" xfId="0" applyFont="1" applyAlignment="1">
      <alignment horizontal="right"/>
    </xf>
    <xf numFmtId="0" fontId="5" fillId="18" borderId="0" xfId="0" applyFont="1" applyFill="1" applyAlignment="1">
      <alignment horizontal="right"/>
    </xf>
    <xf numFmtId="0" fontId="3" fillId="16" borderId="1" xfId="0" applyFont="1" applyFill="1" applyBorder="1" applyAlignment="1">
      <alignment horizontal="right" vertical="center"/>
    </xf>
    <xf numFmtId="9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73" fontId="3" fillId="0" borderId="1" xfId="0" applyNumberFormat="1" applyFont="1" applyBorder="1" applyAlignment="1">
      <alignment horizontal="right" vertical="center"/>
    </xf>
    <xf numFmtId="0" fontId="3" fillId="4" borderId="0" xfId="0" applyFont="1" applyFill="1" applyAlignment="1">
      <alignment horizontal="right"/>
    </xf>
    <xf numFmtId="9" fontId="3" fillId="3" borderId="1" xfId="0" applyNumberFormat="1" applyFont="1" applyFill="1" applyBorder="1" applyAlignment="1">
      <alignment horizontal="right" vertical="center"/>
    </xf>
    <xf numFmtId="2" fontId="3" fillId="3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173" fontId="3" fillId="3" borderId="1" xfId="0" applyNumberFormat="1" applyFont="1" applyFill="1" applyBorder="1" applyAlignment="1">
      <alignment horizontal="right" vertical="center"/>
    </xf>
    <xf numFmtId="0" fontId="3" fillId="16" borderId="1" xfId="0" applyFont="1" applyFill="1" applyBorder="1" applyAlignment="1">
      <alignment horizontal="right" vertical="center" wrapText="1"/>
    </xf>
    <xf numFmtId="170" fontId="3" fillId="16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  <xf numFmtId="0" fontId="3" fillId="17" borderId="1" xfId="0" applyFont="1" applyFill="1" applyBorder="1" applyAlignment="1">
      <alignment horizontal="right" vertical="center" wrapText="1"/>
    </xf>
    <xf numFmtId="0" fontId="5" fillId="15" borderId="0" xfId="0" applyFont="1" applyFill="1" applyAlignment="1">
      <alignment horizontal="center" vertical="center" wrapText="1"/>
    </xf>
    <xf numFmtId="0" fontId="23" fillId="11" borderId="3" xfId="0" applyFont="1" applyFill="1" applyBorder="1" applyAlignment="1">
      <alignment horizontal="center" vertical="center"/>
    </xf>
    <xf numFmtId="0" fontId="23" fillId="11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19" fillId="10" borderId="14" xfId="5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5" xfId="0" applyBorder="1"/>
    <xf numFmtId="168" fontId="19" fillId="10" borderId="15" xfId="5" applyNumberFormat="1" applyFont="1" applyFill="1" applyBorder="1" applyAlignment="1">
      <alignment horizontal="center" vertical="center" wrapText="1"/>
    </xf>
    <xf numFmtId="168" fontId="19" fillId="10" borderId="16" xfId="5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6" fillId="5" borderId="5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1" fontId="7" fillId="5" borderId="5" xfId="0" applyNumberFormat="1" applyFont="1" applyFill="1" applyBorder="1" applyAlignment="1">
      <alignment horizontal="center" vertical="center"/>
    </xf>
  </cellXfs>
  <cellStyles count="7">
    <cellStyle name="Comma 2" xfId="5" xr:uid="{00000000-0005-0000-0000-000005000000}"/>
    <cellStyle name="Comma 2 2" xfId="6" xr:uid="{00000000-0005-0000-0000-000006000000}"/>
    <cellStyle name="Normal" xfId="0" builtinId="0"/>
    <cellStyle name="Normal 2" xfId="1" xr:uid="{00000000-0005-0000-0000-000001000000}"/>
    <cellStyle name="Normal 3" xfId="3" xr:uid="{00000000-0005-0000-0000-000003000000}"/>
    <cellStyle name="Percent 2" xfId="2" xr:uid="{00000000-0005-0000-0000-000002000000}"/>
    <cellStyle name="Percent 3" xfId="4" xr:uid="{00000000-0005-0000-0000-000004000000}"/>
  </cellStyles>
  <dxfs count="6">
    <dxf>
      <fill>
        <patternFill patternType="solid">
          <fgColor indexed="64"/>
          <bgColor rgb="FFEBF1FA"/>
        </patternFill>
      </fill>
    </dxf>
    <dxf>
      <font>
        <b/>
        <strike val="0"/>
        <condense val="0"/>
        <extend val="0"/>
        <outline val="0"/>
        <shadow val="0"/>
        <vertAlign val="baseline"/>
        <sz val="14"/>
        <color rgb="FF1F4E79"/>
        <name val="B Nazanin"/>
        <charset val="178"/>
      </font>
      <numFmt numFmtId="0" formatCode="General"/>
      <fill>
        <patternFill patternType="solid">
          <fgColor indexed="64"/>
          <bgColor rgb="FFDCE6F1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B Nazanin"/>
        <charset val="178"/>
      </font>
      <numFmt numFmtId="3" formatCode="#,##0"/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B Nazanin"/>
        <charset val="178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B Nazanin"/>
        <charset val="178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4"/>
        <color theme="1"/>
        <name val="B Nazanin"/>
        <charset val="178"/>
      </font>
      <alignment horizontal="center" vertical="center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A0B0C0"/>
      <rgbColor rgb="FF993366"/>
      <rgbColor rgb="FFFAFBF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4"/>
      <rgbColor rgb="FFF2F2F2"/>
      <rgbColor rgb="FFFFFF99"/>
      <rgbColor rgb="FFC5D9E8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55A11"/>
      <rgbColor rgb="FF666699"/>
      <rgbColor rgb="FF8BA4B8"/>
      <rgbColor rgb="FF1A3A52"/>
      <rgbColor rgb="FF339966"/>
      <rgbColor rgb="FF003300"/>
      <rgbColor rgb="FF333300"/>
      <rgbColor rgb="FF993300"/>
      <rgbColor rgb="FF993366"/>
      <rgbColor rgb="FF2C3E5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'درصد ارزیری'!$Q$8</c:f>
              <c:strCache>
                <c:ptCount val="1"/>
              </c:strCache>
            </c:strRef>
          </c:tx>
          <c:spPr>
            <a:ln w="28575" cap="rnd">
              <a:solidFill>
                <a:srgbClr val="637CEF"/>
              </a:solidFill>
              <a:prstDash val="solid"/>
              <a:round/>
            </a:ln>
          </c:spPr>
          <c:marker>
            <c:symbol val="none"/>
          </c:marker>
          <c:cat>
            <c:numRef>
              <c:f>'درصد ارزیری'!$P$9:$P$33</c:f>
              <c:numCache>
                <c:formatCode>General</c:formatCode>
                <c:ptCount val="25"/>
              </c:numCache>
            </c:numRef>
          </c:cat>
          <c:val>
            <c:numRef>
              <c:f>'درصد ارزیری'!$Q$9:$Q$33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F-4044-BD17-15FA885A6D31}"/>
            </c:ext>
          </c:extLst>
        </c:ser>
        <c:ser>
          <c:idx val="1"/>
          <c:order val="1"/>
          <c:tx>
            <c:strRef>
              <c:f>'درصد ارزیری'!$R$8</c:f>
              <c:strCache>
                <c:ptCount val="1"/>
              </c:strCache>
            </c:strRef>
          </c:tx>
          <c:spPr>
            <a:ln w="28575" cap="rnd">
              <a:solidFill>
                <a:srgbClr val="E3008C"/>
              </a:solidFill>
              <a:prstDash val="solid"/>
              <a:round/>
            </a:ln>
          </c:spPr>
          <c:marker>
            <c:symbol val="none"/>
          </c:marker>
          <c:cat>
            <c:numRef>
              <c:f>'درصد ارزیری'!$P$9:$P$33</c:f>
              <c:numCache>
                <c:formatCode>General</c:formatCode>
                <c:ptCount val="25"/>
              </c:numCache>
            </c:numRef>
          </c:cat>
          <c:val>
            <c:numRef>
              <c:f>'درصد ارزیری'!$R$9:$R$33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4F-4044-BD17-15FA885A6D31}"/>
            </c:ext>
          </c:extLst>
        </c:ser>
        <c:ser>
          <c:idx val="2"/>
          <c:order val="2"/>
          <c:tx>
            <c:strRef>
              <c:f>'درصد ارزیری'!$S$8</c:f>
              <c:strCache>
                <c:ptCount val="1"/>
              </c:strCache>
            </c:strRef>
          </c:tx>
          <c:spPr>
            <a:ln w="28575" cap="rnd">
              <a:solidFill>
                <a:srgbClr val="2AA0A4"/>
              </a:solidFill>
              <a:prstDash val="solid"/>
              <a:round/>
            </a:ln>
          </c:spPr>
          <c:marker>
            <c:symbol val="none"/>
          </c:marker>
          <c:cat>
            <c:numRef>
              <c:f>'درصد ارزیری'!$P$9:$P$33</c:f>
              <c:numCache>
                <c:formatCode>General</c:formatCode>
                <c:ptCount val="25"/>
              </c:numCache>
            </c:numRef>
          </c:cat>
          <c:val>
            <c:numRef>
              <c:f>'درصد ارزیری'!$S$9:$S$33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4F-4044-BD17-15FA885A6D31}"/>
            </c:ext>
          </c:extLst>
        </c:ser>
        <c:ser>
          <c:idx val="3"/>
          <c:order val="3"/>
          <c:tx>
            <c:strRef>
              <c:f>'درصد ارزیری'!$T$8</c:f>
              <c:strCache>
                <c:ptCount val="1"/>
              </c:strCache>
            </c:strRef>
          </c:tx>
          <c:spPr>
            <a:ln w="28575" cap="rnd">
              <a:solidFill>
                <a:srgbClr val="9373C0"/>
              </a:solidFill>
              <a:prstDash val="solid"/>
              <a:round/>
            </a:ln>
          </c:spPr>
          <c:marker>
            <c:symbol val="none"/>
          </c:marker>
          <c:cat>
            <c:numRef>
              <c:f>'درصد ارزیری'!$P$9:$P$33</c:f>
              <c:numCache>
                <c:formatCode>General</c:formatCode>
                <c:ptCount val="25"/>
              </c:numCache>
            </c:numRef>
          </c:cat>
          <c:val>
            <c:numRef>
              <c:f>'درصد ارزیری'!$T$9:$T$33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4F-4044-BD17-15FA885A6D31}"/>
            </c:ext>
          </c:extLst>
        </c:ser>
        <c:ser>
          <c:idx val="4"/>
          <c:order val="4"/>
          <c:tx>
            <c:strRef>
              <c:f>'درصد ارزیری'!$U$8</c:f>
              <c:strCache>
                <c:ptCount val="1"/>
              </c:strCache>
            </c:strRef>
          </c:tx>
          <c:spPr>
            <a:ln w="28575" cap="rnd">
              <a:solidFill>
                <a:srgbClr val="13A10E"/>
              </a:solidFill>
              <a:prstDash val="solid"/>
              <a:round/>
            </a:ln>
          </c:spPr>
          <c:marker>
            <c:symbol val="none"/>
          </c:marker>
          <c:cat>
            <c:numRef>
              <c:f>'درصد ارزیری'!$P$9:$P$33</c:f>
              <c:numCache>
                <c:formatCode>General</c:formatCode>
                <c:ptCount val="25"/>
              </c:numCache>
            </c:numRef>
          </c:cat>
          <c:val>
            <c:numRef>
              <c:f>'درصد ارزیری'!$U$9:$U$33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4F-4044-BD17-15FA885A6D31}"/>
            </c:ext>
          </c:extLst>
        </c:ser>
        <c:ser>
          <c:idx val="5"/>
          <c:order val="5"/>
          <c:tx>
            <c:strRef>
              <c:f>'درصد ارزیری'!$V$8</c:f>
              <c:strCache>
                <c:ptCount val="1"/>
              </c:strCache>
            </c:strRef>
          </c:tx>
          <c:spPr>
            <a:ln w="28575" cap="rnd">
              <a:solidFill>
                <a:srgbClr val="3A96DD"/>
              </a:solidFill>
              <a:prstDash val="solid"/>
              <a:round/>
            </a:ln>
          </c:spPr>
          <c:marker>
            <c:symbol val="none"/>
          </c:marker>
          <c:cat>
            <c:numRef>
              <c:f>'درصد ارزیری'!$P$9:$P$33</c:f>
              <c:numCache>
                <c:formatCode>General</c:formatCode>
                <c:ptCount val="25"/>
              </c:numCache>
            </c:numRef>
          </c:cat>
          <c:val>
            <c:numRef>
              <c:f>'درصد ارزیری'!$V$9:$V$33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F4F-4044-BD17-15FA885A6D31}"/>
            </c:ext>
          </c:extLst>
        </c:ser>
        <c:ser>
          <c:idx val="6"/>
          <c:order val="6"/>
          <c:tx>
            <c:strRef>
              <c:f>'درصد ارزیری'!$W$8</c:f>
              <c:strCache>
                <c:ptCount val="1"/>
              </c:strCache>
            </c:strRef>
          </c:tx>
          <c:spPr>
            <a:ln w="28575" cap="rnd">
              <a:solidFill>
                <a:srgbClr val="CA5010"/>
              </a:solidFill>
              <a:prstDash val="solid"/>
              <a:round/>
            </a:ln>
          </c:spPr>
          <c:marker>
            <c:symbol val="none"/>
          </c:marker>
          <c:cat>
            <c:numRef>
              <c:f>'درصد ارزیری'!$P$9:$P$33</c:f>
              <c:numCache>
                <c:formatCode>General</c:formatCode>
                <c:ptCount val="25"/>
              </c:numCache>
            </c:numRef>
          </c:cat>
          <c:val>
            <c:numRef>
              <c:f>'درصد ارزیری'!$W$9:$W$33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F4F-4044-BD17-15FA885A6D31}"/>
            </c:ext>
          </c:extLst>
        </c:ser>
        <c:ser>
          <c:idx val="7"/>
          <c:order val="7"/>
          <c:tx>
            <c:strRef>
              <c:f>'درصد ارزیری'!$X$8</c:f>
              <c:strCache>
                <c:ptCount val="1"/>
              </c:strCache>
            </c:strRef>
          </c:tx>
          <c:spPr>
            <a:ln w="28575" cap="rnd">
              <a:solidFill>
                <a:srgbClr val="57811B"/>
              </a:solidFill>
              <a:prstDash val="solid"/>
              <a:round/>
            </a:ln>
          </c:spPr>
          <c:marker>
            <c:symbol val="none"/>
          </c:marker>
          <c:cat>
            <c:numRef>
              <c:f>'درصد ارزیری'!$P$9:$P$33</c:f>
              <c:numCache>
                <c:formatCode>General</c:formatCode>
                <c:ptCount val="25"/>
              </c:numCache>
            </c:numRef>
          </c:cat>
          <c:val>
            <c:numRef>
              <c:f>'درصد ارزیری'!$X$9:$X$33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F4F-4044-BD17-15FA885A6D31}"/>
            </c:ext>
          </c:extLst>
        </c:ser>
        <c:ser>
          <c:idx val="8"/>
          <c:order val="8"/>
          <c:tx>
            <c:strRef>
              <c:f>'درصد ارزیری'!$Y$8</c:f>
              <c:strCache>
                <c:ptCount val="1"/>
              </c:strCache>
            </c:strRef>
          </c:tx>
          <c:spPr>
            <a:ln w="28575" cap="rnd">
              <a:solidFill>
                <a:srgbClr val="B146C2"/>
              </a:solidFill>
              <a:prstDash val="solid"/>
              <a:round/>
            </a:ln>
          </c:spPr>
          <c:marker>
            <c:symbol val="none"/>
          </c:marker>
          <c:cat>
            <c:numRef>
              <c:f>'درصد ارزیری'!$P$9:$P$33</c:f>
              <c:numCache>
                <c:formatCode>General</c:formatCode>
                <c:ptCount val="25"/>
              </c:numCache>
            </c:numRef>
          </c:cat>
          <c:val>
            <c:numRef>
              <c:f>'درصد ارزیری'!$Y$9:$Y$33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F4F-4044-BD17-15FA885A6D31}"/>
            </c:ext>
          </c:extLst>
        </c:ser>
        <c:ser>
          <c:idx val="9"/>
          <c:order val="9"/>
          <c:tx>
            <c:strRef>
              <c:f>'درصد ارزیری'!$Z$8</c:f>
              <c:strCache>
                <c:ptCount val="1"/>
              </c:strCache>
            </c:strRef>
          </c:tx>
          <c:spPr>
            <a:ln w="28575" cap="rnd">
              <a:solidFill>
                <a:srgbClr val="AE8C00"/>
              </a:solidFill>
              <a:prstDash val="solid"/>
              <a:round/>
            </a:ln>
          </c:spPr>
          <c:marker>
            <c:symbol val="none"/>
          </c:marker>
          <c:cat>
            <c:numRef>
              <c:f>'درصد ارزیری'!$P$9:$P$33</c:f>
              <c:numCache>
                <c:formatCode>General</c:formatCode>
                <c:ptCount val="25"/>
              </c:numCache>
            </c:numRef>
          </c:cat>
          <c:val>
            <c:numRef>
              <c:f>'درصد ارزیری'!$Z$9:$Z$33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F4F-4044-BD17-15FA885A6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0397063"/>
        <c:axId val="1167040007"/>
      </c:lineChart>
      <c:catAx>
        <c:axId val="106039706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40007"/>
        <c:crosses val="autoZero"/>
        <c:auto val="1"/>
        <c:lblAlgn val="ctr"/>
        <c:lblOffset val="100"/>
        <c:noMultiLvlLbl val="0"/>
      </c:catAx>
      <c:valAx>
        <c:axId val="116704000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39706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1438275</xdr:colOff>
      <xdr:row>13</xdr:row>
      <xdr:rowOff>190500</xdr:rowOff>
    </xdr:from>
    <xdr:to>
      <xdr:col>21</xdr:col>
      <xdr:colOff>76200</xdr:colOff>
      <xdr:row>25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85;&#1575;&#1607;,%20&#1585;&#1575;&#1607;%20&#1570;&#1607;&#1606;%20&#1608;%20&#1576;&#1575;&#1606;&#1583;%20&#1601;&#1585;&#1608;&#1583;&#1711;&#1575;&#1607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راه, راه آهن و باند فرودگاه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P1:R2" totalsRowShown="0" headerRowDxfId="5" dataDxfId="4">
  <autoFilter ref="P1:R2" xr:uid="{00000000-0009-0000-0100-000001000000}"/>
  <tableColumns count="3">
    <tableColumn id="1" xr3:uid="{00000000-0010-0000-0000-000001000000}" name="آخرین مهلت پیشنهاد قیمت " dataDxfId="3"/>
    <tableColumn id="3" xr3:uid="{00000000-0010-0000-0000-000003000000}" name="نرخ تسعیر ارز" dataDxfId="2">
      <calculatedColumnFormula array="1">_xlfn.LET(_xlpm.d,SUBSTITUTE(SUBSTITUTE(SUBSTITUTE(SUBSTITUTE(SUBSTITUTE(SUBSTITUTE(SUBSTITUTE(SUBSTITUTE(SUBSTITUTE(SUBSTITUTE(P2,"۰","0"),"۱","1"),"۲","2"),"۳","3"),"۴","4"),"۵","5"),"۶","6"),"۷","7"),"۸","8"),"۹","9"),_xlpm.rowNum,MATCH(_xlpm.d,'Arz '!A:A,0),_xlpm.validRates,_xlfn._xlws.FILTER(INDEX('Arz '!B:B,_xlfn.SEQUENCE(14,1,_xlpm.rowNum-13)),ISNUMBER(INDEX('Arz '!B:B,_xlfn.SEQUENCE(14,1,_xlpm.rowNum-13)))),_xlpm.last7,IF(ROWS(_xlpm.validRates)&gt;=7,INDEX(_xlpm.validRates,_xlfn.SEQUENCE(7,1,ROWS(_xlpm.validRates)-6)),_xlpm.validRates),IFERROR(AVERAGE(_xlpm.last7),"یافت نشد"))</calculatedColumnFormula>
    </tableColumn>
    <tableColumn id="4" xr3:uid="{00000000-0010-0000-0000-000004000000}" name="مبنای شاخص (یک فصل قبل)" dataDxfId="1">
      <calculatedColumnFormula array="1">_xlfn.LET(_xlpm.dateTxt,SUBSTITUTE(SUBSTITUTE(SUBSTITUTE(SUBSTITUTE(SUBSTITUTE(SUBSTITUTE(SUBSTITUTE(SUBSTITUTE(SUBSTITUTE(SUBSTITUTE(P2,"۰","0"),"۱","1"),"۲","2"),"۳","3"),"۴","4"),"۵","5"),"۶","6"),"۷","7"),"۸","8"),"۹","9"),_xlpm.yr,LEFT(_xlpm.dateTxt,4),_xlpm.mo,MID(_xlpm.dateTxt,6,2),_xlpm.prevQ,IF(_xlpm.mo&lt;="03",4,IF(_xlpm.mo&lt;="06",1,IF(_xlpm.mo&lt;="09",2,3))),_xlpm.prevYr,IF(_xlpm.mo&lt;="03",_xlpm.yr-1,_xlpm.yr),"سه ماهه "&amp;IF(_xlpm.prevQ=1,"اول",IF(_xlpm.prevQ=2,"دوم",IF(_xlpm.prevQ=3,"سوم","چهارم")))&amp;" "&amp;_xlpm.prevYr)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6E5745-14E0-4BB9-B3A5-7D8B682C6AFD}">
  <we:reference id="WA200009404" version="1.0.0.4" store="en-US" storeType="omex"/>
  <we:alternateReferences>
    <we:reference id="WA200009404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</sheetPr>
  <dimension ref="B1:Z23"/>
  <sheetViews>
    <sheetView rightToLeft="1" topLeftCell="J1" zoomScale="70" zoomScaleNormal="70" zoomScaleSheetLayoutView="70" workbookViewId="0">
      <selection activeCell="K16" sqref="K16"/>
    </sheetView>
  </sheetViews>
  <sheetFormatPr defaultColWidth="9.125" defaultRowHeight="16.899999999999999"/>
  <cols>
    <col min="1" max="1" width="1.625" style="22" customWidth="1"/>
    <col min="2" max="2" width="5.5" style="22" customWidth="1"/>
    <col min="3" max="5" width="3.5" style="22" hidden="1" customWidth="1"/>
    <col min="6" max="6" width="5" style="22" hidden="1" customWidth="1"/>
    <col min="7" max="7" width="58" style="22" customWidth="1"/>
    <col min="8" max="8" width="18" style="25" customWidth="1"/>
    <col min="9" max="9" width="23.875" style="25" customWidth="1"/>
    <col min="10" max="10" width="29.5" style="25" bestFit="1" customWidth="1"/>
    <col min="11" max="11" width="14.375" style="22" bestFit="1" customWidth="1"/>
    <col min="12" max="12" width="8.5" style="26" hidden="1" customWidth="1"/>
    <col min="13" max="13" width="46.625" style="26" bestFit="1" customWidth="1"/>
    <col min="14" max="14" width="9.125" style="22" customWidth="1"/>
    <col min="15" max="15" width="23.875" style="75" bestFit="1" customWidth="1"/>
    <col min="16" max="16" width="26.75" style="75" bestFit="1" customWidth="1"/>
    <col min="17" max="17" width="12.5" style="27" customWidth="1"/>
    <col min="18" max="18" width="12.125" style="76" bestFit="1" customWidth="1"/>
    <col min="19" max="19" width="37.5" style="28" bestFit="1" customWidth="1"/>
    <col min="20" max="20" width="10.125" style="27" customWidth="1"/>
    <col min="21" max="21" width="12.5" style="77" bestFit="1" customWidth="1"/>
    <col min="22" max="22" width="31.5" style="77" customWidth="1"/>
    <col min="23" max="23" width="26.875" style="75" customWidth="1"/>
    <col min="24" max="24" width="43.875" style="75" bestFit="1" customWidth="1"/>
    <col min="25" max="25" width="24.75" style="22" customWidth="1"/>
    <col min="26" max="26" width="9.125" style="22" customWidth="1"/>
    <col min="27" max="27" width="5.5" style="22" bestFit="1" customWidth="1"/>
    <col min="28" max="28" width="6.5" style="22" bestFit="1" customWidth="1"/>
    <col min="29" max="29" width="9.125" style="22" customWidth="1"/>
    <col min="30" max="16384" width="9.125" style="22"/>
  </cols>
  <sheetData>
    <row r="1" spans="2:26">
      <c r="G1" s="23" t="s">
        <v>0</v>
      </c>
      <c r="H1" s="24">
        <v>4</v>
      </c>
    </row>
    <row r="2" spans="2:26" ht="20.25" customHeight="1" thickBot="1">
      <c r="G2" s="29" t="s">
        <v>1</v>
      </c>
      <c r="H2" s="30" t="str">
        <f t="array" ref="H2">_xlfn.LET(_xlpm.x,VALUE(H1),IF(_xlpm.x=3,"اسفند ۱۳۹۸",IF(_xlpm.x=4,"1403/07/01","")))</f>
        <v>1403/07/01</v>
      </c>
      <c r="Q2" s="31"/>
      <c r="T2" s="31"/>
      <c r="U2" s="78"/>
      <c r="V2" s="78"/>
    </row>
    <row r="3" spans="2:26" s="32" customFormat="1" ht="18" customHeight="1" thickTop="1" thickBot="1">
      <c r="B3" s="132" t="s">
        <v>2</v>
      </c>
      <c r="C3" s="132" t="s">
        <v>3</v>
      </c>
      <c r="D3" s="132"/>
      <c r="E3" s="132"/>
      <c r="F3" s="132"/>
      <c r="G3" s="135" t="s">
        <v>4</v>
      </c>
      <c r="H3" s="135" t="s">
        <v>5</v>
      </c>
      <c r="I3" s="132" t="s">
        <v>6</v>
      </c>
      <c r="J3" s="132" t="s">
        <v>7</v>
      </c>
      <c r="K3" s="132" t="s">
        <v>8</v>
      </c>
      <c r="L3" s="132" t="s">
        <v>9</v>
      </c>
      <c r="M3" s="132" t="s">
        <v>10</v>
      </c>
      <c r="N3" s="132" t="s">
        <v>11</v>
      </c>
      <c r="O3" s="132" t="s">
        <v>12</v>
      </c>
      <c r="P3" s="132" t="s">
        <v>13</v>
      </c>
      <c r="Q3" s="132" t="s">
        <v>14</v>
      </c>
      <c r="R3" s="132" t="s">
        <v>15</v>
      </c>
      <c r="S3" s="132" t="s">
        <v>16</v>
      </c>
      <c r="T3" s="132" t="s">
        <v>17</v>
      </c>
      <c r="U3" s="132" t="s">
        <v>18</v>
      </c>
      <c r="V3" s="132" t="s">
        <v>18</v>
      </c>
      <c r="W3" s="132" t="s">
        <v>19</v>
      </c>
      <c r="X3" s="132" t="s">
        <v>20</v>
      </c>
      <c r="Y3" s="136" t="s">
        <v>21</v>
      </c>
    </row>
    <row r="4" spans="2:26" s="32" customFormat="1" ht="18" customHeight="1" thickTop="1" thickBot="1"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7"/>
      <c r="Z4" s="20"/>
    </row>
    <row r="5" spans="2:26" s="32" customFormat="1" ht="18.75" customHeight="1" thickTop="1" thickBot="1">
      <c r="B5" s="133"/>
      <c r="C5" s="134"/>
      <c r="D5" s="134"/>
      <c r="E5" s="134"/>
      <c r="F5" s="134"/>
      <c r="G5" s="133"/>
      <c r="H5" s="133"/>
      <c r="I5" s="133"/>
      <c r="J5" s="133"/>
      <c r="K5" s="133"/>
      <c r="L5" s="133"/>
      <c r="M5" s="133"/>
      <c r="N5" s="134"/>
      <c r="O5" s="133"/>
      <c r="P5" s="133"/>
      <c r="Q5" s="133"/>
      <c r="R5" s="133"/>
      <c r="S5" s="133"/>
      <c r="T5" s="133"/>
      <c r="U5" s="134"/>
      <c r="V5" s="134"/>
      <c r="W5" s="133"/>
      <c r="X5" s="133"/>
      <c r="Y5" s="137"/>
      <c r="Z5" s="20"/>
    </row>
    <row r="6" spans="2:26" s="32" customFormat="1" ht="30" customHeight="1" thickTop="1" thickBot="1">
      <c r="B6" s="134"/>
      <c r="C6" s="33"/>
      <c r="D6" s="33"/>
      <c r="E6" s="33"/>
      <c r="F6" s="33"/>
      <c r="G6" s="134"/>
      <c r="H6" s="134"/>
      <c r="I6" s="134"/>
      <c r="J6" s="134"/>
      <c r="K6" s="134"/>
      <c r="L6" s="134"/>
      <c r="M6" s="134"/>
      <c r="N6" s="79" t="s">
        <v>22</v>
      </c>
      <c r="O6" s="134"/>
      <c r="P6" s="134"/>
      <c r="Q6" s="134"/>
      <c r="R6" s="134"/>
      <c r="S6" s="134"/>
      <c r="T6" s="134"/>
      <c r="U6" s="80" t="s">
        <v>23</v>
      </c>
      <c r="V6" s="80" t="s">
        <v>24</v>
      </c>
      <c r="W6" s="134"/>
      <c r="X6" s="134"/>
      <c r="Y6" s="137"/>
      <c r="Z6" s="20"/>
    </row>
    <row r="7" spans="2:26" ht="15.75" customHeight="1">
      <c r="B7" s="34">
        <v>1</v>
      </c>
      <c r="C7" s="34">
        <v>1</v>
      </c>
      <c r="D7" s="34">
        <v>1</v>
      </c>
      <c r="E7" s="34">
        <v>2</v>
      </c>
      <c r="F7" s="34">
        <v>1</v>
      </c>
      <c r="G7" s="34" t="s">
        <v>25</v>
      </c>
      <c r="H7" s="34" t="s">
        <v>25</v>
      </c>
      <c r="I7" s="34" t="s">
        <v>26</v>
      </c>
      <c r="J7" s="81" t="str">
        <f t="array" ref="J7">_xlfn.LET(_xlpm.x, VALUE($H$1), IF(_xlpm.x=3, "اسفند ۱۳۹۸", IF(_xlpm.x=4, "1403/07/01", "")))</f>
        <v>1403/07/01</v>
      </c>
      <c r="K7" s="82" t="s">
        <v>27</v>
      </c>
      <c r="L7" s="35">
        <v>0.8</v>
      </c>
      <c r="M7" s="35">
        <v>1</v>
      </c>
      <c r="N7" s="34">
        <v>1.2</v>
      </c>
      <c r="O7" s="83">
        <v>401204</v>
      </c>
      <c r="P7" s="83">
        <f t="array" ref="P7">_xlfn.LET(_xlpm.x, VALUE($H$1), IF(_xlpm.x=3, 405150, IF(_xlpm.x=4, 506978, "")))</f>
        <v>506978</v>
      </c>
      <c r="Q7" s="36">
        <v>1402</v>
      </c>
      <c r="R7" s="37">
        <f>IFERROR(
    IF(
        OR(
            VALUE(LEFT(J7, 4)) = 1402,
            VALUE(LEFT(J7, 4)) = 1403
        ),
        0.05,
        IFERROR(R2, "")
    ),
    ""
)</f>
        <v>0.05</v>
      </c>
      <c r="S7" s="84">
        <v>1.5</v>
      </c>
      <c r="T7" s="38" t="s">
        <v>22</v>
      </c>
      <c r="U7" s="85" t="str">
        <f t="shared" ref="U7:U19" si="0">IF(AND(OR(Y7="Yes",Y7="بله"),ISNUMBER(T7)),0,IF(ISNUMBER(T7),R7*T7/S7,""))</f>
        <v/>
      </c>
      <c r="V7" s="39" t="e">
        <f t="shared" ref="V7:V19" si="1">1+U7</f>
        <v>#VALUE!</v>
      </c>
      <c r="W7" s="86">
        <v>1294891401579</v>
      </c>
      <c r="X7" s="86" t="e">
        <f t="shared" ref="X7:X19" si="2">N7*((O7/P7)-(V7))*(W7/1.06*M7)</f>
        <v>#VALUE!</v>
      </c>
      <c r="Y7" s="87" t="s">
        <v>28</v>
      </c>
      <c r="Z7" s="20"/>
    </row>
    <row r="8" spans="2:26" ht="15.75" customHeight="1">
      <c r="B8" s="34">
        <v>2</v>
      </c>
      <c r="C8" s="34">
        <v>1</v>
      </c>
      <c r="D8" s="34">
        <v>2</v>
      </c>
      <c r="E8" s="34">
        <v>3</v>
      </c>
      <c r="F8" s="34" t="s">
        <v>22</v>
      </c>
      <c r="G8" s="34" t="s">
        <v>29</v>
      </c>
      <c r="H8" s="34" t="s">
        <v>30</v>
      </c>
      <c r="I8" s="34" t="str">
        <f t="shared" ref="I8:I17" si="3">$I$7</f>
        <v>۱۴۰۲/۰۶/۲۹</v>
      </c>
      <c r="J8" s="81" t="str">
        <f t="array" ref="J8">_xlfn.LET(_xlpm.x, VALUE($H$1), IF(_xlpm.x=3, "اسفند ۱۳۹۸", IF(_xlpm.x=4, "1403/07/01", "")))</f>
        <v>1403/07/01</v>
      </c>
      <c r="K8" s="34" t="s">
        <v>31</v>
      </c>
      <c r="L8" s="35">
        <v>0.70666666666666667</v>
      </c>
      <c r="M8" s="35">
        <v>1</v>
      </c>
      <c r="N8" s="34">
        <v>1.2</v>
      </c>
      <c r="O8" s="83">
        <v>401459</v>
      </c>
      <c r="P8" s="83">
        <f t="array" ref="P8">_xlfn.LET(_xlpm.x, VALUE($H$1), IF(_xlpm.x=3, 405150, IF(_xlpm.x=4, 506978, "")))</f>
        <v>506978</v>
      </c>
      <c r="Q8" s="36">
        <v>1402</v>
      </c>
      <c r="R8" s="37">
        <f>IFERROR(
    IF(
        OR(
            VALUE(LEFT(J8, 4)) = 1402,
            VALUE(LEFT(J8, 4)) = 1403
        ),
        0.05,
        IFERROR(R3, "")
    ),
    ""
)</f>
        <v>0.05</v>
      </c>
      <c r="S8" s="84">
        <v>1.5</v>
      </c>
      <c r="T8" s="38" t="s">
        <v>22</v>
      </c>
      <c r="U8" s="85" t="str">
        <f t="shared" si="0"/>
        <v/>
      </c>
      <c r="V8" s="88" t="e">
        <f t="shared" si="1"/>
        <v>#VALUE!</v>
      </c>
      <c r="W8" s="86">
        <v>134592000000</v>
      </c>
      <c r="X8" s="86" t="e">
        <f t="shared" si="2"/>
        <v>#VALUE!</v>
      </c>
      <c r="Y8" s="87"/>
      <c r="Z8" s="20"/>
    </row>
    <row r="9" spans="2:26" ht="15.75" customHeight="1">
      <c r="B9" s="34">
        <v>3</v>
      </c>
      <c r="C9" s="34">
        <v>1</v>
      </c>
      <c r="D9" s="34">
        <v>3</v>
      </c>
      <c r="E9" s="34">
        <v>2</v>
      </c>
      <c r="F9" s="34">
        <v>11</v>
      </c>
      <c r="G9" s="34" t="s">
        <v>32</v>
      </c>
      <c r="H9" s="34" t="s">
        <v>33</v>
      </c>
      <c r="I9" s="34" t="str">
        <f t="shared" si="3"/>
        <v>۱۴۰۲/۰۶/۲۹</v>
      </c>
      <c r="J9" s="81" t="str">
        <f t="array" ref="J9">_xlfn.LET(_xlpm.x, VALUE($H$1), IF(_xlpm.x=3, "اسفند ۱۳۹۸", IF(_xlpm.x=4, "1403/07/01", "")))</f>
        <v>1403/07/01</v>
      </c>
      <c r="K9" s="34" t="s">
        <v>34</v>
      </c>
      <c r="L9" s="35" t="e">
        <v>#N/A</v>
      </c>
      <c r="M9" s="35">
        <v>1</v>
      </c>
      <c r="N9" s="34">
        <v>1.2</v>
      </c>
      <c r="O9" s="83">
        <v>430169</v>
      </c>
      <c r="P9" s="83">
        <f t="array" ref="P9">_xlfn.LET(_xlpm.x, VALUE($H$1), IF(_xlpm.x=3, 405150, IF(_xlpm.x=4, 506978, "")))</f>
        <v>506978</v>
      </c>
      <c r="Q9" s="36">
        <v>1402</v>
      </c>
      <c r="R9" s="37">
        <f t="shared" ref="R9:R18" si="4">IFERROR(
IF(
OR(
VALUE(LEFT(J9, 4)) = 1402,
VALUE(LEFT(J9, 4)) =
1403),
0.05,
IFERROR(R4, "")
),
""
)</f>
        <v>0.05</v>
      </c>
      <c r="S9" s="84">
        <v>1.5</v>
      </c>
      <c r="T9" s="38" t="s">
        <v>22</v>
      </c>
      <c r="U9" s="85" t="str">
        <f t="shared" si="0"/>
        <v/>
      </c>
      <c r="V9" s="88" t="e">
        <f t="shared" si="1"/>
        <v>#VALUE!</v>
      </c>
      <c r="W9" s="86">
        <v>158145600000</v>
      </c>
      <c r="X9" s="86" t="e">
        <f t="shared" si="2"/>
        <v>#VALUE!</v>
      </c>
      <c r="Y9" s="87"/>
      <c r="Z9" s="20"/>
    </row>
    <row r="10" spans="2:26" ht="15.75" customHeight="1">
      <c r="B10" s="34">
        <v>4</v>
      </c>
      <c r="C10" s="34">
        <v>1</v>
      </c>
      <c r="D10" s="34">
        <v>3</v>
      </c>
      <c r="E10" s="34">
        <v>2</v>
      </c>
      <c r="F10" s="34">
        <v>12</v>
      </c>
      <c r="G10" s="34" t="s">
        <v>35</v>
      </c>
      <c r="H10" s="34" t="s">
        <v>36</v>
      </c>
      <c r="I10" s="34" t="str">
        <f t="shared" si="3"/>
        <v>۱۴۰۲/۰۶/۲۹</v>
      </c>
      <c r="J10" s="81" t="str">
        <f t="array" ref="J10">_xlfn.LET(_xlpm.x, VALUE($H$1), IF(_xlpm.x=3, "اسفند ۱۳۹۸", IF(_xlpm.x=4, "1403/07/01", "")))</f>
        <v>1403/07/01</v>
      </c>
      <c r="K10" s="34" t="s">
        <v>37</v>
      </c>
      <c r="L10" s="35" t="e">
        <v>#N/A</v>
      </c>
      <c r="M10" s="35">
        <v>1</v>
      </c>
      <c r="N10" s="34">
        <v>1.2</v>
      </c>
      <c r="O10" s="83">
        <v>430284</v>
      </c>
      <c r="P10" s="83">
        <f t="array" ref="P10">_xlfn.LET(_xlpm.x, VALUE($H$1), IF(_xlpm.x=3, 405150, IF(_xlpm.x=4, 506978, "")))</f>
        <v>506978</v>
      </c>
      <c r="Q10" s="36">
        <v>1402</v>
      </c>
      <c r="R10" s="37">
        <f t="shared" si="4"/>
        <v>0.05</v>
      </c>
      <c r="S10" s="84">
        <v>1.5</v>
      </c>
      <c r="T10" s="38" t="s">
        <v>22</v>
      </c>
      <c r="U10" s="85" t="str">
        <f t="shared" si="0"/>
        <v/>
      </c>
      <c r="V10" s="88" t="e">
        <f t="shared" si="1"/>
        <v>#VALUE!</v>
      </c>
      <c r="W10" s="86">
        <v>254042400000</v>
      </c>
      <c r="X10" s="86" t="e">
        <f t="shared" si="2"/>
        <v>#VALUE!</v>
      </c>
      <c r="Y10" s="87"/>
      <c r="Z10" s="20"/>
    </row>
    <row r="11" spans="2:26" ht="15.75" customHeight="1">
      <c r="B11" s="34">
        <v>5</v>
      </c>
      <c r="C11" s="34">
        <v>1</v>
      </c>
      <c r="D11" s="34">
        <v>1</v>
      </c>
      <c r="E11" s="34">
        <v>5</v>
      </c>
      <c r="F11" s="34">
        <v>1</v>
      </c>
      <c r="G11" s="34" t="s">
        <v>38</v>
      </c>
      <c r="H11" s="34" t="s">
        <v>39</v>
      </c>
      <c r="I11" s="34" t="str">
        <f t="shared" si="3"/>
        <v>۱۴۰۲/۰۶/۲۹</v>
      </c>
      <c r="J11" s="81" t="str">
        <f t="array" ref="J11">_xlfn.LET(_xlpm.x, VALUE($H$1), IF(_xlpm.x=3, "اسفند ۱۳۹۸", IF(_xlpm.x=4, "1403/07/01", "")))</f>
        <v>1403/07/01</v>
      </c>
      <c r="K11" s="34" t="s">
        <v>40</v>
      </c>
      <c r="L11" s="35" t="e">
        <v>#N/A</v>
      </c>
      <c r="M11" s="35">
        <v>1</v>
      </c>
      <c r="N11" s="34">
        <v>1.2</v>
      </c>
      <c r="O11" s="83">
        <v>440489</v>
      </c>
      <c r="P11" s="83">
        <f t="array" ref="P11">_xlfn.LET(_xlpm.x, VALUE($H$1), IF(_xlpm.x=3, 405150, IF(_xlpm.x=4, 506978, "")))</f>
        <v>506978</v>
      </c>
      <c r="Q11" s="36">
        <v>1402</v>
      </c>
      <c r="R11" s="37">
        <f t="shared" si="4"/>
        <v>0.05</v>
      </c>
      <c r="S11" s="84">
        <v>1.5</v>
      </c>
      <c r="T11" s="38" t="s">
        <v>22</v>
      </c>
      <c r="U11" s="85" t="str">
        <f t="shared" si="0"/>
        <v/>
      </c>
      <c r="V11" s="88" t="e">
        <f t="shared" si="1"/>
        <v>#VALUE!</v>
      </c>
      <c r="W11" s="86">
        <v>1175324640000</v>
      </c>
      <c r="X11" s="86" t="e">
        <f t="shared" si="2"/>
        <v>#VALUE!</v>
      </c>
      <c r="Y11" s="87"/>
    </row>
    <row r="12" spans="2:26" ht="15.75" customHeight="1">
      <c r="B12" s="34">
        <v>6</v>
      </c>
      <c r="C12" s="34">
        <v>1</v>
      </c>
      <c r="D12" s="34">
        <v>1</v>
      </c>
      <c r="E12" s="34">
        <v>5</v>
      </c>
      <c r="F12" s="34">
        <v>5</v>
      </c>
      <c r="G12" s="34" t="s">
        <v>41</v>
      </c>
      <c r="H12" s="34" t="s">
        <v>42</v>
      </c>
      <c r="I12" s="34" t="str">
        <f t="shared" si="3"/>
        <v>۱۴۰۲/۰۶/۲۹</v>
      </c>
      <c r="J12" s="81" t="str">
        <f t="array" ref="J12">_xlfn.LET(_xlpm.x, VALUE($H$1), IF(_xlpm.x=3, "اسفند ۱۳۹۸", IF(_xlpm.x=4, "1403/07/01", "")))</f>
        <v>1403/07/01</v>
      </c>
      <c r="K12" s="34" t="s">
        <v>43</v>
      </c>
      <c r="L12" s="35" t="e">
        <v>#N/A</v>
      </c>
      <c r="M12" s="35">
        <v>1</v>
      </c>
      <c r="N12" s="34">
        <v>1.2</v>
      </c>
      <c r="O12" s="83">
        <v>459763</v>
      </c>
      <c r="P12" s="83">
        <f t="array" ref="P12">_xlfn.LET(_xlpm.x, VALUE($H$1), IF(_xlpm.x=3, 405150, IF(_xlpm.x=4, 506978, "")))</f>
        <v>506978</v>
      </c>
      <c r="Q12" s="36">
        <v>1402</v>
      </c>
      <c r="R12" s="37">
        <f t="shared" si="4"/>
        <v>0.05</v>
      </c>
      <c r="S12" s="84">
        <v>1.5</v>
      </c>
      <c r="T12" s="38" t="s">
        <v>22</v>
      </c>
      <c r="U12" s="85" t="str">
        <f t="shared" si="0"/>
        <v/>
      </c>
      <c r="V12" s="88" t="e">
        <f t="shared" si="1"/>
        <v>#VALUE!</v>
      </c>
      <c r="W12" s="86">
        <v>545173868800</v>
      </c>
      <c r="X12" s="86" t="e">
        <f t="shared" si="2"/>
        <v>#VALUE!</v>
      </c>
      <c r="Y12" s="87"/>
    </row>
    <row r="13" spans="2:26" ht="15.75" customHeight="1">
      <c r="B13" s="34">
        <v>7</v>
      </c>
      <c r="C13" s="34">
        <v>1</v>
      </c>
      <c r="D13" s="34">
        <v>1</v>
      </c>
      <c r="E13" s="34">
        <v>5</v>
      </c>
      <c r="F13" s="34">
        <v>19</v>
      </c>
      <c r="G13" s="34" t="s">
        <v>44</v>
      </c>
      <c r="H13" s="34" t="s">
        <v>45</v>
      </c>
      <c r="I13" s="34" t="str">
        <f t="shared" si="3"/>
        <v>۱۴۰۲/۰۶/۲۹</v>
      </c>
      <c r="J13" s="81" t="str">
        <f t="array" ref="J13">_xlfn.LET(_xlpm.x, VALUE($H$1), IF(_xlpm.x=3, "اسفند ۱۳۹۸", IF(_xlpm.x=4, "1403/07/01", "")))</f>
        <v>1403/07/01</v>
      </c>
      <c r="K13" s="34" t="s">
        <v>46</v>
      </c>
      <c r="L13" s="35" t="e">
        <v>#N/A</v>
      </c>
      <c r="M13" s="35">
        <v>1</v>
      </c>
      <c r="N13" s="34">
        <v>1.2</v>
      </c>
      <c r="O13" s="83">
        <v>0</v>
      </c>
      <c r="P13" s="83">
        <f t="array" ref="P13">_xlfn.LET(_xlpm.x, VALUE($H$1), IF(_xlpm.x=3, 405150, IF(_xlpm.x=4, 506978, "")))</f>
        <v>506978</v>
      </c>
      <c r="Q13" s="36">
        <v>1402</v>
      </c>
      <c r="R13" s="37">
        <f t="shared" si="4"/>
        <v>0.05</v>
      </c>
      <c r="S13" s="84">
        <v>1.5</v>
      </c>
      <c r="T13" s="38" t="s">
        <v>22</v>
      </c>
      <c r="U13" s="85" t="str">
        <f t="shared" si="0"/>
        <v/>
      </c>
      <c r="V13" s="88" t="e">
        <f t="shared" si="1"/>
        <v>#VALUE!</v>
      </c>
      <c r="W13" s="86">
        <v>1146989760000</v>
      </c>
      <c r="X13" s="86" t="e">
        <f t="shared" si="2"/>
        <v>#VALUE!</v>
      </c>
      <c r="Y13" s="87"/>
    </row>
    <row r="14" spans="2:26" ht="30.75" customHeight="1">
      <c r="B14" s="34">
        <v>8</v>
      </c>
      <c r="C14" s="34">
        <v>1</v>
      </c>
      <c r="D14" s="34">
        <v>1</v>
      </c>
      <c r="E14" s="34">
        <v>5</v>
      </c>
      <c r="F14" s="34">
        <v>23</v>
      </c>
      <c r="G14" s="34"/>
      <c r="H14" s="34" t="s">
        <v>47</v>
      </c>
      <c r="I14" s="34" t="str">
        <f t="shared" si="3"/>
        <v>۱۴۰۲/۰۶/۲۹</v>
      </c>
      <c r="J14" s="81" t="s">
        <v>48</v>
      </c>
      <c r="K14" s="34" t="s">
        <v>49</v>
      </c>
      <c r="L14" s="35" t="e">
        <v>#N/A</v>
      </c>
      <c r="M14" s="35">
        <v>1</v>
      </c>
      <c r="N14" s="34">
        <v>1.2</v>
      </c>
      <c r="O14" s="83">
        <v>672704</v>
      </c>
      <c r="P14" s="83">
        <f t="array" ref="P14">_xlfn.LET(_xlpm.x, VALUE($H$1), IF(_xlpm.x=3, 405150, IF(_xlpm.x=4, 506978, "")))</f>
        <v>506978</v>
      </c>
      <c r="Q14" s="36">
        <v>1402</v>
      </c>
      <c r="R14" s="37">
        <f t="shared" si="4"/>
        <v>0.05</v>
      </c>
      <c r="S14" s="84">
        <v>1.5</v>
      </c>
      <c r="T14" s="38">
        <v>3.2666666666666671</v>
      </c>
      <c r="U14" s="85">
        <f t="shared" si="0"/>
        <v>0</v>
      </c>
      <c r="V14" s="88">
        <f t="shared" si="1"/>
        <v>1</v>
      </c>
      <c r="W14" s="86">
        <v>109034773760</v>
      </c>
      <c r="X14" s="86">
        <f t="shared" si="2"/>
        <v>40349851620.556541</v>
      </c>
      <c r="Y14" s="87" t="s">
        <v>50</v>
      </c>
    </row>
    <row r="15" spans="2:26" ht="30.75" customHeight="1">
      <c r="B15" s="34">
        <v>33</v>
      </c>
      <c r="C15" s="34">
        <v>1</v>
      </c>
      <c r="D15" s="34">
        <v>1</v>
      </c>
      <c r="E15" s="34">
        <v>5</v>
      </c>
      <c r="F15" s="34">
        <v>40</v>
      </c>
      <c r="G15" s="34"/>
      <c r="H15" s="34" t="s">
        <v>51</v>
      </c>
      <c r="I15" s="34" t="str">
        <f t="shared" si="3"/>
        <v>۱۴۰۲/۰۶/۲۹</v>
      </c>
      <c r="J15" s="81" t="str">
        <f t="array" ref="J15">_xlfn.LET(_xlpm.x, VALUE($H$1), IF(_xlpm.x=3, "اسفند ۱۳۹۸", IF(_xlpm.x=4, "1403/07/01", "")))</f>
        <v>1403/07/01</v>
      </c>
      <c r="K15" s="40" t="s">
        <v>52</v>
      </c>
      <c r="L15" s="35" t="e">
        <v>#N/A</v>
      </c>
      <c r="M15" s="35">
        <v>1</v>
      </c>
      <c r="N15" s="34">
        <v>1.2</v>
      </c>
      <c r="O15" s="83">
        <v>787331</v>
      </c>
      <c r="P15" s="83">
        <f t="array" ref="P15">_xlfn.LET(_xlpm.x, VALUE($H$1), IF(_xlpm.x=3, 405150, IF(_xlpm.x=4, 506978, "")))</f>
        <v>506978</v>
      </c>
      <c r="Q15" s="36">
        <v>1402</v>
      </c>
      <c r="R15" s="37">
        <f t="shared" si="4"/>
        <v>0.05</v>
      </c>
      <c r="S15" s="84">
        <v>1.5</v>
      </c>
      <c r="T15" s="38">
        <v>7.2666666666666666</v>
      </c>
      <c r="U15" s="85">
        <f t="shared" si="0"/>
        <v>0</v>
      </c>
      <c r="V15" s="88">
        <f t="shared" si="1"/>
        <v>1</v>
      </c>
      <c r="W15" s="86">
        <v>229397952000</v>
      </c>
      <c r="X15" s="86">
        <f t="shared" si="2"/>
        <v>143608786054.40433</v>
      </c>
      <c r="Y15" s="87" t="s">
        <v>28</v>
      </c>
    </row>
    <row r="16" spans="2:26" ht="15.75" customHeight="1">
      <c r="B16" s="34">
        <v>34</v>
      </c>
      <c r="C16" s="34">
        <v>1</v>
      </c>
      <c r="D16" s="34">
        <v>1</v>
      </c>
      <c r="E16" s="34">
        <v>7</v>
      </c>
      <c r="F16" s="34">
        <v>2</v>
      </c>
      <c r="G16" s="34" t="s">
        <v>53</v>
      </c>
      <c r="H16" s="34" t="s">
        <v>54</v>
      </c>
      <c r="I16" s="34" t="str">
        <f t="shared" si="3"/>
        <v>۱۴۰۲/۰۶/۲۹</v>
      </c>
      <c r="J16" s="81" t="str">
        <f t="array" ref="J16">_xlfn.LET(_xlpm.x, VALUE($H$1), IF(_xlpm.x=3, "اسفند ۱۳۹۸", IF(_xlpm.x=4, "1403/07/01", "")))</f>
        <v>1403/07/01</v>
      </c>
      <c r="K16" s="40" t="s">
        <v>55</v>
      </c>
      <c r="L16" s="35" t="e">
        <v>#N/A</v>
      </c>
      <c r="M16" s="35">
        <v>1</v>
      </c>
      <c r="N16" s="34">
        <v>1.2</v>
      </c>
      <c r="O16" s="83">
        <v>741620</v>
      </c>
      <c r="P16" s="83">
        <f t="array" ref="P16">_xlfn.LET(_xlpm.x, VALUE($H$1), IF(_xlpm.x=3, 405150, IF(_xlpm.x=4, 506978, "")))</f>
        <v>506978</v>
      </c>
      <c r="Q16" s="36">
        <v>1402</v>
      </c>
      <c r="R16" s="37">
        <f t="shared" si="4"/>
        <v>0.05</v>
      </c>
      <c r="S16" s="84">
        <v>1.5</v>
      </c>
      <c r="T16" s="38">
        <v>5.5666666666666664</v>
      </c>
      <c r="U16" s="85">
        <f t="shared" si="0"/>
        <v>0</v>
      </c>
      <c r="V16" s="88">
        <f t="shared" si="1"/>
        <v>1</v>
      </c>
      <c r="W16" s="86">
        <v>70380400000</v>
      </c>
      <c r="X16" s="86">
        <f t="shared" si="2"/>
        <v>36875995177.64048</v>
      </c>
      <c r="Y16" s="87" t="s">
        <v>28</v>
      </c>
    </row>
    <row r="17" spans="2:25" ht="15.75" customHeight="1">
      <c r="B17" s="34">
        <v>35</v>
      </c>
      <c r="C17" s="34">
        <v>1</v>
      </c>
      <c r="D17" s="34">
        <v>1</v>
      </c>
      <c r="E17" s="34">
        <v>7</v>
      </c>
      <c r="F17" s="34">
        <v>15</v>
      </c>
      <c r="G17" s="34" t="s">
        <v>56</v>
      </c>
      <c r="H17" s="34" t="s">
        <v>57</v>
      </c>
      <c r="I17" s="34" t="str">
        <f t="shared" si="3"/>
        <v>۱۴۰۲/۰۶/۲۹</v>
      </c>
      <c r="J17" s="81" t="str">
        <f t="array" ref="J17">_xlfn.LET(_xlpm.x, VALUE($H$1), IF(_xlpm.x=3, "اسفند ۱۳۹۸", IF(_xlpm.x=4, "1403/07/01", "")))</f>
        <v>1403/07/01</v>
      </c>
      <c r="K17" s="40" t="s">
        <v>55</v>
      </c>
      <c r="L17" s="35" t="e">
        <v>#N/A</v>
      </c>
      <c r="M17" s="35">
        <v>1</v>
      </c>
      <c r="N17" s="34">
        <v>1.2</v>
      </c>
      <c r="O17" s="83">
        <v>741620</v>
      </c>
      <c r="P17" s="83">
        <f t="array" ref="P17">_xlfn.LET(_xlpm.x, VALUE($H$1), IF(_xlpm.x=3, 405150, IF(_xlpm.x=4, 506978, "")))</f>
        <v>506978</v>
      </c>
      <c r="Q17" s="36">
        <v>1402</v>
      </c>
      <c r="R17" s="37">
        <f t="shared" si="4"/>
        <v>0.05</v>
      </c>
      <c r="S17" s="84">
        <v>1.5</v>
      </c>
      <c r="T17" s="38">
        <v>5.5666666666666664</v>
      </c>
      <c r="U17" s="85">
        <f t="shared" si="0"/>
        <v>0</v>
      </c>
      <c r="V17" s="88">
        <f t="shared" si="1"/>
        <v>1</v>
      </c>
      <c r="W17" s="86">
        <v>1097411574400</v>
      </c>
      <c r="X17" s="86">
        <f t="shared" si="2"/>
        <v>574991672759.19495</v>
      </c>
      <c r="Y17" s="87" t="s">
        <v>28</v>
      </c>
    </row>
    <row r="18" spans="2:25" ht="15.75" customHeight="1">
      <c r="B18" s="34">
        <v>36</v>
      </c>
      <c r="C18" s="34">
        <v>1</v>
      </c>
      <c r="D18" s="34">
        <v>1</v>
      </c>
      <c r="E18" s="34">
        <v>8</v>
      </c>
      <c r="F18" s="34">
        <v>29</v>
      </c>
      <c r="G18" s="34" t="s">
        <v>58</v>
      </c>
      <c r="H18" s="34" t="s">
        <v>59</v>
      </c>
      <c r="I18" s="34" t="s">
        <v>60</v>
      </c>
      <c r="J18" s="81" t="str">
        <f t="array" ref="J18">_xlfn.LET(_xlpm.x, VALUE($H$1), IF(_xlpm.x=3, "اسفند ۱۳۹۸", IF(_xlpm.x=4, "1403/07/01", "")))</f>
        <v>1403/07/01</v>
      </c>
      <c r="K18" s="41" t="s">
        <v>61</v>
      </c>
      <c r="L18" s="35" t="e">
        <v>#N/A</v>
      </c>
      <c r="M18" s="35">
        <v>1</v>
      </c>
      <c r="N18" s="34">
        <v>1.2</v>
      </c>
      <c r="O18" s="83">
        <v>782169</v>
      </c>
      <c r="P18" s="83">
        <f t="array" ref="P18">_xlfn.LET(_xlpm.x, VALUE($H$1), IF(_xlpm.x=3, 405150, IF(_xlpm.x=4, 506978, "")))</f>
        <v>506978</v>
      </c>
      <c r="Q18" s="36">
        <v>1402</v>
      </c>
      <c r="R18" s="37">
        <f t="shared" si="4"/>
        <v>0.05</v>
      </c>
      <c r="S18" s="84">
        <v>1.5</v>
      </c>
      <c r="T18" s="38" t="e">
        <v>#REF!</v>
      </c>
      <c r="U18" s="85" t="str">
        <f t="shared" si="0"/>
        <v/>
      </c>
      <c r="V18" s="88" t="e">
        <f t="shared" si="1"/>
        <v>#VALUE!</v>
      </c>
      <c r="W18" s="86">
        <v>1682400000</v>
      </c>
      <c r="X18" s="86" t="e">
        <f t="shared" si="2"/>
        <v>#VALUE!</v>
      </c>
      <c r="Y18" s="87" t="s">
        <v>50</v>
      </c>
    </row>
    <row r="19" spans="2:25" s="42" customFormat="1" ht="15.75" customHeight="1">
      <c r="B19" s="41" t="s">
        <v>62</v>
      </c>
      <c r="C19" s="41"/>
      <c r="D19" s="41"/>
      <c r="E19" s="41"/>
      <c r="F19" s="41"/>
      <c r="G19" s="41" t="s">
        <v>63</v>
      </c>
      <c r="H19" s="41" t="s">
        <v>64</v>
      </c>
      <c r="I19" s="41" t="s">
        <v>26</v>
      </c>
      <c r="J19" s="81" t="str">
        <f t="array" ref="J19">_xlfn.LET(_xlpm.x, VALUE($H$1), IF(_xlpm.x=3, "اسفند ۱۳۹۸", IF(_xlpm.x=4, "1403/07/01", "")))</f>
        <v>1403/07/01</v>
      </c>
      <c r="L19" s="41"/>
      <c r="M19" s="35">
        <v>1</v>
      </c>
      <c r="N19" s="34">
        <v>1.2</v>
      </c>
      <c r="O19" s="83">
        <v>840000</v>
      </c>
      <c r="P19" s="83">
        <f t="array" ref="P19">_xlfn.LET(_xlpm.x, VALUE($H$1), IF(_xlpm.x=3, 405150, IF(_xlpm.x=4, 506978, "")))</f>
        <v>506978</v>
      </c>
      <c r="Q19" s="41">
        <v>1402</v>
      </c>
      <c r="R19" s="43">
        <v>0.05</v>
      </c>
      <c r="S19" s="41">
        <v>1.5</v>
      </c>
      <c r="T19" s="38">
        <v>7.4</v>
      </c>
      <c r="U19" s="85">
        <f t="shared" si="0"/>
        <v>0</v>
      </c>
      <c r="V19" s="88">
        <f t="shared" si="1"/>
        <v>1</v>
      </c>
      <c r="W19" s="89">
        <v>1646395694800</v>
      </c>
      <c r="X19" s="83">
        <f t="shared" si="2"/>
        <v>1224315685181.4243</v>
      </c>
      <c r="Y19" s="90" t="s">
        <v>50</v>
      </c>
    </row>
    <row r="20" spans="2:25" ht="17.25" customHeight="1" thickTop="1">
      <c r="B20" s="25"/>
      <c r="C20" s="25"/>
      <c r="D20" s="25"/>
      <c r="E20" s="25"/>
      <c r="F20" s="25"/>
      <c r="G20" s="25"/>
      <c r="K20" s="25"/>
      <c r="L20" s="44"/>
      <c r="M20" s="44"/>
      <c r="N20" s="25"/>
      <c r="O20" s="91"/>
      <c r="P20" s="91"/>
      <c r="Q20" s="45"/>
      <c r="R20" s="46"/>
      <c r="S20" s="47"/>
      <c r="T20" s="45"/>
      <c r="U20" s="92"/>
      <c r="V20" s="92"/>
      <c r="W20" s="91"/>
      <c r="X20" s="91"/>
    </row>
    <row r="21" spans="2:25">
      <c r="B21" s="25"/>
      <c r="C21" s="25"/>
      <c r="D21" s="25"/>
      <c r="E21" s="25"/>
      <c r="F21" s="25"/>
      <c r="G21" s="25"/>
      <c r="K21" s="25"/>
      <c r="L21" s="44"/>
      <c r="M21" s="44"/>
      <c r="N21" s="25"/>
      <c r="O21" s="91"/>
      <c r="P21" s="91"/>
      <c r="Q21" s="45"/>
      <c r="R21" s="46"/>
      <c r="S21" s="47"/>
      <c r="T21" s="45"/>
      <c r="U21" s="92"/>
      <c r="V21" s="92"/>
      <c r="W21" s="91"/>
      <c r="X21" s="91"/>
    </row>
    <row r="22" spans="2:25">
      <c r="B22" s="25"/>
      <c r="C22" s="25"/>
      <c r="D22" s="25"/>
      <c r="E22" s="25"/>
      <c r="F22" s="25"/>
      <c r="G22" s="25"/>
      <c r="K22" s="25"/>
      <c r="L22" s="44"/>
      <c r="M22" s="44"/>
      <c r="N22" s="25"/>
      <c r="O22" s="91"/>
      <c r="P22" s="91"/>
      <c r="Q22" s="45"/>
      <c r="R22" s="46"/>
      <c r="S22" s="47"/>
      <c r="T22" s="45"/>
      <c r="U22" s="92"/>
      <c r="V22" s="92"/>
      <c r="W22" s="91"/>
      <c r="X22" s="91"/>
    </row>
    <row r="23" spans="2:25">
      <c r="B23" s="25"/>
      <c r="C23" s="25"/>
      <c r="D23" s="25"/>
      <c r="E23" s="25"/>
      <c r="F23" s="25"/>
      <c r="G23" s="25"/>
      <c r="K23" s="25"/>
      <c r="L23" s="44"/>
      <c r="M23" s="44"/>
      <c r="N23" s="25"/>
      <c r="O23" s="91"/>
      <c r="P23" s="91"/>
      <c r="Q23" s="45"/>
      <c r="R23" s="46"/>
      <c r="S23" s="47"/>
      <c r="T23" s="45"/>
      <c r="U23" s="92"/>
      <c r="V23" s="92"/>
      <c r="W23" s="91"/>
      <c r="X23" s="91"/>
    </row>
  </sheetData>
  <autoFilter ref="A6:AB19" xr:uid="{00000000-0009-0000-0000-000000000000}">
    <filterColumn colId="2" showButton="0"/>
    <filterColumn colId="3" showButton="0"/>
    <filterColumn colId="4" showButton="0"/>
  </autoFilter>
  <mergeCells count="24">
    <mergeCell ref="Y3:Y6"/>
    <mergeCell ref="Q3:Q6"/>
    <mergeCell ref="L3:L6"/>
    <mergeCell ref="X3:X6"/>
    <mergeCell ref="C3:C5"/>
    <mergeCell ref="I3:I6"/>
    <mergeCell ref="E3:E5"/>
    <mergeCell ref="M3:M6"/>
    <mergeCell ref="W3:W6"/>
    <mergeCell ref="N3:N5"/>
    <mergeCell ref="P3:P6"/>
    <mergeCell ref="F3:F5"/>
    <mergeCell ref="R3:R6"/>
    <mergeCell ref="H3:H6"/>
    <mergeCell ref="T3:T6"/>
    <mergeCell ref="J3:J6"/>
    <mergeCell ref="B3:B6"/>
    <mergeCell ref="V3:V5"/>
    <mergeCell ref="G3:G6"/>
    <mergeCell ref="S3:S6"/>
    <mergeCell ref="O3:O6"/>
    <mergeCell ref="K3:K6"/>
    <mergeCell ref="D3:D5"/>
    <mergeCell ref="U3:U5"/>
  </mergeCells>
  <conditionalFormatting sqref="C6:F6 U6:V6 B7:Y18 B19:J19 L19:Y19">
    <cfRule type="expression" dxfId="0" priority="2">
      <formula>MOD(ROW(),2)=MOD(5,2)</formula>
    </cfRule>
  </conditionalFormatting>
  <conditionalFormatting sqref="AA4:AU10 C6:F6 U6:V6 B7:Y18 Z11:AU19 B19:J19 L19:Y19 B20:AT429">
    <cfRule type="expression" priority="1"/>
  </conditionalFormatting>
  <dataValidations count="3">
    <dataValidation type="list" allowBlank="1" showInputMessage="1" showErrorMessage="1" errorTitle="Invalid choice" error="Please select one of: Yes, No, or Initial Term with Failure." promptTitle="Select Option" prompt="Choose: Yes (بله), No (خیر), Initial Term with Failure (مدت اولیه با شکست)" sqref="Y7:Y19" xr:uid="{00000000-0002-0000-0000-000000000000}">
      <formula1>"بله,تاخیر غیر مجاز,در مدت اولیه قرارداد"</formula1>
    </dataValidation>
    <dataValidation type="list" allowBlank="1" showInputMessage="1" showErrorMessage="1" sqref="H1" xr:uid="{00000000-0002-0000-0000-000001000000}">
      <formula1>"3,4"</formula1>
    </dataValidation>
    <dataValidation type="list" allowBlank="1" showInputMessage="1" showErrorMessage="1" sqref="I3:I6" xr:uid="{00000000-0002-0000-0000-000002000000}">
      <formula1>"بخشنامه نوع سوم,بخشنامه نوع چهارم"</formula1>
    </dataValidation>
  </dataValidations>
  <pageMargins left="0.19685039370078741" right="0.19685039370078741" top="0.19685039370078741" bottom="0.19685039370078741" header="0.31496062992125978" footer="0"/>
  <pageSetup paperSize="8" scale="75" orientation="landscape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D214"/>
  <sheetViews>
    <sheetView rightToLeft="1" tabSelected="1" topLeftCell="A16" zoomScale="30" zoomScaleNormal="30" workbookViewId="0">
      <selection sqref="A1:N125"/>
    </sheetView>
  </sheetViews>
  <sheetFormatPr defaultColWidth="9" defaultRowHeight="18" customHeight="1"/>
  <cols>
    <col min="1" max="1" width="8.125" style="1" bestFit="1" customWidth="1"/>
    <col min="2" max="2" width="134.375" style="2" bestFit="1" customWidth="1"/>
    <col min="3" max="3" width="36" style="1" bestFit="1" customWidth="1"/>
    <col min="4" max="4" width="14.75" style="50" bestFit="1" customWidth="1"/>
    <col min="5" max="5" width="10.875" style="3" customWidth="1"/>
    <col min="6" max="6" width="17.375" style="3" bestFit="1" customWidth="1"/>
    <col min="7" max="7" width="24.875" style="1" bestFit="1" customWidth="1"/>
    <col min="8" max="8" width="14.75" style="50" bestFit="1" customWidth="1"/>
    <col min="9" max="9" width="10.875" style="4" customWidth="1"/>
    <col min="10" max="10" width="15.25" style="4" bestFit="1" customWidth="1"/>
    <col min="11" max="11" width="22.875" style="2" customWidth="1"/>
    <col min="12" max="12" width="14.375" style="2" bestFit="1" customWidth="1"/>
    <col min="13" max="13" width="13.625" style="2" bestFit="1" customWidth="1"/>
    <col min="14" max="14" width="19.875" style="2" bestFit="1" customWidth="1"/>
    <col min="15" max="15" width="20.625" style="2" bestFit="1" customWidth="1"/>
    <col min="16" max="16" width="29.625" style="2" bestFit="1" customWidth="1"/>
    <col min="17" max="17" width="16" style="2" bestFit="1" customWidth="1"/>
    <col min="18" max="18" width="31.625" style="2" bestFit="1" customWidth="1"/>
    <col min="19" max="19" width="9" style="2" customWidth="1"/>
    <col min="20" max="26" width="9" style="2"/>
    <col min="27" max="27" width="25" style="2" bestFit="1" customWidth="1"/>
    <col min="28" max="28" width="9.125" style="2" bestFit="1" customWidth="1"/>
    <col min="29" max="29" width="29.375" style="2" bestFit="1" customWidth="1"/>
    <col min="30" max="16384" width="9" style="2"/>
  </cols>
  <sheetData>
    <row r="1" spans="1:30" ht="25.15" thickBot="1">
      <c r="A1" s="51" t="s">
        <v>65</v>
      </c>
      <c r="B1" s="130"/>
      <c r="C1" s="130"/>
      <c r="D1" s="130"/>
      <c r="E1" s="130"/>
      <c r="F1" s="130"/>
      <c r="G1" s="130"/>
      <c r="H1" s="130"/>
      <c r="I1" s="131"/>
      <c r="J1" s="51"/>
      <c r="K1" s="51" t="s">
        <v>65</v>
      </c>
      <c r="L1" s="130"/>
      <c r="M1" s="130"/>
      <c r="N1" s="131"/>
      <c r="O1" s="1"/>
      <c r="P1" s="1" t="s">
        <v>66</v>
      </c>
      <c r="Q1" s="1" t="s">
        <v>67</v>
      </c>
      <c r="R1" s="125" t="s">
        <v>68</v>
      </c>
      <c r="S1" s="109"/>
      <c r="T1" s="109"/>
      <c r="U1" s="109"/>
      <c r="V1" s="109"/>
      <c r="W1" s="109"/>
      <c r="X1" s="109"/>
      <c r="Y1" s="109"/>
      <c r="Z1" s="109"/>
      <c r="AA1" s="110" t="s">
        <v>69</v>
      </c>
      <c r="AB1" s="110"/>
      <c r="AC1" s="110"/>
      <c r="AD1" s="108"/>
    </row>
    <row r="2" spans="1:30" ht="45">
      <c r="A2" s="5" t="s">
        <v>70</v>
      </c>
      <c r="B2" s="5" t="s">
        <v>4</v>
      </c>
      <c r="C2" s="48" t="s">
        <v>71</v>
      </c>
      <c r="D2" s="49" t="s">
        <v>72</v>
      </c>
      <c r="E2" s="126" t="s">
        <v>73</v>
      </c>
      <c r="F2" s="127" t="s">
        <v>74</v>
      </c>
      <c r="G2" s="48" t="s">
        <v>75</v>
      </c>
      <c r="H2" s="49" t="s">
        <v>72</v>
      </c>
      <c r="I2" s="6" t="s">
        <v>76</v>
      </c>
      <c r="J2" s="73" t="s">
        <v>77</v>
      </c>
      <c r="K2" s="5" t="s">
        <v>78</v>
      </c>
      <c r="L2" s="106">
        <v>422010.14285714284</v>
      </c>
      <c r="M2" s="72" t="s">
        <v>79</v>
      </c>
      <c r="N2" s="6" t="s">
        <v>80</v>
      </c>
      <c r="O2" s="128"/>
      <c r="P2" s="107" t="s">
        <v>2777</v>
      </c>
      <c r="Q2" s="129" cm="1">
        <f t="array" ref="Q2">_xlfn.LET(_xlpm.d,SUBSTITUTE(SUBSTITUTE(SUBSTITUTE(SUBSTITUTE(SUBSTITUTE(SUBSTITUTE(SUBSTITUTE(SUBSTITUTE(SUBSTITUTE(SUBSTITUTE(P2,"۰","0"),"۱","1"),"۲","2"),"۳","3"),"۴","4"),"۵","5"),"۶","6"),"۷","7"),"۸","8"),"۹","9"),_xlpm.rowNum,MATCH(_xlpm.d,'Arz '!A:A,0),_xlpm.validRates,_xlfn._xlws.FILTER(INDEX('Arz '!B:B,_xlfn.SEQUENCE(14,1,_xlpm.rowNum-13)),ISNUMBER(INDEX('Arz '!B:B,_xlfn.SEQUENCE(14,1,_xlpm.rowNum-13)))),_xlpm.last7,IF(ROWS(_xlpm.validRates)&gt;=7,INDEX(_xlpm.validRates,_xlfn.SEQUENCE(7,1,ROWS(_xlpm.validRates)-6)),_xlpm.validRates),IFERROR(AVERAGE(_xlpm.last7),"یافت نشد"))</f>
        <v>517551.85714285716</v>
      </c>
      <c r="R2" s="74" t="str" cm="1">
        <f t="array" ref="R2">_xlfn.LET(_xlpm.dateTxt,SUBSTITUTE(SUBSTITUTE(SUBSTITUTE(SUBSTITUTE(SUBSTITUTE(SUBSTITUTE(SUBSTITUTE(SUBSTITUTE(SUBSTITUTE(SUBSTITUTE(P2,"۰","0"),"۱","1"),"۲","2"),"۳","3"),"۴","4"),"۵","5"),"۶","6"),"۷","7"),"۸","8"),"۹","9"),_xlpm.yr,LEFT(_xlpm.dateTxt,4),_xlpm.mo,MID(_xlpm.dateTxt,6,2),_xlpm.prevQ,IF(_xlpm.mo&lt;="03",4,IF(_xlpm.mo&lt;="06",1,IF(_xlpm.mo&lt;="09",2,3))),_xlpm.prevYr,IF(_xlpm.mo&lt;="03",_xlpm.yr-1,_xlpm.yr),"سه ماهه "&amp;IF(_xlpm.prevQ=1,"اول",IF(_xlpm.prevQ=2,"دوم",IF(_xlpm.prevQ=3,"سوم","چهارم")))&amp;" "&amp;_xlpm.prevYr)</f>
        <v>سه ماهه دوم 1403</v>
      </c>
      <c r="S2" s="109"/>
      <c r="T2" s="109"/>
      <c r="U2" s="109"/>
      <c r="V2" s="109"/>
      <c r="W2" s="109"/>
      <c r="X2" s="109"/>
      <c r="Y2" s="109"/>
      <c r="Z2" s="109"/>
      <c r="AA2" s="110" t="s">
        <v>81</v>
      </c>
      <c r="AB2" s="110" t="s">
        <v>82</v>
      </c>
      <c r="AC2" s="110" t="s">
        <v>83</v>
      </c>
      <c r="AD2" s="108"/>
    </row>
    <row r="3" spans="1:30" ht="22.5">
      <c r="A3" s="7">
        <v>1</v>
      </c>
      <c r="B3" s="7" t="s">
        <v>84</v>
      </c>
      <c r="C3" s="111" t="s">
        <v>85</v>
      </c>
      <c r="D3" s="111">
        <v>24</v>
      </c>
      <c r="E3" s="112">
        <v>1</v>
      </c>
      <c r="F3" s="113" cm="1">
        <f t="array" ref="F3">_xlfn.LET(_xlpm.yr,VALUE(RIGHT($R$2,4)),_xlpm.qName,TRIM(SUBSTITUTE(SUBSTITUTE($R$2,RIGHT($R$2,4),""),"سه ماهه","")),_xlpm.chapNum,D3,_xlpm.shName,C3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5671.7</v>
      </c>
      <c r="G3" s="7"/>
      <c r="H3" s="7"/>
      <c r="I3" s="112"/>
      <c r="J3" s="113" t="str" cm="1">
        <f t="array" ref="J3">IF(G3="","",_xlfn.LET(_xlpm.yr,VALUE(RIGHT($R$2,4)),_xlpm.qName,TRIM(SUBSTITUTE(SUBSTITUTE($R$2,RIGHT($R$2,4),""),"سه ماهه","")),_xlpm.chapNum,H3,_xlpm.shName,G3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3" s="112" t="s">
        <v>86</v>
      </c>
      <c r="L3" s="114" cm="1">
        <f t="array" ref="L3">_xlfn.LET(_xlpm.dateTxt,SUBSTITUTE(SUBSTITUTE(SUBSTITUTE(SUBSTITUTE(SUBSTITUTE(SUBSTITUTE(SUBSTITUTE(SUBSTITUTE(SUBSTITUTE(SUBSTITUTE(K3,"۰","0"),"۱","1"),"۲","2"),"۳","3"),"۴","4"),"۵","5"),"۶","6"),"۷","7"),"۸","8"),"۹","9"),_xlpm.rate,VLOOKUP(_xlpm.dateTxt,'Arz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455102</v>
      </c>
      <c r="M3" s="112">
        <f t="shared" ref="M3:M34" si="0">1-(E3+I3)</f>
        <v>0</v>
      </c>
      <c r="N3" s="115">
        <f>IFERROR(IF(ISNUMBER(L3),(L3/$Q$2)-1,L3),"یافت نشد")</f>
        <v>-0.12066396107167177</v>
      </c>
      <c r="O3" s="109"/>
      <c r="P3" s="116"/>
      <c r="Q3" s="116"/>
      <c r="R3" s="109"/>
      <c r="S3" s="109"/>
      <c r="T3" s="109"/>
      <c r="U3" s="109"/>
      <c r="V3" s="109"/>
      <c r="W3" s="109"/>
      <c r="X3" s="109"/>
      <c r="Y3" s="109"/>
      <c r="Z3" s="109"/>
      <c r="AA3" s="110" t="s">
        <v>87</v>
      </c>
      <c r="AB3" s="110" t="s">
        <v>88</v>
      </c>
      <c r="AC3" s="110" t="s">
        <v>89</v>
      </c>
      <c r="AD3" s="108"/>
    </row>
    <row r="4" spans="1:30" s="9" customFormat="1" ht="22.5">
      <c r="A4" s="8">
        <v>2</v>
      </c>
      <c r="B4" s="8" t="s">
        <v>90</v>
      </c>
      <c r="C4" s="111" t="s">
        <v>91</v>
      </c>
      <c r="D4" s="111">
        <v>24</v>
      </c>
      <c r="E4" s="112">
        <v>0.8</v>
      </c>
      <c r="F4" s="113" cm="1">
        <f t="array" ref="F4">_xlfn.LET(_xlpm.yr,VALUE(RIGHT($R$2,4)),_xlpm.qName,TRIM(SUBSTITUTE(SUBSTITUTE($R$2,RIGHT($R$2,4),""),"سه ماهه","")),_xlpm.chapNum,D4,_xlpm.shName,C4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6186.2</v>
      </c>
      <c r="G4" s="7"/>
      <c r="H4" s="7"/>
      <c r="I4" s="117"/>
      <c r="J4" s="113" t="str" cm="1">
        <f t="array" ref="J4">IF(G4="","",_xlfn.LET(_xlpm.yr,VALUE(RIGHT($R$2,4)),_xlpm.qName,TRIM(SUBSTITUTE(SUBSTITUTE($R$2,RIGHT($R$2,4),""),"سه ماهه","")),_xlpm.chapNum,H4,_xlpm.shName,G4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4" s="117" t="s">
        <v>92</v>
      </c>
      <c r="L4" s="114" cm="1">
        <f t="array" ref="L4">_xlfn.LET(_xlpm.dateTxt,SUBSTITUTE(SUBSTITUTE(SUBSTITUTE(SUBSTITUTE(SUBSTITUTE(SUBSTITUTE(SUBSTITUTE(SUBSTITUTE(SUBSTITUTE(SUBSTITUTE(K4,"۰","0"),"۱","1"),"۲","2"),"۳","3"),"۴","4"),"۵","5"),"۶","6"),"۷","7"),"۸","8"),"۹","9"),_xlpm.rate,VLOOKUP(_xlpm.dateTxt,'Arz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433832</v>
      </c>
      <c r="M4" s="117">
        <f t="shared" si="0"/>
        <v>0.19999999999999996</v>
      </c>
      <c r="N4" s="115">
        <f t="shared" ref="N4:N20" si="1">IFERROR(IF(ISNUMBER(L4),(L4/$Q$2)-1,L4),"یافت نشد")</f>
        <v>-0.16176129210516654</v>
      </c>
      <c r="O4" s="116"/>
      <c r="P4" s="109"/>
      <c r="Q4" s="109"/>
      <c r="R4" s="116"/>
      <c r="S4" s="116"/>
      <c r="T4" s="116"/>
      <c r="U4" s="116"/>
      <c r="V4" s="116"/>
      <c r="W4" s="116"/>
      <c r="X4" s="116"/>
      <c r="Y4" s="116"/>
      <c r="Z4" s="116"/>
      <c r="AA4" s="110" t="s">
        <v>93</v>
      </c>
      <c r="AB4" s="110" t="s">
        <v>82</v>
      </c>
      <c r="AC4" s="110" t="s">
        <v>94</v>
      </c>
      <c r="AD4" s="108"/>
    </row>
    <row r="5" spans="1:30" ht="18" customHeight="1">
      <c r="A5" s="7">
        <v>3</v>
      </c>
      <c r="B5" s="7" t="s">
        <v>95</v>
      </c>
      <c r="C5" s="121" t="s">
        <v>91</v>
      </c>
      <c r="D5" s="111">
        <v>24</v>
      </c>
      <c r="E5" s="112">
        <v>0.2</v>
      </c>
      <c r="F5" s="113" cm="1">
        <f t="array" ref="F5">_xlfn.LET(_xlpm.yr,VALUE(RIGHT($R$2,4)),_xlpm.qName,TRIM(SUBSTITUTE(SUBSTITUTE($R$2,RIGHT($R$2,4),""),"سه ماهه","")),_xlpm.chapNum,D5,_xlpm.shName,C5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6186.2</v>
      </c>
      <c r="G5" s="111" t="s">
        <v>96</v>
      </c>
      <c r="H5" s="111">
        <v>16</v>
      </c>
      <c r="I5" s="112">
        <v>0.6</v>
      </c>
      <c r="J5" s="113" cm="1">
        <f t="array" ref="J5">IF(G5="","",_xlfn.LET(_xlpm.yr,VALUE(RIGHT($R$2,4)),_xlpm.qName,TRIM(SUBSTITUTE(SUBSTITUTE($R$2,RIGHT($R$2,4),""),"سه ماهه","")),_xlpm.chapNum,H5,_xlpm.shName,G5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>7848.6</v>
      </c>
      <c r="K5" s="112" t="s">
        <v>97</v>
      </c>
      <c r="L5" s="114" t="str" cm="1">
        <f t="array" ref="L5">_xlfn.LET(_xlpm.dateTxt,SUBSTITUTE(SUBSTITUTE(SUBSTITUTE(SUBSTITUTE(SUBSTITUTE(SUBSTITUTE(SUBSTITUTE(SUBSTITUTE(SUBSTITUTE(SUBSTITUTE(K5,"۰","0"),"۱","1"),"۲","2"),"۳","3"),"۴","4"),"۵","5"),"۶","6"),"۷","7"),"۸","8"),"۹","9"),_xlpm.rate,VLOOKUP(_xlpm.dateTxt,'Arz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تعطیل رسمی</v>
      </c>
      <c r="M5" s="112">
        <f t="shared" si="0"/>
        <v>0.19999999999999996</v>
      </c>
      <c r="N5" s="115" t="str">
        <f t="shared" si="1"/>
        <v>تعطیل رسمی</v>
      </c>
      <c r="O5" s="109"/>
      <c r="P5" s="116"/>
      <c r="Q5" s="116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</row>
    <row r="6" spans="1:30" s="9" customFormat="1" ht="18" customHeight="1">
      <c r="A6" s="8">
        <v>4</v>
      </c>
      <c r="B6" s="8" t="s">
        <v>98</v>
      </c>
      <c r="C6" s="111" t="s">
        <v>96</v>
      </c>
      <c r="D6" s="111">
        <v>16</v>
      </c>
      <c r="E6" s="112">
        <v>0.75</v>
      </c>
      <c r="F6" s="113" cm="1">
        <f t="array" ref="F6">_xlfn.LET(_xlpm.yr,VALUE(RIGHT($R$2,4)),_xlpm.qName,TRIM(SUBSTITUTE(SUBSTITUTE($R$2,RIGHT($R$2,4),""),"سه ماهه","")),_xlpm.chapNum,D6,_xlpm.shName,C6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7848.6</v>
      </c>
      <c r="G6" s="111" t="s">
        <v>91</v>
      </c>
      <c r="H6" s="111">
        <v>7</v>
      </c>
      <c r="I6" s="117">
        <v>0.25</v>
      </c>
      <c r="J6" s="113" cm="1">
        <f t="array" ref="J6">IF(G6="","",_xlfn.LET(_xlpm.yr,VALUE(RIGHT($R$2,4)),_xlpm.qName,TRIM(SUBSTITUTE(SUBSTITUTE($R$2,RIGHT($R$2,4),""),"سه ماهه","")),_xlpm.chapNum,H6,_xlpm.shName,G6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>9705.5</v>
      </c>
      <c r="K6" s="117" t="s">
        <v>99</v>
      </c>
      <c r="L6" s="114" cm="1">
        <f t="array" ref="L6">_xlfn.LET(_xlpm.dateTxt,SUBSTITUTE(SUBSTITUTE(SUBSTITUTE(SUBSTITUTE(SUBSTITUTE(SUBSTITUTE(SUBSTITUTE(SUBSTITUTE(SUBSTITUTE(SUBSTITUTE(K6,"۰","0"),"۱","1"),"۲","2"),"۳","3"),"۴","4"),"۵","5"),"۶","6"),"۷","7"),"۸","8"),"۹","9"),_xlpm.rate,VLOOKUP(_xlpm.dateTxt,'Arz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516581</v>
      </c>
      <c r="M6" s="117">
        <f t="shared" si="0"/>
        <v>0</v>
      </c>
      <c r="N6" s="115">
        <f t="shared" si="1"/>
        <v>-1.8758644751403208E-3</v>
      </c>
      <c r="O6" s="116"/>
      <c r="P6" s="109"/>
      <c r="Q6" s="109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</row>
    <row r="7" spans="1:30" ht="18" customHeight="1">
      <c r="A7" s="7">
        <v>5</v>
      </c>
      <c r="B7" s="7" t="s">
        <v>100</v>
      </c>
      <c r="C7" s="111" t="s">
        <v>96</v>
      </c>
      <c r="D7" s="111">
        <v>16</v>
      </c>
      <c r="E7" s="112">
        <v>0.3</v>
      </c>
      <c r="F7" s="113" cm="1">
        <f t="array" ref="F7">_xlfn.LET(_xlpm.yr,VALUE(RIGHT($R$2,4)),_xlpm.qName,TRIM(SUBSTITUTE(SUBSTITUTE($R$2,RIGHT($R$2,4),""),"سه ماهه","")),_xlpm.chapNum,D7,_xlpm.shName,C7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7848.6</v>
      </c>
      <c r="G7" s="111" t="s">
        <v>91</v>
      </c>
      <c r="H7" s="111">
        <v>7</v>
      </c>
      <c r="I7" s="112">
        <v>0.1</v>
      </c>
      <c r="J7" s="113" cm="1">
        <f t="array" ref="J7">IF(G7="","",_xlfn.LET(_xlpm.yr,VALUE(RIGHT($R$2,4)),_xlpm.qName,TRIM(SUBSTITUTE(SUBSTITUTE($R$2,RIGHT($R$2,4),""),"سه ماهه","")),_xlpm.chapNum,H7,_xlpm.shName,G7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>9705.5</v>
      </c>
      <c r="K7" s="112" t="s">
        <v>101</v>
      </c>
      <c r="L7" s="114" t="str" cm="1">
        <f t="array" ref="L7">_xlfn.LET(_xlpm.dateTxt,SUBSTITUTE(SUBSTITUTE(SUBSTITUTE(SUBSTITUTE(SUBSTITUTE(SUBSTITUTE(SUBSTITUTE(SUBSTITUTE(SUBSTITUTE(SUBSTITUTE(K7,"۰","0"),"۱","1"),"۲","2"),"۳","3"),"۴","4"),"۵","5"),"۶","6"),"۷","7"),"۸","8"),"۹","9"),_xlpm.rate,VLOOKUP(_xlpm.dateTxt,'Arz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یافت نشد</v>
      </c>
      <c r="M7" s="112">
        <f t="shared" si="0"/>
        <v>0.6</v>
      </c>
      <c r="N7" s="115" t="str">
        <f t="shared" si="1"/>
        <v>یافت نشد</v>
      </c>
      <c r="O7" s="109"/>
      <c r="P7" s="116"/>
      <c r="Q7" s="116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</row>
    <row r="8" spans="1:30" s="9" customFormat="1" ht="18" customHeight="1">
      <c r="A8" s="8">
        <v>6</v>
      </c>
      <c r="B8" s="8" t="s">
        <v>102</v>
      </c>
      <c r="C8" s="111" t="s">
        <v>96</v>
      </c>
      <c r="D8" s="111">
        <v>16</v>
      </c>
      <c r="E8" s="112">
        <v>0.4</v>
      </c>
      <c r="F8" s="113" cm="1">
        <f t="array" ref="F8">_xlfn.LET(_xlpm.yr,VALUE(RIGHT($R$2,4)),_xlpm.qName,TRIM(SUBSTITUTE(SUBSTITUTE($R$2,RIGHT($R$2,4),""),"سه ماهه","")),_xlpm.chapNum,D8,_xlpm.shName,C8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7848.6</v>
      </c>
      <c r="G8" s="111" t="s">
        <v>91</v>
      </c>
      <c r="H8" s="111">
        <v>7</v>
      </c>
      <c r="I8" s="117">
        <v>0.1</v>
      </c>
      <c r="J8" s="113" cm="1">
        <f t="array" ref="J8">IF(G8="","",_xlfn.LET(_xlpm.yr,VALUE(RIGHT($R$2,4)),_xlpm.qName,TRIM(SUBSTITUTE(SUBSTITUTE($R$2,RIGHT($R$2,4),""),"سه ماهه","")),_xlpm.chapNum,H8,_xlpm.shName,G8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>9705.5</v>
      </c>
      <c r="K8" s="117" t="s">
        <v>101</v>
      </c>
      <c r="L8" s="114" t="str" cm="1">
        <f t="array" ref="L8">_xlfn.LET(_xlpm.dateTxt,SUBSTITUTE(SUBSTITUTE(SUBSTITUTE(SUBSTITUTE(SUBSTITUTE(SUBSTITUTE(SUBSTITUTE(SUBSTITUTE(SUBSTITUTE(SUBSTITUTE(K8,"۰","0"),"۱","1"),"۲","2"),"۳","3"),"۴","4"),"۵","5"),"۶","6"),"۷","7"),"۸","8"),"۹","9"),_xlpm.rate,VLOOKUP(_xlpm.dateTxt,'Arz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یافت نشد</v>
      </c>
      <c r="M8" s="117">
        <f t="shared" si="0"/>
        <v>0.5</v>
      </c>
      <c r="N8" s="115" t="str">
        <f t="shared" si="1"/>
        <v>یافت نشد</v>
      </c>
      <c r="O8" s="116"/>
      <c r="P8" s="109"/>
      <c r="Q8" s="109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</row>
    <row r="9" spans="1:30" ht="18" customHeight="1">
      <c r="A9" s="7">
        <v>7</v>
      </c>
      <c r="B9" s="7" t="s">
        <v>103</v>
      </c>
      <c r="C9" s="111" t="s">
        <v>96</v>
      </c>
      <c r="D9" s="111">
        <v>16</v>
      </c>
      <c r="E9" s="112">
        <v>0.25</v>
      </c>
      <c r="F9" s="113" cm="1">
        <f t="array" ref="F9">_xlfn.LET(_xlpm.yr,VALUE(RIGHT($R$2,4)),_xlpm.qName,TRIM(SUBSTITUTE(SUBSTITUTE($R$2,RIGHT($R$2,4),""),"سه ماهه","")),_xlpm.chapNum,D9,_xlpm.shName,C9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7848.6</v>
      </c>
      <c r="G9" s="111" t="s">
        <v>91</v>
      </c>
      <c r="H9" s="111">
        <v>7</v>
      </c>
      <c r="I9" s="112">
        <v>0.1</v>
      </c>
      <c r="J9" s="113" cm="1">
        <f t="array" ref="J9">IF(G9="","",_xlfn.LET(_xlpm.yr,VALUE(RIGHT($R$2,4)),_xlpm.qName,TRIM(SUBSTITUTE(SUBSTITUTE($R$2,RIGHT($R$2,4),""),"سه ماهه","")),_xlpm.chapNum,H9,_xlpm.shName,G9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>9705.5</v>
      </c>
      <c r="K9" s="112" t="s">
        <v>101</v>
      </c>
      <c r="L9" s="114" t="str" cm="1">
        <f t="array" ref="L9">_xlfn.LET(_xlpm.dateTxt,SUBSTITUTE(SUBSTITUTE(SUBSTITUTE(SUBSTITUTE(SUBSTITUTE(SUBSTITUTE(SUBSTITUTE(SUBSTITUTE(SUBSTITUTE(SUBSTITUTE(K9,"۰","0"),"۱","1"),"۲","2"),"۳","3"),"۴","4"),"۵","5"),"۶","6"),"۷","7"),"۸","8"),"۹","9"),_xlpm.rate,VLOOKUP(_xlpm.dateTxt,'Arz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یافت نشد</v>
      </c>
      <c r="M9" s="112">
        <f t="shared" si="0"/>
        <v>0.65</v>
      </c>
      <c r="N9" s="115" t="str">
        <f t="shared" si="1"/>
        <v>یافت نشد</v>
      </c>
      <c r="O9" s="109"/>
      <c r="P9" s="116"/>
      <c r="Q9" s="116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</row>
    <row r="10" spans="1:30" s="9" customFormat="1" ht="18" customHeight="1">
      <c r="A10" s="8">
        <v>8</v>
      </c>
      <c r="B10" s="8" t="s">
        <v>104</v>
      </c>
      <c r="C10" s="111" t="s">
        <v>96</v>
      </c>
      <c r="D10" s="111">
        <v>16</v>
      </c>
      <c r="E10" s="112">
        <v>1</v>
      </c>
      <c r="F10" s="113" cm="1">
        <f t="array" ref="F10">_xlfn.LET(_xlpm.yr,VALUE(RIGHT($R$2,4)),_xlpm.qName,TRIM(SUBSTITUTE(SUBSTITUTE($R$2,RIGHT($R$2,4),""),"سه ماهه","")),_xlpm.chapNum,D10,_xlpm.shName,C10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7848.6</v>
      </c>
      <c r="G10" s="7"/>
      <c r="H10" s="7"/>
      <c r="I10" s="117"/>
      <c r="J10" s="113" t="str" cm="1">
        <f t="array" ref="J10">IF(G10="","",_xlfn.LET(_xlpm.yr,VALUE(RIGHT($R$2,4)),_xlpm.qName,TRIM(SUBSTITUTE(SUBSTITUTE($R$2,RIGHT($R$2,4),""),"سه ماهه","")),_xlpm.chapNum,H10,_xlpm.shName,G10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10" s="117" t="s">
        <v>101</v>
      </c>
      <c r="L10" s="114" t="str" cm="1">
        <f t="array" ref="L10">_xlfn.LET(_xlpm.dateTxt,SUBSTITUTE(SUBSTITUTE(SUBSTITUTE(SUBSTITUTE(SUBSTITUTE(SUBSTITUTE(SUBSTITUTE(SUBSTITUTE(SUBSTITUTE(SUBSTITUTE(K10,"۰","0"),"۱","1"),"۲","2"),"۳","3"),"۴","4"),"۵","5"),"۶","6"),"۷","7"),"۸","8"),"۹","9"),_xlpm.rate,VLOOKUP(_xlpm.dateTxt,'Arz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یافت نشد</v>
      </c>
      <c r="M10" s="117">
        <f t="shared" si="0"/>
        <v>0</v>
      </c>
      <c r="N10" s="115" t="str">
        <f t="shared" si="1"/>
        <v>یافت نشد</v>
      </c>
      <c r="O10" s="116"/>
      <c r="P10" s="109"/>
      <c r="Q10" s="109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</row>
    <row r="11" spans="1:30" ht="18" customHeight="1">
      <c r="A11" s="7">
        <v>9</v>
      </c>
      <c r="B11" s="7" t="s">
        <v>105</v>
      </c>
      <c r="C11" s="111" t="s">
        <v>96</v>
      </c>
      <c r="D11" s="111">
        <v>16</v>
      </c>
      <c r="E11" s="112">
        <v>0.5</v>
      </c>
      <c r="F11" s="113" cm="1">
        <f t="array" ref="F11">_xlfn.LET(_xlpm.yr,VALUE(RIGHT($R$2,4)),_xlpm.qName,TRIM(SUBSTITUTE(SUBSTITUTE($R$2,RIGHT($R$2,4),""),"سه ماهه","")),_xlpm.chapNum,D11,_xlpm.shName,C11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7848.6</v>
      </c>
      <c r="G11" s="7"/>
      <c r="H11" s="7"/>
      <c r="I11" s="112"/>
      <c r="J11" s="113" t="str" cm="1">
        <f t="array" ref="J11">IF(G11="","",_xlfn.LET(_xlpm.yr,VALUE(RIGHT($R$2,4)),_xlpm.qName,TRIM(SUBSTITUTE(SUBSTITUTE($R$2,RIGHT($R$2,4),""),"سه ماهه","")),_xlpm.chapNum,H11,_xlpm.shName,G11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11" s="112" t="s">
        <v>101</v>
      </c>
      <c r="L11" s="114" t="str" cm="1">
        <f t="array" ref="L11">_xlfn.LET(_xlpm.dateTxt,SUBSTITUTE(SUBSTITUTE(SUBSTITUTE(SUBSTITUTE(SUBSTITUTE(SUBSTITUTE(SUBSTITUTE(SUBSTITUTE(SUBSTITUTE(SUBSTITUTE(K11,"۰","0"),"۱","1"),"۲","2"),"۳","3"),"۴","4"),"۵","5"),"۶","6"),"۷","7"),"۸","8"),"۹","9"),_xlpm.rate,VLOOKUP(_xlpm.dateTxt,'Arz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یافت نشد</v>
      </c>
      <c r="M11" s="112">
        <f t="shared" si="0"/>
        <v>0.5</v>
      </c>
      <c r="N11" s="115" t="str">
        <f t="shared" si="1"/>
        <v>یافت نشد</v>
      </c>
      <c r="O11" s="109"/>
      <c r="P11" s="116"/>
      <c r="Q11" s="116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</row>
    <row r="12" spans="1:30" s="9" customFormat="1" ht="18" customHeight="1">
      <c r="A12" s="8">
        <v>10</v>
      </c>
      <c r="B12" s="8" t="s">
        <v>106</v>
      </c>
      <c r="C12" s="111" t="s">
        <v>96</v>
      </c>
      <c r="D12" s="111">
        <v>16</v>
      </c>
      <c r="E12" s="112">
        <v>1</v>
      </c>
      <c r="F12" s="113" cm="1">
        <f t="array" ref="F12">_xlfn.LET(_xlpm.yr,VALUE(RIGHT($R$2,4)),_xlpm.qName,TRIM(SUBSTITUTE(SUBSTITUTE($R$2,RIGHT($R$2,4),""),"سه ماهه","")),_xlpm.chapNum,D12,_xlpm.shName,C12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7848.6</v>
      </c>
      <c r="G12" s="7"/>
      <c r="H12" s="7"/>
      <c r="I12" s="117"/>
      <c r="J12" s="113" t="str" cm="1">
        <f t="array" ref="J12">IF(G12="","",_xlfn.LET(_xlpm.yr,VALUE(RIGHT($R$2,4)),_xlpm.qName,TRIM(SUBSTITUTE(SUBSTITUTE($R$2,RIGHT($R$2,4),""),"سه ماهه","")),_xlpm.chapNum,H12,_xlpm.shName,G12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12" s="117" t="s">
        <v>101</v>
      </c>
      <c r="L12" s="114" t="str" cm="1">
        <f t="array" ref="L12">_xlfn.LET(_xlpm.dateTxt,SUBSTITUTE(SUBSTITUTE(SUBSTITUTE(SUBSTITUTE(SUBSTITUTE(SUBSTITUTE(SUBSTITUTE(SUBSTITUTE(SUBSTITUTE(SUBSTITUTE(K12,"۰","0"),"۱","1"),"۲","2"),"۳","3"),"۴","4"),"۵","5"),"۶","6"),"۷","7"),"۸","8"),"۹","9"),_xlpm.rate,VLOOKUP(_xlpm.dateTxt,'Arz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یافت نشد</v>
      </c>
      <c r="M12" s="117">
        <f t="shared" si="0"/>
        <v>0</v>
      </c>
      <c r="N12" s="115" t="str">
        <f t="shared" si="1"/>
        <v>یافت نشد</v>
      </c>
      <c r="O12" s="116"/>
      <c r="P12" s="109"/>
      <c r="Q12" s="109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</row>
    <row r="13" spans="1:30" ht="18" customHeight="1">
      <c r="A13" s="7">
        <v>11</v>
      </c>
      <c r="B13" s="7" t="s">
        <v>107</v>
      </c>
      <c r="C13" s="111" t="s">
        <v>96</v>
      </c>
      <c r="D13" s="111">
        <v>16</v>
      </c>
      <c r="E13" s="112">
        <v>0.5</v>
      </c>
      <c r="F13" s="113" cm="1">
        <f t="array" ref="F13">_xlfn.LET(_xlpm.yr,VALUE(RIGHT($R$2,4)),_xlpm.qName,TRIM(SUBSTITUTE(SUBSTITUTE($R$2,RIGHT($R$2,4),""),"سه ماهه","")),_xlpm.chapNum,D13,_xlpm.shName,C13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7848.6</v>
      </c>
      <c r="G13" s="7"/>
      <c r="H13" s="7"/>
      <c r="I13" s="112"/>
      <c r="J13" s="113" t="str" cm="1">
        <f t="array" ref="J13">IF(G13="","",_xlfn.LET(_xlpm.yr,VALUE(RIGHT($R$2,4)),_xlpm.qName,TRIM(SUBSTITUTE(SUBSTITUTE($R$2,RIGHT($R$2,4),""),"سه ماهه","")),_xlpm.chapNum,H13,_xlpm.shName,G13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13" s="112" t="s">
        <v>101</v>
      </c>
      <c r="L13" s="114" t="str" cm="1">
        <f t="array" ref="L13">_xlfn.LET(_xlpm.dateTxt,SUBSTITUTE(SUBSTITUTE(SUBSTITUTE(SUBSTITUTE(SUBSTITUTE(SUBSTITUTE(SUBSTITUTE(SUBSTITUTE(SUBSTITUTE(SUBSTITUTE(K13,"۰","0"),"۱","1"),"۲","2"),"۳","3"),"۴","4"),"۵","5"),"۶","6"),"۷","7"),"۸","8"),"۹","9"),_xlpm.rate,VLOOKUP(_xlpm.dateTxt,'Arz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یافت نشد</v>
      </c>
      <c r="M13" s="112">
        <f t="shared" si="0"/>
        <v>0.5</v>
      </c>
      <c r="N13" s="115" t="str">
        <f t="shared" si="1"/>
        <v>یافت نشد</v>
      </c>
      <c r="O13" s="109"/>
      <c r="P13" s="116"/>
      <c r="Q13" s="116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</row>
    <row r="14" spans="1:30" s="9" customFormat="1" ht="18" customHeight="1">
      <c r="A14" s="8">
        <v>12</v>
      </c>
      <c r="B14" s="8" t="s">
        <v>108</v>
      </c>
      <c r="C14" s="111" t="s">
        <v>96</v>
      </c>
      <c r="D14" s="111">
        <v>16</v>
      </c>
      <c r="E14" s="112">
        <v>0.5</v>
      </c>
      <c r="F14" s="113" cm="1">
        <f t="array" ref="F14">_xlfn.LET(_xlpm.yr,VALUE(RIGHT($R$2,4)),_xlpm.qName,TRIM(SUBSTITUTE(SUBSTITUTE($R$2,RIGHT($R$2,4),""),"سه ماهه","")),_xlpm.chapNum,D14,_xlpm.shName,C14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7848.6</v>
      </c>
      <c r="G14" s="111" t="s">
        <v>91</v>
      </c>
      <c r="H14" s="111">
        <v>24</v>
      </c>
      <c r="I14" s="117">
        <v>0.5</v>
      </c>
      <c r="J14" s="113" cm="1">
        <f t="array" ref="J14">IF(G14="","",_xlfn.LET(_xlpm.yr,VALUE(RIGHT($R$2,4)),_xlpm.qName,TRIM(SUBSTITUTE(SUBSTITUTE($R$2,RIGHT($R$2,4),""),"سه ماهه","")),_xlpm.chapNum,H14,_xlpm.shName,G14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>6186.2</v>
      </c>
      <c r="K14" s="117" t="s">
        <v>101</v>
      </c>
      <c r="L14" s="114" t="str" cm="1">
        <f t="array" ref="L14">_xlfn.LET(_xlpm.dateTxt,SUBSTITUTE(SUBSTITUTE(SUBSTITUTE(SUBSTITUTE(SUBSTITUTE(SUBSTITUTE(SUBSTITUTE(SUBSTITUTE(SUBSTITUTE(SUBSTITUTE(K14,"۰","0"),"۱","1"),"۲","2"),"۳","3"),"۴","4"),"۵","5"),"۶","6"),"۷","7"),"۸","8"),"۹","9"),_xlpm.rate,VLOOKUP(_xlpm.dateTxt,'Arz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یافت نشد</v>
      </c>
      <c r="M14" s="117">
        <f t="shared" si="0"/>
        <v>0</v>
      </c>
      <c r="N14" s="115" t="str">
        <f t="shared" si="1"/>
        <v>یافت نشد</v>
      </c>
      <c r="O14" s="116"/>
      <c r="P14" s="109"/>
      <c r="Q14" s="109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</row>
    <row r="15" spans="1:30" ht="18" customHeight="1">
      <c r="A15" s="7">
        <v>13</v>
      </c>
      <c r="B15" s="7" t="s">
        <v>109</v>
      </c>
      <c r="C15" s="111" t="s">
        <v>96</v>
      </c>
      <c r="D15" s="111">
        <v>16</v>
      </c>
      <c r="E15" s="112">
        <v>0.25</v>
      </c>
      <c r="F15" s="113" cm="1">
        <f t="array" ref="F15">_xlfn.LET(_xlpm.yr,VALUE(RIGHT($R$2,4)),_xlpm.qName,TRIM(SUBSTITUTE(SUBSTITUTE($R$2,RIGHT($R$2,4),""),"سه ماهه","")),_xlpm.chapNum,D15,_xlpm.shName,C15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7848.6</v>
      </c>
      <c r="G15" s="111" t="s">
        <v>91</v>
      </c>
      <c r="H15" s="111">
        <v>24</v>
      </c>
      <c r="I15" s="112">
        <v>0.25</v>
      </c>
      <c r="J15" s="113" cm="1">
        <f t="array" ref="J15">IF(G15="","",_xlfn.LET(_xlpm.yr,VALUE(RIGHT($R$2,4)),_xlpm.qName,TRIM(SUBSTITUTE(SUBSTITUTE($R$2,RIGHT($R$2,4),""),"سه ماهه","")),_xlpm.chapNum,H15,_xlpm.shName,G15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>6186.2</v>
      </c>
      <c r="K15" s="112" t="s">
        <v>101</v>
      </c>
      <c r="L15" s="114" t="str" cm="1">
        <f t="array" ref="L15">_xlfn.LET(_xlpm.dateTxt,SUBSTITUTE(SUBSTITUTE(SUBSTITUTE(SUBSTITUTE(SUBSTITUTE(SUBSTITUTE(SUBSTITUTE(SUBSTITUTE(SUBSTITUTE(SUBSTITUTE(K15,"۰","0"),"۱","1"),"۲","2"),"۳","3"),"۴","4"),"۵","5"),"۶","6"),"۷","7"),"۸","8"),"۹","9"),_xlpm.rate,VLOOKUP(_xlpm.dateTxt,'Arz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یافت نشد</v>
      </c>
      <c r="M15" s="112">
        <f t="shared" si="0"/>
        <v>0.5</v>
      </c>
      <c r="N15" s="115" t="str">
        <f t="shared" si="1"/>
        <v>یافت نشد</v>
      </c>
      <c r="O15" s="109"/>
      <c r="P15" s="116"/>
      <c r="Q15" s="116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</row>
    <row r="16" spans="1:30" s="9" customFormat="1" ht="18" customHeight="1">
      <c r="A16" s="8">
        <v>14</v>
      </c>
      <c r="B16" s="8" t="s">
        <v>110</v>
      </c>
      <c r="C16" s="111" t="s">
        <v>96</v>
      </c>
      <c r="D16" s="111">
        <v>16</v>
      </c>
      <c r="E16" s="112">
        <v>0.5</v>
      </c>
      <c r="F16" s="113" cm="1">
        <f t="array" ref="F16">_xlfn.LET(_xlpm.yr,VALUE(RIGHT($R$2,4)),_xlpm.qName,TRIM(SUBSTITUTE(SUBSTITUTE($R$2,RIGHT($R$2,4),""),"سه ماهه","")),_xlpm.chapNum,D16,_xlpm.shName,C16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7848.6</v>
      </c>
      <c r="G16" s="111" t="s">
        <v>91</v>
      </c>
      <c r="H16" s="111">
        <v>24</v>
      </c>
      <c r="I16" s="117">
        <v>0.5</v>
      </c>
      <c r="J16" s="113" cm="1">
        <f t="array" ref="J16">IF(G16="","",_xlfn.LET(_xlpm.yr,VALUE(RIGHT($R$2,4)),_xlpm.qName,TRIM(SUBSTITUTE(SUBSTITUTE($R$2,RIGHT($R$2,4),""),"سه ماهه","")),_xlpm.chapNum,H16,_xlpm.shName,G16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>6186.2</v>
      </c>
      <c r="K16" s="117" t="s">
        <v>101</v>
      </c>
      <c r="L16" s="114" t="str" cm="1">
        <f t="array" ref="L16">_xlfn.LET(_xlpm.dateTxt,SUBSTITUTE(SUBSTITUTE(SUBSTITUTE(SUBSTITUTE(SUBSTITUTE(SUBSTITUTE(SUBSTITUTE(SUBSTITUTE(SUBSTITUTE(SUBSTITUTE(K16,"۰","0"),"۱","1"),"۲","2"),"۳","3"),"۴","4"),"۵","5"),"۶","6"),"۷","7"),"۸","8"),"۹","9"),_xlpm.rate,VLOOKUP(_xlpm.dateTxt,'Arz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یافت نشد</v>
      </c>
      <c r="M16" s="117">
        <f t="shared" si="0"/>
        <v>0</v>
      </c>
      <c r="N16" s="115" t="str">
        <f t="shared" si="1"/>
        <v>یافت نشد</v>
      </c>
      <c r="O16" s="116"/>
      <c r="P16" s="109"/>
      <c r="Q16" s="109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</row>
    <row r="17" spans="1:29" ht="18" customHeight="1">
      <c r="A17" s="7">
        <v>15</v>
      </c>
      <c r="B17" s="7" t="s">
        <v>111</v>
      </c>
      <c r="C17" s="111" t="s">
        <v>96</v>
      </c>
      <c r="D17" s="111">
        <v>16</v>
      </c>
      <c r="E17" s="112">
        <v>0.25</v>
      </c>
      <c r="F17" s="113" cm="1">
        <f t="array" ref="F17">_xlfn.LET(_xlpm.yr,VALUE(RIGHT($R$2,4)),_xlpm.qName,TRIM(SUBSTITUTE(SUBSTITUTE($R$2,RIGHT($R$2,4),""),"سه ماهه","")),_xlpm.chapNum,D17,_xlpm.shName,C17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7848.6</v>
      </c>
      <c r="G17" s="111" t="s">
        <v>91</v>
      </c>
      <c r="H17" s="111">
        <v>24</v>
      </c>
      <c r="I17" s="112">
        <v>0.25</v>
      </c>
      <c r="J17" s="113" cm="1">
        <f t="array" ref="J17">IF(G17="","",_xlfn.LET(_xlpm.yr,VALUE(RIGHT($R$2,4)),_xlpm.qName,TRIM(SUBSTITUTE(SUBSTITUTE($R$2,RIGHT($R$2,4),""),"سه ماهه","")),_xlpm.chapNum,H17,_xlpm.shName,G17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>6186.2</v>
      </c>
      <c r="K17" s="112" t="s">
        <v>101</v>
      </c>
      <c r="L17" s="114" t="str" cm="1">
        <f t="array" ref="L17">_xlfn.LET(_xlpm.dateTxt,SUBSTITUTE(SUBSTITUTE(SUBSTITUTE(SUBSTITUTE(SUBSTITUTE(SUBSTITUTE(SUBSTITUTE(SUBSTITUTE(SUBSTITUTE(SUBSTITUTE(K17,"۰","0"),"۱","1"),"۲","2"),"۳","3"),"۴","4"),"۵","5"),"۶","6"),"۷","7"),"۸","8"),"۹","9"),_xlpm.rate,VLOOKUP(_xlpm.dateTxt,'Arz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یافت نشد</v>
      </c>
      <c r="M17" s="112">
        <f t="shared" si="0"/>
        <v>0.5</v>
      </c>
      <c r="N17" s="115" t="str">
        <f t="shared" si="1"/>
        <v>یافت نشد</v>
      </c>
      <c r="O17" s="109"/>
      <c r="P17" s="116"/>
      <c r="Q17" s="116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</row>
    <row r="18" spans="1:29" s="9" customFormat="1" ht="18" customHeight="1">
      <c r="A18" s="8">
        <v>16</v>
      </c>
      <c r="B18" s="8" t="s">
        <v>112</v>
      </c>
      <c r="C18" s="111" t="s">
        <v>96</v>
      </c>
      <c r="D18" s="111">
        <v>16</v>
      </c>
      <c r="E18" s="112">
        <v>0.25</v>
      </c>
      <c r="F18" s="113" cm="1">
        <f t="array" ref="F18">_xlfn.LET(_xlpm.yr,VALUE(RIGHT($R$2,4)),_xlpm.qName,TRIM(SUBSTITUTE(SUBSTITUTE($R$2,RIGHT($R$2,4),""),"سه ماهه","")),_xlpm.chapNum,D18,_xlpm.shName,C18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7848.6</v>
      </c>
      <c r="G18" s="111" t="s">
        <v>91</v>
      </c>
      <c r="H18" s="111">
        <v>24</v>
      </c>
      <c r="I18" s="117">
        <v>0.25</v>
      </c>
      <c r="J18" s="113" cm="1">
        <f t="array" ref="J18">IF(G18="","",_xlfn.LET(_xlpm.yr,VALUE(RIGHT($R$2,4)),_xlpm.qName,TRIM(SUBSTITUTE(SUBSTITUTE($R$2,RIGHT($R$2,4),""),"سه ماهه","")),_xlpm.chapNum,H18,_xlpm.shName,G18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>6186.2</v>
      </c>
      <c r="K18" s="117" t="s">
        <v>101</v>
      </c>
      <c r="L18" s="114" t="str" cm="1">
        <f t="array" ref="L18">_xlfn.LET(_xlpm.dateTxt,SUBSTITUTE(SUBSTITUTE(SUBSTITUTE(SUBSTITUTE(SUBSTITUTE(SUBSTITUTE(SUBSTITUTE(SUBSTITUTE(SUBSTITUTE(SUBSTITUTE(K18,"۰","0"),"۱","1"),"۲","2"),"۳","3"),"۴","4"),"۵","5"),"۶","6"),"۷","7"),"۸","8"),"۹","9"),_xlpm.rate,VLOOKUP(_xlpm.dateTxt,'Arz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یافت نشد</v>
      </c>
      <c r="M18" s="117">
        <f t="shared" si="0"/>
        <v>0.5</v>
      </c>
      <c r="N18" s="115" t="str">
        <f t="shared" si="1"/>
        <v>یافت نشد</v>
      </c>
      <c r="O18" s="116"/>
      <c r="P18" s="109"/>
      <c r="Q18" s="109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</row>
    <row r="19" spans="1:29" ht="18" customHeight="1">
      <c r="A19" s="7">
        <v>17</v>
      </c>
      <c r="B19" s="7" t="s">
        <v>113</v>
      </c>
      <c r="C19" s="111" t="s">
        <v>96</v>
      </c>
      <c r="D19" s="111">
        <v>16</v>
      </c>
      <c r="E19" s="112">
        <v>0.15</v>
      </c>
      <c r="F19" s="113" cm="1">
        <f t="array" ref="F19">_xlfn.LET(_xlpm.yr,VALUE(RIGHT($R$2,4)),_xlpm.qName,TRIM(SUBSTITUTE(SUBSTITUTE($R$2,RIGHT($R$2,4),""),"سه ماهه","")),_xlpm.chapNum,D19,_xlpm.shName,C19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7848.6</v>
      </c>
      <c r="G19" s="111" t="s">
        <v>91</v>
      </c>
      <c r="H19" s="111">
        <v>24</v>
      </c>
      <c r="I19" s="112">
        <v>0.15</v>
      </c>
      <c r="J19" s="113" cm="1">
        <f t="array" ref="J19">IF(G19="","",_xlfn.LET(_xlpm.yr,VALUE(RIGHT($R$2,4)),_xlpm.qName,TRIM(SUBSTITUTE(SUBSTITUTE($R$2,RIGHT($R$2,4),""),"سه ماهه","")),_xlpm.chapNum,H19,_xlpm.shName,G19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>6186.2</v>
      </c>
      <c r="K19" s="112" t="s">
        <v>101</v>
      </c>
      <c r="L19" s="114" t="str" cm="1">
        <f t="array" ref="L19">_xlfn.LET(_xlpm.dateTxt,SUBSTITUTE(SUBSTITUTE(SUBSTITUTE(SUBSTITUTE(SUBSTITUTE(SUBSTITUTE(SUBSTITUTE(SUBSTITUTE(SUBSTITUTE(SUBSTITUTE(K19,"۰","0"),"۱","1"),"۲","2"),"۳","3"),"۴","4"),"۵","5"),"۶","6"),"۷","7"),"۸","8"),"۹","9"),_xlpm.rate,VLOOKUP(_xlpm.dateTxt,'Arz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یافت نشد</v>
      </c>
      <c r="M19" s="112">
        <f t="shared" si="0"/>
        <v>0.7</v>
      </c>
      <c r="N19" s="115" t="str">
        <f t="shared" si="1"/>
        <v>یافت نشد</v>
      </c>
      <c r="O19" s="109"/>
      <c r="P19" s="116"/>
      <c r="Q19" s="116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</row>
    <row r="20" spans="1:29" s="9" customFormat="1" ht="18" customHeight="1">
      <c r="A20" s="8">
        <v>18</v>
      </c>
      <c r="B20" s="8" t="s">
        <v>114</v>
      </c>
      <c r="C20" s="111" t="s">
        <v>96</v>
      </c>
      <c r="D20" s="111">
        <v>16</v>
      </c>
      <c r="E20" s="112">
        <v>1</v>
      </c>
      <c r="F20" s="113" cm="1">
        <f t="array" ref="F20">_xlfn.LET(_xlpm.yr,VALUE(RIGHT($R$2,4)),_xlpm.qName,TRIM(SUBSTITUTE(SUBSTITUTE($R$2,RIGHT($R$2,4),""),"سه ماهه","")),_xlpm.chapNum,D20,_xlpm.shName,C20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>7848.6</v>
      </c>
      <c r="G20" s="7"/>
      <c r="H20" s="7"/>
      <c r="I20" s="117"/>
      <c r="J20" s="113" t="str" cm="1">
        <f t="array" ref="J20">IF(G20="","",_xlfn.LET(_xlpm.yr,VALUE(RIGHT($R$2,4)),_xlpm.qName,TRIM(SUBSTITUTE(SUBSTITUTE($R$2,RIGHT($R$2,4),""),"سه ماهه","")),_xlpm.chapNum,H20,_xlpm.shName,G20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20" s="117" t="s">
        <v>101</v>
      </c>
      <c r="L20" s="114" t="str" cm="1">
        <f t="array" ref="L20">_xlfn.LET(_xlpm.dateTxt,SUBSTITUTE(SUBSTITUTE(SUBSTITUTE(SUBSTITUTE(SUBSTITUTE(SUBSTITUTE(SUBSTITUTE(SUBSTITUTE(SUBSTITUTE(SUBSTITUTE(K20,"۰","0"),"۱","1"),"۲","2"),"۳","3"),"۴","4"),"۵","5"),"۶","6"),"۷","7"),"۸","8"),"۹","9"),_xlpm.rate,VLOOKUP(_xlpm.dateTxt,'Arz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>یافت نشد</v>
      </c>
      <c r="M20" s="117">
        <f t="shared" si="0"/>
        <v>0</v>
      </c>
      <c r="N20" s="115" t="str">
        <f t="shared" si="1"/>
        <v>یافت نشد</v>
      </c>
      <c r="O20" s="116"/>
      <c r="P20" s="109"/>
      <c r="Q20" s="109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</row>
    <row r="21" spans="1:29" ht="18" customHeight="1">
      <c r="A21" s="7">
        <v>19</v>
      </c>
      <c r="B21" s="7" t="s">
        <v>115</v>
      </c>
      <c r="C21" s="111" t="s">
        <v>96</v>
      </c>
      <c r="D21" s="111">
        <v>16</v>
      </c>
      <c r="E21" s="112">
        <v>0.3</v>
      </c>
      <c r="F21" s="113" t="s">
        <v>116</v>
      </c>
      <c r="G21" s="7"/>
      <c r="H21" s="7"/>
      <c r="I21" s="112"/>
      <c r="J21" s="113"/>
      <c r="K21" s="112" t="s">
        <v>101</v>
      </c>
      <c r="L21" s="114" t="s">
        <v>117</v>
      </c>
      <c r="M21" s="112">
        <f t="shared" si="0"/>
        <v>0.7</v>
      </c>
      <c r="N21" s="115" t="s">
        <v>117</v>
      </c>
      <c r="O21" s="109"/>
      <c r="P21" s="116"/>
      <c r="Q21" s="116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</row>
    <row r="22" spans="1:29" s="9" customFormat="1" ht="18" customHeight="1">
      <c r="A22" s="8">
        <v>20</v>
      </c>
      <c r="B22" s="8" t="s">
        <v>118</v>
      </c>
      <c r="C22" s="111" t="s">
        <v>96</v>
      </c>
      <c r="D22" s="111">
        <v>23</v>
      </c>
      <c r="E22" s="112">
        <v>1</v>
      </c>
      <c r="F22" s="113" t="s">
        <v>116</v>
      </c>
      <c r="G22" s="7"/>
      <c r="H22" s="7"/>
      <c r="I22" s="117"/>
      <c r="J22" s="118"/>
      <c r="K22" s="117" t="s">
        <v>101</v>
      </c>
      <c r="L22" s="119" t="s">
        <v>117</v>
      </c>
      <c r="M22" s="117">
        <f t="shared" si="0"/>
        <v>0</v>
      </c>
      <c r="N22" s="120" t="s">
        <v>117</v>
      </c>
      <c r="O22" s="116"/>
      <c r="P22" s="109"/>
      <c r="Q22" s="109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</row>
    <row r="23" spans="1:29" ht="18" customHeight="1">
      <c r="A23" s="7">
        <v>21</v>
      </c>
      <c r="B23" s="7" t="s">
        <v>119</v>
      </c>
      <c r="C23" s="111" t="s">
        <v>96</v>
      </c>
      <c r="D23" s="111">
        <v>16</v>
      </c>
      <c r="E23" s="112">
        <v>0.7</v>
      </c>
      <c r="F23" s="113" t="s">
        <v>116</v>
      </c>
      <c r="G23" s="7"/>
      <c r="H23" s="7"/>
      <c r="I23" s="112"/>
      <c r="J23" s="113"/>
      <c r="K23" s="112" t="s">
        <v>101</v>
      </c>
      <c r="L23" s="114" t="s">
        <v>117</v>
      </c>
      <c r="M23" s="112">
        <f t="shared" si="0"/>
        <v>0.30000000000000004</v>
      </c>
      <c r="N23" s="115" t="s">
        <v>117</v>
      </c>
      <c r="O23" s="109"/>
      <c r="P23" s="116"/>
      <c r="Q23" s="116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</row>
    <row r="24" spans="1:29" s="9" customFormat="1" ht="18" customHeight="1">
      <c r="A24" s="8">
        <v>22</v>
      </c>
      <c r="B24" s="8" t="s">
        <v>120</v>
      </c>
      <c r="C24" s="111" t="s">
        <v>96</v>
      </c>
      <c r="D24" s="111">
        <v>16</v>
      </c>
      <c r="E24" s="112">
        <v>0.3</v>
      </c>
      <c r="F24" s="113" t="s">
        <v>116</v>
      </c>
      <c r="G24" s="7"/>
      <c r="H24" s="7"/>
      <c r="I24" s="117"/>
      <c r="J24" s="118"/>
      <c r="K24" s="117" t="s">
        <v>101</v>
      </c>
      <c r="L24" s="119" t="s">
        <v>117</v>
      </c>
      <c r="M24" s="117">
        <f t="shared" si="0"/>
        <v>0.7</v>
      </c>
      <c r="N24" s="120" t="s">
        <v>117</v>
      </c>
      <c r="O24" s="116"/>
      <c r="P24" s="109"/>
      <c r="Q24" s="109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</row>
    <row r="25" spans="1:29" ht="18" customHeight="1">
      <c r="A25" s="7">
        <v>23</v>
      </c>
      <c r="B25" s="7" t="s">
        <v>121</v>
      </c>
      <c r="C25" s="111" t="s">
        <v>96</v>
      </c>
      <c r="D25" s="111">
        <v>16</v>
      </c>
      <c r="E25" s="112">
        <v>0.65</v>
      </c>
      <c r="F25" s="113" t="s">
        <v>116</v>
      </c>
      <c r="G25" s="7"/>
      <c r="H25" s="7"/>
      <c r="I25" s="112"/>
      <c r="J25" s="113"/>
      <c r="K25" s="112" t="s">
        <v>101</v>
      </c>
      <c r="L25" s="114" t="s">
        <v>117</v>
      </c>
      <c r="M25" s="112">
        <f t="shared" si="0"/>
        <v>0.35</v>
      </c>
      <c r="N25" s="115" t="s">
        <v>117</v>
      </c>
      <c r="O25" s="109"/>
      <c r="P25" s="116"/>
      <c r="Q25" s="116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</row>
    <row r="26" spans="1:29" s="9" customFormat="1" ht="18" customHeight="1">
      <c r="A26" s="8">
        <v>24</v>
      </c>
      <c r="B26" s="8" t="s">
        <v>122</v>
      </c>
      <c r="C26" s="111" t="s">
        <v>96</v>
      </c>
      <c r="D26" s="111">
        <v>16</v>
      </c>
      <c r="E26" s="112">
        <v>0.75</v>
      </c>
      <c r="F26" s="113" t="s">
        <v>116</v>
      </c>
      <c r="G26" s="111" t="s">
        <v>91</v>
      </c>
      <c r="H26" s="111">
        <v>24</v>
      </c>
      <c r="I26" s="117">
        <v>0.25</v>
      </c>
      <c r="J26" s="118" t="s">
        <v>116</v>
      </c>
      <c r="K26" s="117" t="s">
        <v>101</v>
      </c>
      <c r="L26" s="119" t="s">
        <v>117</v>
      </c>
      <c r="M26" s="117">
        <f t="shared" si="0"/>
        <v>0</v>
      </c>
      <c r="N26" s="120" t="s">
        <v>117</v>
      </c>
      <c r="O26" s="116"/>
      <c r="P26" s="109"/>
      <c r="Q26" s="109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</row>
    <row r="27" spans="1:29" ht="18" customHeight="1">
      <c r="A27" s="7">
        <v>25</v>
      </c>
      <c r="B27" s="7" t="s">
        <v>123</v>
      </c>
      <c r="C27" s="111" t="s">
        <v>96</v>
      </c>
      <c r="D27" s="111">
        <v>16</v>
      </c>
      <c r="E27" s="112">
        <v>0.45</v>
      </c>
      <c r="F27" s="113" t="s">
        <v>116</v>
      </c>
      <c r="G27" s="111" t="s">
        <v>91</v>
      </c>
      <c r="H27" s="111">
        <v>24</v>
      </c>
      <c r="I27" s="112">
        <v>0.25</v>
      </c>
      <c r="J27" s="113" t="s">
        <v>116</v>
      </c>
      <c r="K27" s="112" t="s">
        <v>101</v>
      </c>
      <c r="L27" s="114" t="s">
        <v>117</v>
      </c>
      <c r="M27" s="112">
        <f t="shared" si="0"/>
        <v>0.30000000000000004</v>
      </c>
      <c r="N27" s="115" t="s">
        <v>117</v>
      </c>
      <c r="O27" s="109"/>
      <c r="P27" s="116"/>
      <c r="Q27" s="116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</row>
    <row r="28" spans="1:29" s="9" customFormat="1" ht="18" customHeight="1">
      <c r="A28" s="8">
        <v>26</v>
      </c>
      <c r="B28" s="8" t="s">
        <v>124</v>
      </c>
      <c r="C28" s="111" t="s">
        <v>91</v>
      </c>
      <c r="D28" s="111">
        <v>24</v>
      </c>
      <c r="E28" s="112">
        <v>0.25</v>
      </c>
      <c r="F28" s="113" t="s">
        <v>116</v>
      </c>
      <c r="G28" s="7"/>
      <c r="H28" s="7"/>
      <c r="I28" s="117"/>
      <c r="J28" s="118"/>
      <c r="K28" s="117" t="s">
        <v>101</v>
      </c>
      <c r="L28" s="119" t="s">
        <v>117</v>
      </c>
      <c r="M28" s="117">
        <f t="shared" si="0"/>
        <v>0.75</v>
      </c>
      <c r="N28" s="120" t="s">
        <v>117</v>
      </c>
      <c r="O28" s="116"/>
      <c r="P28" s="109"/>
      <c r="Q28" s="109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</row>
    <row r="29" spans="1:29" ht="18" customHeight="1">
      <c r="A29" s="7">
        <v>27</v>
      </c>
      <c r="B29" s="7" t="s">
        <v>125</v>
      </c>
      <c r="C29" s="111" t="s">
        <v>96</v>
      </c>
      <c r="D29" s="111">
        <v>16</v>
      </c>
      <c r="E29" s="112">
        <v>1</v>
      </c>
      <c r="F29" s="113" t="s">
        <v>116</v>
      </c>
      <c r="G29" s="7"/>
      <c r="H29" s="7"/>
      <c r="I29" s="112"/>
      <c r="J29" s="113"/>
      <c r="K29" s="112" t="s">
        <v>101</v>
      </c>
      <c r="L29" s="114" t="s">
        <v>117</v>
      </c>
      <c r="M29" s="112">
        <f t="shared" si="0"/>
        <v>0</v>
      </c>
      <c r="N29" s="115" t="s">
        <v>117</v>
      </c>
      <c r="O29" s="109"/>
      <c r="P29" s="116"/>
      <c r="Q29" s="116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</row>
    <row r="30" spans="1:29" s="9" customFormat="1" ht="18" customHeight="1">
      <c r="A30" s="8">
        <v>28</v>
      </c>
      <c r="B30" s="8" t="s">
        <v>126</v>
      </c>
      <c r="C30" s="111" t="s">
        <v>96</v>
      </c>
      <c r="D30" s="111">
        <v>23</v>
      </c>
      <c r="E30" s="112">
        <v>1</v>
      </c>
      <c r="F30" s="113" t="s">
        <v>116</v>
      </c>
      <c r="G30" s="7"/>
      <c r="H30" s="7"/>
      <c r="I30" s="117"/>
      <c r="J30" s="118"/>
      <c r="K30" s="117" t="s">
        <v>101</v>
      </c>
      <c r="L30" s="119" t="s">
        <v>117</v>
      </c>
      <c r="M30" s="117">
        <f t="shared" si="0"/>
        <v>0</v>
      </c>
      <c r="N30" s="120" t="s">
        <v>117</v>
      </c>
      <c r="O30" s="116"/>
      <c r="P30" s="109"/>
      <c r="Q30" s="109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</row>
    <row r="31" spans="1:29" ht="18" customHeight="1">
      <c r="A31" s="7">
        <v>29</v>
      </c>
      <c r="B31" s="7" t="s">
        <v>127</v>
      </c>
      <c r="C31" s="111" t="s">
        <v>96</v>
      </c>
      <c r="D31" s="111">
        <v>16</v>
      </c>
      <c r="E31" s="112">
        <v>0.3</v>
      </c>
      <c r="F31" s="113" t="s">
        <v>116</v>
      </c>
      <c r="G31" s="7"/>
      <c r="H31" s="7"/>
      <c r="I31" s="112"/>
      <c r="J31" s="113"/>
      <c r="K31" s="112" t="s">
        <v>101</v>
      </c>
      <c r="L31" s="114" t="s">
        <v>117</v>
      </c>
      <c r="M31" s="112">
        <f t="shared" si="0"/>
        <v>0.7</v>
      </c>
      <c r="N31" s="115" t="s">
        <v>117</v>
      </c>
      <c r="O31" s="109"/>
      <c r="P31" s="116"/>
      <c r="Q31" s="116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</row>
    <row r="32" spans="1:29" s="9" customFormat="1" ht="18" customHeight="1">
      <c r="A32" s="8">
        <v>30</v>
      </c>
      <c r="B32" s="8" t="s">
        <v>128</v>
      </c>
      <c r="C32" s="111" t="s">
        <v>96</v>
      </c>
      <c r="D32" s="111">
        <v>16</v>
      </c>
      <c r="E32" s="112">
        <v>1</v>
      </c>
      <c r="F32" s="113" t="s">
        <v>116</v>
      </c>
      <c r="G32" s="7"/>
      <c r="H32" s="7"/>
      <c r="I32" s="117"/>
      <c r="J32" s="118"/>
      <c r="K32" s="117" t="s">
        <v>101</v>
      </c>
      <c r="L32" s="119" t="s">
        <v>117</v>
      </c>
      <c r="M32" s="117">
        <f t="shared" si="0"/>
        <v>0</v>
      </c>
      <c r="N32" s="120" t="s">
        <v>117</v>
      </c>
      <c r="O32" s="116"/>
      <c r="P32" s="109"/>
      <c r="Q32" s="109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</row>
    <row r="33" spans="1:29" ht="18" customHeight="1">
      <c r="A33" s="7">
        <v>31</v>
      </c>
      <c r="B33" s="7" t="s">
        <v>129</v>
      </c>
      <c r="C33" s="111" t="s">
        <v>96</v>
      </c>
      <c r="D33" s="111">
        <v>16</v>
      </c>
      <c r="E33" s="112">
        <v>0.25</v>
      </c>
      <c r="F33" s="113" t="s">
        <v>116</v>
      </c>
      <c r="G33" s="7"/>
      <c r="H33" s="7"/>
      <c r="I33" s="112"/>
      <c r="J33" s="113"/>
      <c r="K33" s="112" t="s">
        <v>101</v>
      </c>
      <c r="L33" s="114" t="s">
        <v>117</v>
      </c>
      <c r="M33" s="112">
        <f t="shared" si="0"/>
        <v>0.75</v>
      </c>
      <c r="N33" s="115" t="s">
        <v>117</v>
      </c>
      <c r="O33" s="109"/>
      <c r="P33" s="116"/>
      <c r="Q33" s="116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</row>
    <row r="34" spans="1:29" s="9" customFormat="1" ht="18" customHeight="1">
      <c r="A34" s="8">
        <v>32</v>
      </c>
      <c r="B34" s="8" t="s">
        <v>130</v>
      </c>
      <c r="C34" s="111" t="s">
        <v>96</v>
      </c>
      <c r="D34" s="111">
        <v>17</v>
      </c>
      <c r="E34" s="112">
        <v>1</v>
      </c>
      <c r="F34" s="113" t="s">
        <v>116</v>
      </c>
      <c r="G34" s="7"/>
      <c r="H34" s="7"/>
      <c r="I34" s="117"/>
      <c r="J34" s="118"/>
      <c r="K34" s="117" t="s">
        <v>101</v>
      </c>
      <c r="L34" s="119" t="s">
        <v>117</v>
      </c>
      <c r="M34" s="117">
        <f t="shared" si="0"/>
        <v>0</v>
      </c>
      <c r="N34" s="120" t="s">
        <v>117</v>
      </c>
      <c r="O34" s="116"/>
      <c r="P34" s="109"/>
      <c r="Q34" s="109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</row>
    <row r="35" spans="1:29" ht="18" customHeight="1">
      <c r="A35" s="7">
        <v>33</v>
      </c>
      <c r="B35" s="7" t="s">
        <v>131</v>
      </c>
      <c r="C35" s="111" t="s">
        <v>96</v>
      </c>
      <c r="D35" s="111">
        <v>23</v>
      </c>
      <c r="E35" s="112">
        <v>1</v>
      </c>
      <c r="F35" s="113" t="s">
        <v>116</v>
      </c>
      <c r="G35" s="7"/>
      <c r="H35" s="7"/>
      <c r="I35" s="112"/>
      <c r="J35" s="113"/>
      <c r="K35" s="112" t="s">
        <v>101</v>
      </c>
      <c r="L35" s="114" t="s">
        <v>117</v>
      </c>
      <c r="M35" s="112">
        <f t="shared" ref="M35:M66" si="2">1-(E35+I35)</f>
        <v>0</v>
      </c>
      <c r="N35" s="115" t="s">
        <v>117</v>
      </c>
      <c r="O35" s="109"/>
      <c r="P35" s="116"/>
      <c r="Q35" s="116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</row>
    <row r="36" spans="1:29" s="9" customFormat="1" ht="18" customHeight="1">
      <c r="A36" s="8">
        <v>34</v>
      </c>
      <c r="B36" s="8" t="s">
        <v>132</v>
      </c>
      <c r="C36" s="111" t="s">
        <v>91</v>
      </c>
      <c r="D36" s="111">
        <v>1</v>
      </c>
      <c r="E36" s="112">
        <v>1</v>
      </c>
      <c r="F36" s="113" t="s">
        <v>133</v>
      </c>
      <c r="G36" s="7"/>
      <c r="H36" s="7"/>
      <c r="I36" s="117"/>
      <c r="J36" s="118"/>
      <c r="K36" s="117" t="s">
        <v>101</v>
      </c>
      <c r="L36" s="119" t="s">
        <v>117</v>
      </c>
      <c r="M36" s="117">
        <f t="shared" si="2"/>
        <v>0</v>
      </c>
      <c r="N36" s="120" t="s">
        <v>117</v>
      </c>
      <c r="O36" s="116"/>
      <c r="P36" s="109"/>
      <c r="Q36" s="109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</row>
    <row r="37" spans="1:29" ht="18" customHeight="1">
      <c r="A37" s="7">
        <v>35</v>
      </c>
      <c r="B37" s="7" t="s">
        <v>134</v>
      </c>
      <c r="C37" s="111" t="s">
        <v>91</v>
      </c>
      <c r="D37" s="111">
        <v>1</v>
      </c>
      <c r="E37" s="112">
        <v>0.3</v>
      </c>
      <c r="F37" s="113" t="s">
        <v>133</v>
      </c>
      <c r="G37" s="7"/>
      <c r="H37" s="7"/>
      <c r="I37" s="112"/>
      <c r="J37" s="113"/>
      <c r="K37" s="112" t="s">
        <v>101</v>
      </c>
      <c r="L37" s="114" t="s">
        <v>117</v>
      </c>
      <c r="M37" s="112">
        <f t="shared" si="2"/>
        <v>0.7</v>
      </c>
      <c r="N37" s="115" t="s">
        <v>117</v>
      </c>
      <c r="O37" s="109"/>
      <c r="P37" s="116"/>
      <c r="Q37" s="116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</row>
    <row r="38" spans="1:29" s="9" customFormat="1" ht="18" customHeight="1">
      <c r="A38" s="8">
        <v>36</v>
      </c>
      <c r="B38" s="8" t="s">
        <v>135</v>
      </c>
      <c r="C38" s="111" t="s">
        <v>91</v>
      </c>
      <c r="D38" s="111">
        <v>1</v>
      </c>
      <c r="E38" s="112">
        <v>0.5</v>
      </c>
      <c r="F38" s="113" t="s">
        <v>133</v>
      </c>
      <c r="G38" s="111" t="s">
        <v>91</v>
      </c>
      <c r="H38" s="111">
        <v>7</v>
      </c>
      <c r="I38" s="117">
        <v>0.5</v>
      </c>
      <c r="J38" s="118" t="s">
        <v>116</v>
      </c>
      <c r="K38" s="117" t="s">
        <v>101</v>
      </c>
      <c r="L38" s="119" t="s">
        <v>117</v>
      </c>
      <c r="M38" s="117">
        <f t="shared" si="2"/>
        <v>0</v>
      </c>
      <c r="N38" s="120" t="s">
        <v>117</v>
      </c>
      <c r="O38" s="116"/>
      <c r="P38" s="109"/>
      <c r="Q38" s="109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</row>
    <row r="39" spans="1:29" ht="18" customHeight="1">
      <c r="A39" s="7">
        <v>37</v>
      </c>
      <c r="B39" s="7" t="s">
        <v>136</v>
      </c>
      <c r="C39" s="111" t="s">
        <v>91</v>
      </c>
      <c r="D39" s="111">
        <v>1</v>
      </c>
      <c r="E39" s="112">
        <v>0.1</v>
      </c>
      <c r="F39" s="113" t="s">
        <v>133</v>
      </c>
      <c r="G39" s="111" t="s">
        <v>91</v>
      </c>
      <c r="H39" s="111">
        <v>7</v>
      </c>
      <c r="I39" s="112">
        <v>0.1</v>
      </c>
      <c r="J39" s="113" t="s">
        <v>116</v>
      </c>
      <c r="K39" s="112" t="s">
        <v>101</v>
      </c>
      <c r="L39" s="114" t="s">
        <v>117</v>
      </c>
      <c r="M39" s="112">
        <f t="shared" si="2"/>
        <v>0.8</v>
      </c>
      <c r="N39" s="115" t="s">
        <v>117</v>
      </c>
      <c r="O39" s="109"/>
      <c r="P39" s="116"/>
      <c r="Q39" s="116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</row>
    <row r="40" spans="1:29" s="9" customFormat="1" ht="18" customHeight="1">
      <c r="A40" s="8">
        <v>38</v>
      </c>
      <c r="B40" s="8" t="s">
        <v>137</v>
      </c>
      <c r="C40" s="111" t="s">
        <v>91</v>
      </c>
      <c r="D40" s="111">
        <v>7</v>
      </c>
      <c r="E40" s="112">
        <v>0.3</v>
      </c>
      <c r="F40" s="113" t="s">
        <v>116</v>
      </c>
      <c r="G40" s="7"/>
      <c r="H40" s="7"/>
      <c r="I40" s="117"/>
      <c r="J40" s="118"/>
      <c r="K40" s="117" t="s">
        <v>101</v>
      </c>
      <c r="L40" s="119" t="s">
        <v>117</v>
      </c>
      <c r="M40" s="117">
        <f t="shared" si="2"/>
        <v>0.7</v>
      </c>
      <c r="N40" s="120" t="s">
        <v>117</v>
      </c>
      <c r="O40" s="116"/>
      <c r="P40" s="109"/>
      <c r="Q40" s="109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</row>
    <row r="41" spans="1:29" ht="18" customHeight="1">
      <c r="A41" s="7">
        <v>39</v>
      </c>
      <c r="B41" s="7" t="s">
        <v>138</v>
      </c>
      <c r="C41" s="111" t="s">
        <v>91</v>
      </c>
      <c r="D41" s="111">
        <v>7</v>
      </c>
      <c r="E41" s="112">
        <v>0.1</v>
      </c>
      <c r="F41" s="113" t="s">
        <v>116</v>
      </c>
      <c r="G41" s="7"/>
      <c r="H41" s="7"/>
      <c r="I41" s="112"/>
      <c r="J41" s="113"/>
      <c r="K41" s="112" t="s">
        <v>101</v>
      </c>
      <c r="L41" s="114" t="s">
        <v>117</v>
      </c>
      <c r="M41" s="112">
        <f t="shared" si="2"/>
        <v>0.9</v>
      </c>
      <c r="N41" s="115" t="s">
        <v>117</v>
      </c>
      <c r="O41" s="109"/>
      <c r="P41" s="116"/>
      <c r="Q41" s="116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</row>
    <row r="42" spans="1:29" s="9" customFormat="1" ht="18" customHeight="1">
      <c r="A42" s="8">
        <v>40</v>
      </c>
      <c r="B42" s="8" t="s">
        <v>139</v>
      </c>
      <c r="C42" s="111" t="s">
        <v>91</v>
      </c>
      <c r="D42" s="111">
        <v>7</v>
      </c>
      <c r="E42" s="112">
        <v>0.15</v>
      </c>
      <c r="F42" s="113" t="s">
        <v>116</v>
      </c>
      <c r="G42" s="111" t="s">
        <v>96</v>
      </c>
      <c r="H42" s="111">
        <v>16</v>
      </c>
      <c r="I42" s="117">
        <v>0.15</v>
      </c>
      <c r="J42" s="118" t="s">
        <v>116</v>
      </c>
      <c r="K42" s="117" t="s">
        <v>101</v>
      </c>
      <c r="L42" s="119" t="s">
        <v>117</v>
      </c>
      <c r="M42" s="117">
        <f t="shared" si="2"/>
        <v>0.7</v>
      </c>
      <c r="N42" s="120" t="s">
        <v>117</v>
      </c>
      <c r="O42" s="116"/>
      <c r="P42" s="109"/>
      <c r="Q42" s="109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</row>
    <row r="43" spans="1:29" ht="18" customHeight="1">
      <c r="A43" s="7">
        <v>41</v>
      </c>
      <c r="B43" s="7" t="s">
        <v>140</v>
      </c>
      <c r="C43" s="111" t="s">
        <v>91</v>
      </c>
      <c r="D43" s="111">
        <v>1</v>
      </c>
      <c r="E43" s="112">
        <v>1</v>
      </c>
      <c r="F43" s="113" t="s">
        <v>133</v>
      </c>
      <c r="G43" s="7"/>
      <c r="H43" s="7"/>
      <c r="I43" s="112"/>
      <c r="J43" s="113"/>
      <c r="K43" s="112" t="s">
        <v>101</v>
      </c>
      <c r="L43" s="114" t="s">
        <v>117</v>
      </c>
      <c r="M43" s="112">
        <f t="shared" si="2"/>
        <v>0</v>
      </c>
      <c r="N43" s="115" t="s">
        <v>117</v>
      </c>
      <c r="O43" s="109"/>
      <c r="P43" s="116"/>
      <c r="Q43" s="116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</row>
    <row r="44" spans="1:29" s="9" customFormat="1" ht="18" customHeight="1">
      <c r="A44" s="8">
        <v>42</v>
      </c>
      <c r="B44" s="8" t="s">
        <v>141</v>
      </c>
      <c r="C44" s="111" t="s">
        <v>96</v>
      </c>
      <c r="D44" s="111">
        <v>23</v>
      </c>
      <c r="E44" s="112">
        <v>1</v>
      </c>
      <c r="F44" s="113" t="s">
        <v>116</v>
      </c>
      <c r="G44" s="7"/>
      <c r="H44" s="7"/>
      <c r="I44" s="117"/>
      <c r="J44" s="118"/>
      <c r="K44" s="117" t="s">
        <v>101</v>
      </c>
      <c r="L44" s="119" t="s">
        <v>117</v>
      </c>
      <c r="M44" s="117">
        <f t="shared" si="2"/>
        <v>0</v>
      </c>
      <c r="N44" s="120" t="s">
        <v>117</v>
      </c>
      <c r="O44" s="116"/>
      <c r="P44" s="109"/>
      <c r="Q44" s="109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</row>
    <row r="45" spans="1:29" ht="18" customHeight="1">
      <c r="A45" s="7">
        <v>43</v>
      </c>
      <c r="B45" s="7" t="s">
        <v>142</v>
      </c>
      <c r="C45" s="111" t="s">
        <v>91</v>
      </c>
      <c r="D45" s="111">
        <v>1</v>
      </c>
      <c r="E45" s="112">
        <v>0.3</v>
      </c>
      <c r="F45" s="113" t="s">
        <v>133</v>
      </c>
      <c r="G45" s="7"/>
      <c r="H45" s="7"/>
      <c r="I45" s="112"/>
      <c r="J45" s="113"/>
      <c r="K45" s="112" t="s">
        <v>101</v>
      </c>
      <c r="L45" s="114" t="s">
        <v>117</v>
      </c>
      <c r="M45" s="112">
        <f t="shared" si="2"/>
        <v>0.7</v>
      </c>
      <c r="N45" s="115" t="s">
        <v>117</v>
      </c>
      <c r="O45" s="109"/>
      <c r="P45" s="116"/>
      <c r="Q45" s="116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</row>
    <row r="46" spans="1:29" s="9" customFormat="1" ht="18" customHeight="1">
      <c r="A46" s="8">
        <v>44</v>
      </c>
      <c r="B46" s="8" t="s">
        <v>143</v>
      </c>
      <c r="C46" s="111" t="s">
        <v>91</v>
      </c>
      <c r="D46" s="111">
        <v>24</v>
      </c>
      <c r="E46" s="112">
        <v>1</v>
      </c>
      <c r="F46" s="113" t="s">
        <v>116</v>
      </c>
      <c r="G46" s="7"/>
      <c r="H46" s="7"/>
      <c r="I46" s="117"/>
      <c r="J46" s="118"/>
      <c r="K46" s="117" t="s">
        <v>101</v>
      </c>
      <c r="L46" s="119" t="s">
        <v>117</v>
      </c>
      <c r="M46" s="117">
        <f t="shared" si="2"/>
        <v>0</v>
      </c>
      <c r="N46" s="120" t="s">
        <v>117</v>
      </c>
      <c r="O46" s="116"/>
      <c r="P46" s="109"/>
      <c r="Q46" s="109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</row>
    <row r="47" spans="1:29" ht="18" customHeight="1">
      <c r="A47" s="7">
        <v>45</v>
      </c>
      <c r="B47" s="7" t="s">
        <v>144</v>
      </c>
      <c r="C47" s="111" t="s">
        <v>91</v>
      </c>
      <c r="D47" s="111">
        <v>24</v>
      </c>
      <c r="E47" s="112">
        <v>0.25</v>
      </c>
      <c r="F47" s="113" t="s">
        <v>116</v>
      </c>
      <c r="G47" s="7"/>
      <c r="H47" s="7"/>
      <c r="I47" s="112"/>
      <c r="J47" s="113"/>
      <c r="K47" s="112" t="s">
        <v>101</v>
      </c>
      <c r="L47" s="114" t="s">
        <v>117</v>
      </c>
      <c r="M47" s="112">
        <f t="shared" si="2"/>
        <v>0.75</v>
      </c>
      <c r="N47" s="115" t="s">
        <v>117</v>
      </c>
      <c r="O47" s="109"/>
      <c r="P47" s="116"/>
      <c r="Q47" s="116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</row>
    <row r="48" spans="1:29" s="9" customFormat="1" ht="18" customHeight="1">
      <c r="A48" s="8">
        <v>46</v>
      </c>
      <c r="B48" s="8" t="s">
        <v>145</v>
      </c>
      <c r="C48" s="111" t="s">
        <v>91</v>
      </c>
      <c r="D48" s="111">
        <v>24</v>
      </c>
      <c r="E48" s="112">
        <v>1</v>
      </c>
      <c r="F48" s="113" t="s">
        <v>116</v>
      </c>
      <c r="G48" s="7"/>
      <c r="H48" s="7"/>
      <c r="I48" s="117"/>
      <c r="J48" s="118"/>
      <c r="K48" s="117" t="s">
        <v>101</v>
      </c>
      <c r="L48" s="119" t="s">
        <v>117</v>
      </c>
      <c r="M48" s="117">
        <f t="shared" si="2"/>
        <v>0</v>
      </c>
      <c r="N48" s="120" t="s">
        <v>117</v>
      </c>
      <c r="O48" s="116"/>
      <c r="P48" s="109"/>
      <c r="Q48" s="109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</row>
    <row r="49" spans="1:29" ht="18" customHeight="1">
      <c r="A49" s="7">
        <v>47</v>
      </c>
      <c r="B49" s="7" t="s">
        <v>146</v>
      </c>
      <c r="C49" s="111" t="s">
        <v>91</v>
      </c>
      <c r="D49" s="111">
        <v>24</v>
      </c>
      <c r="E49" s="112">
        <v>0.1</v>
      </c>
      <c r="F49" s="113" t="s">
        <v>116</v>
      </c>
      <c r="G49" s="7"/>
      <c r="H49" s="7"/>
      <c r="I49" s="112"/>
      <c r="J49" s="113"/>
      <c r="K49" s="112" t="s">
        <v>101</v>
      </c>
      <c r="L49" s="114" t="s">
        <v>117</v>
      </c>
      <c r="M49" s="112">
        <f t="shared" si="2"/>
        <v>0.9</v>
      </c>
      <c r="N49" s="115" t="s">
        <v>117</v>
      </c>
      <c r="O49" s="109"/>
      <c r="P49" s="116"/>
      <c r="Q49" s="116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</row>
    <row r="50" spans="1:29" s="9" customFormat="1" ht="18" customHeight="1">
      <c r="A50" s="8">
        <v>48</v>
      </c>
      <c r="B50" s="8" t="s">
        <v>147</v>
      </c>
      <c r="C50" s="111" t="s">
        <v>91</v>
      </c>
      <c r="D50" s="111">
        <v>24</v>
      </c>
      <c r="E50" s="112">
        <v>0.1</v>
      </c>
      <c r="F50" s="113" t="s">
        <v>116</v>
      </c>
      <c r="G50" s="111" t="s">
        <v>96</v>
      </c>
      <c r="H50" s="111">
        <v>23</v>
      </c>
      <c r="I50" s="117">
        <v>0.4</v>
      </c>
      <c r="J50" s="118" t="s">
        <v>116</v>
      </c>
      <c r="K50" s="117" t="s">
        <v>101</v>
      </c>
      <c r="L50" s="119" t="s">
        <v>117</v>
      </c>
      <c r="M50" s="117">
        <f t="shared" si="2"/>
        <v>0.5</v>
      </c>
      <c r="N50" s="120" t="s">
        <v>117</v>
      </c>
      <c r="O50" s="116"/>
      <c r="P50" s="109"/>
      <c r="Q50" s="109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</row>
    <row r="51" spans="1:29" ht="18" customHeight="1">
      <c r="A51" s="7">
        <v>49</v>
      </c>
      <c r="B51" s="7" t="s">
        <v>148</v>
      </c>
      <c r="C51" s="111" t="s">
        <v>91</v>
      </c>
      <c r="D51" s="111">
        <v>24</v>
      </c>
      <c r="E51" s="112">
        <v>0.5</v>
      </c>
      <c r="F51" s="113" t="s">
        <v>116</v>
      </c>
      <c r="G51" s="7"/>
      <c r="H51" s="7"/>
      <c r="I51" s="112"/>
      <c r="J51" s="113"/>
      <c r="K51" s="112" t="s">
        <v>101</v>
      </c>
      <c r="L51" s="114" t="s">
        <v>117</v>
      </c>
      <c r="M51" s="112">
        <f t="shared" si="2"/>
        <v>0.5</v>
      </c>
      <c r="N51" s="115" t="s">
        <v>117</v>
      </c>
      <c r="O51" s="109"/>
      <c r="P51" s="116"/>
      <c r="Q51" s="116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</row>
    <row r="52" spans="1:29" s="9" customFormat="1" ht="18" customHeight="1">
      <c r="A52" s="8">
        <v>50</v>
      </c>
      <c r="B52" s="8" t="s">
        <v>149</v>
      </c>
      <c r="C52" s="111" t="s">
        <v>91</v>
      </c>
      <c r="D52" s="111">
        <v>24</v>
      </c>
      <c r="E52" s="112">
        <v>0.25</v>
      </c>
      <c r="F52" s="113" t="s">
        <v>116</v>
      </c>
      <c r="G52" s="111" t="s">
        <v>96</v>
      </c>
      <c r="H52" s="111">
        <v>23</v>
      </c>
      <c r="I52" s="117">
        <v>0.25</v>
      </c>
      <c r="J52" s="118" t="s">
        <v>116</v>
      </c>
      <c r="K52" s="117" t="s">
        <v>101</v>
      </c>
      <c r="L52" s="119" t="s">
        <v>117</v>
      </c>
      <c r="M52" s="117">
        <f t="shared" si="2"/>
        <v>0.5</v>
      </c>
      <c r="N52" s="120" t="s">
        <v>117</v>
      </c>
      <c r="O52" s="116"/>
      <c r="P52" s="109"/>
      <c r="Q52" s="109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</row>
    <row r="53" spans="1:29" ht="18" customHeight="1">
      <c r="A53" s="7">
        <v>51</v>
      </c>
      <c r="B53" s="7" t="s">
        <v>150</v>
      </c>
      <c r="C53" s="111" t="s">
        <v>91</v>
      </c>
      <c r="D53" s="111">
        <v>24</v>
      </c>
      <c r="E53" s="112">
        <v>0.25</v>
      </c>
      <c r="F53" s="113" t="s">
        <v>116</v>
      </c>
      <c r="G53" s="7"/>
      <c r="H53" s="7"/>
      <c r="I53" s="112"/>
      <c r="J53" s="113"/>
      <c r="K53" s="112" t="s">
        <v>101</v>
      </c>
      <c r="L53" s="114" t="s">
        <v>117</v>
      </c>
      <c r="M53" s="112">
        <f t="shared" si="2"/>
        <v>0.75</v>
      </c>
      <c r="N53" s="115" t="s">
        <v>117</v>
      </c>
      <c r="O53" s="109"/>
      <c r="P53" s="116"/>
      <c r="Q53" s="116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</row>
    <row r="54" spans="1:29" s="9" customFormat="1" ht="18" customHeight="1">
      <c r="A54" s="8">
        <v>52</v>
      </c>
      <c r="B54" s="8" t="s">
        <v>151</v>
      </c>
      <c r="C54" s="111" t="s">
        <v>91</v>
      </c>
      <c r="D54" s="111">
        <v>33</v>
      </c>
      <c r="E54" s="112">
        <v>1</v>
      </c>
      <c r="F54" s="113" t="s">
        <v>116</v>
      </c>
      <c r="G54" s="7"/>
      <c r="H54" s="7"/>
      <c r="I54" s="117"/>
      <c r="J54" s="118"/>
      <c r="K54" s="117" t="s">
        <v>101</v>
      </c>
      <c r="L54" s="119" t="s">
        <v>117</v>
      </c>
      <c r="M54" s="117">
        <f t="shared" si="2"/>
        <v>0</v>
      </c>
      <c r="N54" s="120" t="s">
        <v>117</v>
      </c>
      <c r="O54" s="116"/>
      <c r="P54" s="109"/>
      <c r="Q54" s="109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</row>
    <row r="55" spans="1:29" ht="18" customHeight="1">
      <c r="A55" s="7">
        <v>53</v>
      </c>
      <c r="B55" s="7" t="s">
        <v>152</v>
      </c>
      <c r="C55" s="111" t="s">
        <v>96</v>
      </c>
      <c r="D55" s="111">
        <v>23</v>
      </c>
      <c r="E55" s="112">
        <v>0.8</v>
      </c>
      <c r="F55" s="113" t="s">
        <v>116</v>
      </c>
      <c r="G55" s="111" t="s">
        <v>91</v>
      </c>
      <c r="H55" s="111">
        <v>28</v>
      </c>
      <c r="I55" s="112">
        <v>0.2</v>
      </c>
      <c r="J55" s="113" t="s">
        <v>116</v>
      </c>
      <c r="K55" s="112" t="s">
        <v>101</v>
      </c>
      <c r="L55" s="114" t="s">
        <v>117</v>
      </c>
      <c r="M55" s="112">
        <f t="shared" si="2"/>
        <v>0</v>
      </c>
      <c r="N55" s="115" t="s">
        <v>117</v>
      </c>
      <c r="O55" s="109"/>
      <c r="P55" s="116"/>
      <c r="Q55" s="116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</row>
    <row r="56" spans="1:29" s="9" customFormat="1" ht="18" customHeight="1">
      <c r="A56" s="8">
        <v>54</v>
      </c>
      <c r="B56" s="8" t="s">
        <v>153</v>
      </c>
      <c r="C56" s="111" t="s">
        <v>91</v>
      </c>
      <c r="D56" s="111">
        <v>33</v>
      </c>
      <c r="E56" s="112">
        <v>0.2</v>
      </c>
      <c r="F56" s="113" t="s">
        <v>116</v>
      </c>
      <c r="G56" s="7"/>
      <c r="H56" s="7"/>
      <c r="I56" s="117"/>
      <c r="J56" s="118"/>
      <c r="K56" s="117" t="s">
        <v>101</v>
      </c>
      <c r="L56" s="119" t="s">
        <v>117</v>
      </c>
      <c r="M56" s="117">
        <f t="shared" si="2"/>
        <v>0.8</v>
      </c>
      <c r="N56" s="120" t="s">
        <v>117</v>
      </c>
      <c r="O56" s="116"/>
      <c r="P56" s="109"/>
      <c r="Q56" s="109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</row>
    <row r="57" spans="1:29" ht="18" customHeight="1">
      <c r="A57" s="7">
        <v>55</v>
      </c>
      <c r="B57" s="7" t="s">
        <v>154</v>
      </c>
      <c r="C57" s="111" t="s">
        <v>91</v>
      </c>
      <c r="D57" s="111">
        <v>24</v>
      </c>
      <c r="E57" s="112">
        <v>1</v>
      </c>
      <c r="F57" s="113" t="s">
        <v>116</v>
      </c>
      <c r="G57" s="7"/>
      <c r="H57" s="7"/>
      <c r="I57" s="112"/>
      <c r="J57" s="113"/>
      <c r="K57" s="112" t="s">
        <v>101</v>
      </c>
      <c r="L57" s="114" t="s">
        <v>117</v>
      </c>
      <c r="M57" s="112">
        <f t="shared" si="2"/>
        <v>0</v>
      </c>
      <c r="N57" s="115" t="s">
        <v>117</v>
      </c>
      <c r="O57" s="109"/>
      <c r="P57" s="116"/>
      <c r="Q57" s="116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</row>
    <row r="58" spans="1:29" s="9" customFormat="1" ht="18" customHeight="1">
      <c r="A58" s="8">
        <v>56</v>
      </c>
      <c r="B58" s="8" t="s">
        <v>155</v>
      </c>
      <c r="C58" s="111" t="s">
        <v>91</v>
      </c>
      <c r="D58" s="111">
        <v>24</v>
      </c>
      <c r="E58" s="112">
        <v>0.7</v>
      </c>
      <c r="F58" s="113" t="s">
        <v>116</v>
      </c>
      <c r="G58" s="111" t="s">
        <v>91</v>
      </c>
      <c r="H58" s="111">
        <v>33</v>
      </c>
      <c r="I58" s="117">
        <v>0.3</v>
      </c>
      <c r="J58" s="118" t="s">
        <v>116</v>
      </c>
      <c r="K58" s="117" t="s">
        <v>101</v>
      </c>
      <c r="L58" s="119" t="s">
        <v>117</v>
      </c>
      <c r="M58" s="117">
        <f t="shared" si="2"/>
        <v>0</v>
      </c>
      <c r="N58" s="120" t="s">
        <v>117</v>
      </c>
      <c r="O58" s="116"/>
      <c r="P58" s="109"/>
      <c r="Q58" s="109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</row>
    <row r="59" spans="1:29" ht="18" customHeight="1">
      <c r="A59" s="7">
        <v>57</v>
      </c>
      <c r="B59" s="7" t="s">
        <v>156</v>
      </c>
      <c r="C59" s="111" t="s">
        <v>91</v>
      </c>
      <c r="D59" s="111">
        <v>24</v>
      </c>
      <c r="E59" s="112">
        <v>1</v>
      </c>
      <c r="F59" s="113" t="s">
        <v>116</v>
      </c>
      <c r="G59" s="7"/>
      <c r="H59" s="7"/>
      <c r="I59" s="112"/>
      <c r="J59" s="113"/>
      <c r="K59" s="112" t="s">
        <v>101</v>
      </c>
      <c r="L59" s="114" t="s">
        <v>117</v>
      </c>
      <c r="M59" s="112">
        <f t="shared" si="2"/>
        <v>0</v>
      </c>
      <c r="N59" s="115" t="s">
        <v>117</v>
      </c>
      <c r="O59" s="109"/>
      <c r="P59" s="116"/>
      <c r="Q59" s="116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</row>
    <row r="60" spans="1:29" s="9" customFormat="1" ht="18" customHeight="1">
      <c r="A60" s="8">
        <v>58</v>
      </c>
      <c r="B60" s="8" t="s">
        <v>157</v>
      </c>
      <c r="C60" s="111" t="s">
        <v>91</v>
      </c>
      <c r="D60" s="111">
        <v>24</v>
      </c>
      <c r="E60" s="112">
        <v>0.6</v>
      </c>
      <c r="F60" s="113" t="s">
        <v>116</v>
      </c>
      <c r="G60" s="7"/>
      <c r="H60" s="7"/>
      <c r="I60" s="117"/>
      <c r="J60" s="118"/>
      <c r="K60" s="117" t="s">
        <v>101</v>
      </c>
      <c r="L60" s="119" t="s">
        <v>117</v>
      </c>
      <c r="M60" s="117">
        <f t="shared" si="2"/>
        <v>0.4</v>
      </c>
      <c r="N60" s="120" t="s">
        <v>117</v>
      </c>
      <c r="O60" s="116"/>
      <c r="P60" s="109"/>
      <c r="Q60" s="109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</row>
    <row r="61" spans="1:29" ht="18" customHeight="1">
      <c r="A61" s="7">
        <v>59</v>
      </c>
      <c r="B61" s="7" t="s">
        <v>158</v>
      </c>
      <c r="C61" s="111" t="s">
        <v>91</v>
      </c>
      <c r="D61" s="111">
        <v>24</v>
      </c>
      <c r="E61" s="112">
        <v>0.45</v>
      </c>
      <c r="F61" s="113" t="s">
        <v>116</v>
      </c>
      <c r="G61" s="111" t="s">
        <v>96</v>
      </c>
      <c r="H61" s="111">
        <v>16</v>
      </c>
      <c r="I61" s="112">
        <v>0.1</v>
      </c>
      <c r="J61" s="113" t="s">
        <v>116</v>
      </c>
      <c r="K61" s="112" t="s">
        <v>101</v>
      </c>
      <c r="L61" s="114" t="s">
        <v>117</v>
      </c>
      <c r="M61" s="112">
        <f t="shared" si="2"/>
        <v>0.44999999999999996</v>
      </c>
      <c r="N61" s="115" t="s">
        <v>117</v>
      </c>
      <c r="O61" s="109"/>
      <c r="P61" s="116"/>
      <c r="Q61" s="116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</row>
    <row r="62" spans="1:29" s="9" customFormat="1" ht="18" customHeight="1">
      <c r="A62" s="8">
        <v>60</v>
      </c>
      <c r="B62" s="8" t="s">
        <v>159</v>
      </c>
      <c r="C62" s="111" t="s">
        <v>91</v>
      </c>
      <c r="D62" s="111">
        <v>24</v>
      </c>
      <c r="E62" s="112">
        <v>0.4</v>
      </c>
      <c r="F62" s="113" t="s">
        <v>116</v>
      </c>
      <c r="G62" s="111" t="s">
        <v>96</v>
      </c>
      <c r="H62" s="111">
        <v>16</v>
      </c>
      <c r="I62" s="117">
        <v>0.2</v>
      </c>
      <c r="J62" s="118" t="s">
        <v>116</v>
      </c>
      <c r="K62" s="117" t="s">
        <v>101</v>
      </c>
      <c r="L62" s="119" t="s">
        <v>117</v>
      </c>
      <c r="M62" s="117">
        <f t="shared" si="2"/>
        <v>0.39999999999999991</v>
      </c>
      <c r="N62" s="120" t="s">
        <v>117</v>
      </c>
      <c r="O62" s="116"/>
      <c r="P62" s="109"/>
      <c r="Q62" s="109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</row>
    <row r="63" spans="1:29" ht="18" customHeight="1">
      <c r="A63" s="7">
        <v>61</v>
      </c>
      <c r="B63" s="7" t="s">
        <v>160</v>
      </c>
      <c r="C63" s="111" t="s">
        <v>96</v>
      </c>
      <c r="D63" s="111">
        <v>16</v>
      </c>
      <c r="E63" s="112">
        <v>0.1</v>
      </c>
      <c r="F63" s="113" t="s">
        <v>116</v>
      </c>
      <c r="G63" s="7"/>
      <c r="H63" s="7"/>
      <c r="I63" s="112"/>
      <c r="J63" s="113"/>
      <c r="K63" s="112" t="s">
        <v>101</v>
      </c>
      <c r="L63" s="114" t="s">
        <v>117</v>
      </c>
      <c r="M63" s="112">
        <f t="shared" si="2"/>
        <v>0.9</v>
      </c>
      <c r="N63" s="115" t="s">
        <v>117</v>
      </c>
      <c r="O63" s="109"/>
      <c r="P63" s="116"/>
      <c r="Q63" s="116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</row>
    <row r="64" spans="1:29" s="9" customFormat="1" ht="18" customHeight="1">
      <c r="A64" s="8">
        <v>62</v>
      </c>
      <c r="B64" s="8" t="s">
        <v>161</v>
      </c>
      <c r="C64" s="111" t="s">
        <v>96</v>
      </c>
      <c r="D64" s="111">
        <v>16</v>
      </c>
      <c r="E64" s="112">
        <v>0.1</v>
      </c>
      <c r="F64" s="113" t="s">
        <v>116</v>
      </c>
      <c r="G64" s="7"/>
      <c r="H64" s="7"/>
      <c r="I64" s="117"/>
      <c r="J64" s="118"/>
      <c r="K64" s="117" t="s">
        <v>101</v>
      </c>
      <c r="L64" s="119" t="s">
        <v>117</v>
      </c>
      <c r="M64" s="117">
        <f t="shared" si="2"/>
        <v>0.9</v>
      </c>
      <c r="N64" s="120" t="s">
        <v>117</v>
      </c>
      <c r="O64" s="116"/>
      <c r="P64" s="109"/>
      <c r="Q64" s="109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</row>
    <row r="65" spans="1:29" ht="18" customHeight="1">
      <c r="A65" s="7">
        <v>63</v>
      </c>
      <c r="B65" s="7" t="s">
        <v>162</v>
      </c>
      <c r="C65" s="111" t="s">
        <v>91</v>
      </c>
      <c r="D65" s="111">
        <v>24</v>
      </c>
      <c r="E65" s="112">
        <v>0.8</v>
      </c>
      <c r="F65" s="113" t="s">
        <v>116</v>
      </c>
      <c r="G65" s="111" t="s">
        <v>96</v>
      </c>
      <c r="H65" s="111">
        <v>16</v>
      </c>
      <c r="I65" s="112">
        <v>0.2</v>
      </c>
      <c r="J65" s="113" t="s">
        <v>116</v>
      </c>
      <c r="K65" s="112" t="s">
        <v>101</v>
      </c>
      <c r="L65" s="114" t="s">
        <v>117</v>
      </c>
      <c r="M65" s="112">
        <f t="shared" si="2"/>
        <v>0</v>
      </c>
      <c r="N65" s="115" t="s">
        <v>117</v>
      </c>
      <c r="O65" s="109"/>
      <c r="P65" s="116"/>
      <c r="Q65" s="116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</row>
    <row r="66" spans="1:29" s="9" customFormat="1" ht="18" customHeight="1">
      <c r="A66" s="8">
        <v>64</v>
      </c>
      <c r="B66" s="8" t="s">
        <v>163</v>
      </c>
      <c r="C66" s="111" t="s">
        <v>96</v>
      </c>
      <c r="D66" s="111">
        <v>23</v>
      </c>
      <c r="E66" s="112">
        <v>1</v>
      </c>
      <c r="F66" s="113" t="s">
        <v>116</v>
      </c>
      <c r="G66" s="7"/>
      <c r="H66" s="7"/>
      <c r="I66" s="117"/>
      <c r="J66" s="118"/>
      <c r="K66" s="117" t="s">
        <v>101</v>
      </c>
      <c r="L66" s="119" t="s">
        <v>117</v>
      </c>
      <c r="M66" s="117">
        <f t="shared" si="2"/>
        <v>0</v>
      </c>
      <c r="N66" s="120" t="s">
        <v>117</v>
      </c>
      <c r="O66" s="116"/>
      <c r="P66" s="109"/>
      <c r="Q66" s="109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</row>
    <row r="67" spans="1:29" ht="18" customHeight="1">
      <c r="A67" s="7">
        <v>65</v>
      </c>
      <c r="B67" s="7" t="s">
        <v>164</v>
      </c>
      <c r="C67" s="111" t="s">
        <v>96</v>
      </c>
      <c r="D67" s="111">
        <v>16</v>
      </c>
      <c r="E67" s="112">
        <v>0.3</v>
      </c>
      <c r="F67" s="113" t="s">
        <v>116</v>
      </c>
      <c r="G67" s="7"/>
      <c r="H67" s="7"/>
      <c r="I67" s="112"/>
      <c r="J67" s="113"/>
      <c r="K67" s="112" t="s">
        <v>101</v>
      </c>
      <c r="L67" s="114" t="s">
        <v>117</v>
      </c>
      <c r="M67" s="112">
        <f t="shared" ref="M67:M98" si="3">1-(E67+I67)</f>
        <v>0.7</v>
      </c>
      <c r="N67" s="115" t="s">
        <v>117</v>
      </c>
      <c r="O67" s="109"/>
      <c r="P67" s="116"/>
      <c r="Q67" s="116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</row>
    <row r="68" spans="1:29" s="9" customFormat="1" ht="18" customHeight="1">
      <c r="A68" s="8">
        <v>66</v>
      </c>
      <c r="B68" s="8" t="s">
        <v>165</v>
      </c>
      <c r="C68" s="111" t="s">
        <v>96</v>
      </c>
      <c r="D68" s="111">
        <v>23</v>
      </c>
      <c r="E68" s="112">
        <v>0.2</v>
      </c>
      <c r="F68" s="113" t="s">
        <v>116</v>
      </c>
      <c r="G68" s="7"/>
      <c r="H68" s="7"/>
      <c r="I68" s="117"/>
      <c r="J68" s="118"/>
      <c r="K68" s="117" t="s">
        <v>101</v>
      </c>
      <c r="L68" s="119" t="s">
        <v>117</v>
      </c>
      <c r="M68" s="117">
        <f t="shared" si="3"/>
        <v>0.8</v>
      </c>
      <c r="N68" s="120" t="s">
        <v>117</v>
      </c>
      <c r="O68" s="116"/>
      <c r="P68" s="109"/>
      <c r="Q68" s="109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</row>
    <row r="69" spans="1:29" ht="18" customHeight="1">
      <c r="A69" s="7">
        <v>67</v>
      </c>
      <c r="B69" s="7" t="s">
        <v>166</v>
      </c>
      <c r="C69" s="111" t="s">
        <v>91</v>
      </c>
      <c r="D69" s="111">
        <v>1</v>
      </c>
      <c r="E69" s="112">
        <v>0.2</v>
      </c>
      <c r="F69" s="113" t="s">
        <v>133</v>
      </c>
      <c r="G69" s="7"/>
      <c r="H69" s="7"/>
      <c r="I69" s="112"/>
      <c r="J69" s="113"/>
      <c r="K69" s="112" t="s">
        <v>101</v>
      </c>
      <c r="L69" s="114" t="s">
        <v>117</v>
      </c>
      <c r="M69" s="112">
        <f t="shared" si="3"/>
        <v>0.8</v>
      </c>
      <c r="N69" s="115" t="s">
        <v>117</v>
      </c>
      <c r="O69" s="109"/>
      <c r="P69" s="116"/>
      <c r="Q69" s="116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</row>
    <row r="70" spans="1:29" s="9" customFormat="1" ht="18" customHeight="1">
      <c r="A70" s="8">
        <v>68</v>
      </c>
      <c r="B70" s="8" t="s">
        <v>167</v>
      </c>
      <c r="C70" s="111" t="s">
        <v>91</v>
      </c>
      <c r="D70" s="111">
        <v>1</v>
      </c>
      <c r="E70" s="112">
        <v>1</v>
      </c>
      <c r="F70" s="113" t="s">
        <v>133</v>
      </c>
      <c r="G70" s="7"/>
      <c r="H70" s="7"/>
      <c r="I70" s="117"/>
      <c r="J70" s="118"/>
      <c r="K70" s="117" t="s">
        <v>101</v>
      </c>
      <c r="L70" s="119" t="s">
        <v>117</v>
      </c>
      <c r="M70" s="117">
        <f t="shared" si="3"/>
        <v>0</v>
      </c>
      <c r="N70" s="120" t="s">
        <v>117</v>
      </c>
      <c r="O70" s="116"/>
      <c r="P70" s="109"/>
      <c r="Q70" s="109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</row>
    <row r="71" spans="1:29" ht="18" customHeight="1">
      <c r="A71" s="7">
        <v>69</v>
      </c>
      <c r="B71" s="7" t="s">
        <v>168</v>
      </c>
      <c r="C71" s="111" t="s">
        <v>91</v>
      </c>
      <c r="D71" s="111">
        <v>3</v>
      </c>
      <c r="E71" s="112">
        <v>1</v>
      </c>
      <c r="F71" s="113" t="s">
        <v>116</v>
      </c>
      <c r="G71" s="7"/>
      <c r="H71" s="7"/>
      <c r="I71" s="112"/>
      <c r="J71" s="113"/>
      <c r="K71" s="112" t="s">
        <v>101</v>
      </c>
      <c r="L71" s="114" t="s">
        <v>117</v>
      </c>
      <c r="M71" s="112">
        <f t="shared" si="3"/>
        <v>0</v>
      </c>
      <c r="N71" s="115" t="s">
        <v>117</v>
      </c>
      <c r="O71" s="109"/>
      <c r="P71" s="116"/>
      <c r="Q71" s="116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</row>
    <row r="72" spans="1:29" s="9" customFormat="1" ht="18" customHeight="1">
      <c r="A72" s="8">
        <v>70</v>
      </c>
      <c r="B72" s="8" t="s">
        <v>169</v>
      </c>
      <c r="C72" s="111" t="s">
        <v>170</v>
      </c>
      <c r="D72" s="111">
        <v>13</v>
      </c>
      <c r="E72" s="112">
        <v>1</v>
      </c>
      <c r="F72" s="113" t="s">
        <v>116</v>
      </c>
      <c r="G72" s="7"/>
      <c r="H72" s="7"/>
      <c r="I72" s="117"/>
      <c r="J72" s="118"/>
      <c r="K72" s="117" t="s">
        <v>101</v>
      </c>
      <c r="L72" s="119" t="s">
        <v>117</v>
      </c>
      <c r="M72" s="117">
        <f t="shared" si="3"/>
        <v>0</v>
      </c>
      <c r="N72" s="120" t="s">
        <v>117</v>
      </c>
      <c r="O72" s="116"/>
      <c r="P72" s="109"/>
      <c r="Q72" s="109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</row>
    <row r="73" spans="1:29" ht="18" customHeight="1">
      <c r="A73" s="7">
        <v>71</v>
      </c>
      <c r="B73" s="7" t="s">
        <v>171</v>
      </c>
      <c r="C73" s="111" t="s">
        <v>91</v>
      </c>
      <c r="D73" s="111">
        <v>6</v>
      </c>
      <c r="E73" s="112">
        <v>1</v>
      </c>
      <c r="F73" s="113" t="s">
        <v>116</v>
      </c>
      <c r="G73" s="7"/>
      <c r="H73" s="7"/>
      <c r="I73" s="112"/>
      <c r="J73" s="113"/>
      <c r="K73" s="112" t="s">
        <v>101</v>
      </c>
      <c r="L73" s="114" t="s">
        <v>117</v>
      </c>
      <c r="M73" s="112">
        <f t="shared" si="3"/>
        <v>0</v>
      </c>
      <c r="N73" s="115" t="s">
        <v>117</v>
      </c>
      <c r="O73" s="109"/>
      <c r="P73" s="116"/>
      <c r="Q73" s="116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</row>
    <row r="74" spans="1:29" s="9" customFormat="1" ht="18" customHeight="1">
      <c r="A74" s="8">
        <v>72</v>
      </c>
      <c r="B74" s="8" t="s">
        <v>172</v>
      </c>
      <c r="C74" s="111" t="s">
        <v>91</v>
      </c>
      <c r="D74" s="111">
        <v>24</v>
      </c>
      <c r="E74" s="112">
        <v>0.5</v>
      </c>
      <c r="F74" s="113" t="s">
        <v>116</v>
      </c>
      <c r="G74" s="111" t="s">
        <v>96</v>
      </c>
      <c r="H74" s="111">
        <v>23</v>
      </c>
      <c r="I74" s="117">
        <v>0.5</v>
      </c>
      <c r="J74" s="118" t="s">
        <v>116</v>
      </c>
      <c r="K74" s="117" t="s">
        <v>101</v>
      </c>
      <c r="L74" s="119" t="s">
        <v>117</v>
      </c>
      <c r="M74" s="117">
        <f t="shared" si="3"/>
        <v>0</v>
      </c>
      <c r="N74" s="120" t="s">
        <v>117</v>
      </c>
      <c r="O74" s="116"/>
      <c r="P74" s="109"/>
      <c r="Q74" s="109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</row>
    <row r="75" spans="1:29" ht="18" customHeight="1">
      <c r="A75" s="7">
        <v>73</v>
      </c>
      <c r="B75" s="7" t="s">
        <v>173</v>
      </c>
      <c r="C75" s="111" t="s">
        <v>91</v>
      </c>
      <c r="D75" s="111">
        <v>24</v>
      </c>
      <c r="E75" s="112">
        <v>0.5</v>
      </c>
      <c r="F75" s="113" t="s">
        <v>116</v>
      </c>
      <c r="G75" s="111" t="s">
        <v>96</v>
      </c>
      <c r="H75" s="111">
        <v>23</v>
      </c>
      <c r="I75" s="112">
        <v>0.5</v>
      </c>
      <c r="J75" s="113" t="s">
        <v>116</v>
      </c>
      <c r="K75" s="112" t="s">
        <v>101</v>
      </c>
      <c r="L75" s="114" t="s">
        <v>117</v>
      </c>
      <c r="M75" s="112">
        <f t="shared" si="3"/>
        <v>0</v>
      </c>
      <c r="N75" s="115" t="s">
        <v>117</v>
      </c>
      <c r="O75" s="109"/>
      <c r="P75" s="116"/>
      <c r="Q75" s="116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</row>
    <row r="76" spans="1:29" s="9" customFormat="1" ht="18" customHeight="1">
      <c r="A76" s="8">
        <v>74</v>
      </c>
      <c r="B76" s="8" t="s">
        <v>174</v>
      </c>
      <c r="C76" s="111" t="s">
        <v>91</v>
      </c>
      <c r="D76" s="111">
        <v>7</v>
      </c>
      <c r="E76" s="112">
        <v>0.5</v>
      </c>
      <c r="F76" s="113" t="s">
        <v>116</v>
      </c>
      <c r="G76" s="111" t="s">
        <v>91</v>
      </c>
      <c r="H76" s="111">
        <v>3</v>
      </c>
      <c r="I76" s="117">
        <v>0.5</v>
      </c>
      <c r="J76" s="118" t="s">
        <v>116</v>
      </c>
      <c r="K76" s="117" t="s">
        <v>101</v>
      </c>
      <c r="L76" s="119" t="s">
        <v>117</v>
      </c>
      <c r="M76" s="117">
        <f t="shared" si="3"/>
        <v>0</v>
      </c>
      <c r="N76" s="120" t="s">
        <v>117</v>
      </c>
      <c r="O76" s="116"/>
      <c r="P76" s="109"/>
      <c r="Q76" s="109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</row>
    <row r="77" spans="1:29" ht="18" customHeight="1">
      <c r="A77" s="7">
        <v>75</v>
      </c>
      <c r="B77" s="7" t="s">
        <v>175</v>
      </c>
      <c r="C77" s="111" t="s">
        <v>91</v>
      </c>
      <c r="D77" s="111">
        <v>7</v>
      </c>
      <c r="E77" s="112">
        <v>1</v>
      </c>
      <c r="F77" s="113" t="s">
        <v>116</v>
      </c>
      <c r="G77" s="7"/>
      <c r="H77" s="7"/>
      <c r="I77" s="112"/>
      <c r="J77" s="113"/>
      <c r="K77" s="112" t="s">
        <v>101</v>
      </c>
      <c r="L77" s="114" t="s">
        <v>117</v>
      </c>
      <c r="M77" s="112">
        <f t="shared" si="3"/>
        <v>0</v>
      </c>
      <c r="N77" s="115" t="s">
        <v>117</v>
      </c>
      <c r="O77" s="109"/>
      <c r="P77" s="116"/>
      <c r="Q77" s="116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</row>
    <row r="78" spans="1:29" s="9" customFormat="1" ht="18" customHeight="1">
      <c r="A78" s="8">
        <v>76</v>
      </c>
      <c r="B78" s="8" t="s">
        <v>176</v>
      </c>
      <c r="C78" s="111" t="s">
        <v>91</v>
      </c>
      <c r="D78" s="111">
        <v>7</v>
      </c>
      <c r="E78" s="112">
        <v>0.35</v>
      </c>
      <c r="F78" s="113" t="s">
        <v>116</v>
      </c>
      <c r="G78" s="7"/>
      <c r="H78" s="7"/>
      <c r="I78" s="117"/>
      <c r="J78" s="118"/>
      <c r="K78" s="117" t="s">
        <v>101</v>
      </c>
      <c r="L78" s="119" t="s">
        <v>117</v>
      </c>
      <c r="M78" s="117">
        <f t="shared" si="3"/>
        <v>0.65</v>
      </c>
      <c r="N78" s="120" t="s">
        <v>117</v>
      </c>
      <c r="O78" s="116"/>
      <c r="P78" s="109"/>
      <c r="Q78" s="109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</row>
    <row r="79" spans="1:29" ht="18" customHeight="1">
      <c r="A79" s="7">
        <v>77</v>
      </c>
      <c r="B79" s="7" t="s">
        <v>177</v>
      </c>
      <c r="C79" s="111" t="s">
        <v>91</v>
      </c>
      <c r="D79" s="111">
        <v>3</v>
      </c>
      <c r="E79" s="112">
        <v>1</v>
      </c>
      <c r="F79" s="113" t="s">
        <v>116</v>
      </c>
      <c r="G79" s="7"/>
      <c r="H79" s="7"/>
      <c r="I79" s="112"/>
      <c r="J79" s="113"/>
      <c r="K79" s="112" t="s">
        <v>101</v>
      </c>
      <c r="L79" s="114" t="s">
        <v>117</v>
      </c>
      <c r="M79" s="112">
        <f t="shared" si="3"/>
        <v>0</v>
      </c>
      <c r="N79" s="115" t="s">
        <v>117</v>
      </c>
      <c r="O79" s="109"/>
      <c r="P79" s="116"/>
      <c r="Q79" s="116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</row>
    <row r="80" spans="1:29" s="9" customFormat="1" ht="18" customHeight="1">
      <c r="A80" s="8">
        <v>78</v>
      </c>
      <c r="B80" s="8" t="s">
        <v>178</v>
      </c>
      <c r="C80" s="111" t="s">
        <v>91</v>
      </c>
      <c r="D80" s="111">
        <v>24</v>
      </c>
      <c r="E80" s="112">
        <v>0.15</v>
      </c>
      <c r="F80" s="113" t="s">
        <v>116</v>
      </c>
      <c r="G80" s="7"/>
      <c r="H80" s="7"/>
      <c r="I80" s="117"/>
      <c r="J80" s="118"/>
      <c r="K80" s="117" t="s">
        <v>101</v>
      </c>
      <c r="L80" s="119" t="s">
        <v>117</v>
      </c>
      <c r="M80" s="117">
        <f t="shared" si="3"/>
        <v>0.85</v>
      </c>
      <c r="N80" s="120" t="s">
        <v>117</v>
      </c>
      <c r="O80" s="116"/>
      <c r="P80" s="109"/>
      <c r="Q80" s="109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</row>
    <row r="81" spans="1:29" ht="18" customHeight="1">
      <c r="A81" s="7">
        <v>79</v>
      </c>
      <c r="B81" s="7" t="s">
        <v>179</v>
      </c>
      <c r="C81" s="111" t="s">
        <v>96</v>
      </c>
      <c r="D81" s="111">
        <v>23</v>
      </c>
      <c r="E81" s="112">
        <v>1</v>
      </c>
      <c r="F81" s="113" t="s">
        <v>116</v>
      </c>
      <c r="G81" s="7"/>
      <c r="H81" s="7"/>
      <c r="I81" s="112"/>
      <c r="J81" s="113"/>
      <c r="K81" s="112" t="s">
        <v>101</v>
      </c>
      <c r="L81" s="114" t="s">
        <v>117</v>
      </c>
      <c r="M81" s="112">
        <f t="shared" si="3"/>
        <v>0</v>
      </c>
      <c r="N81" s="115" t="s">
        <v>117</v>
      </c>
      <c r="O81" s="109"/>
      <c r="P81" s="116"/>
      <c r="Q81" s="116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</row>
    <row r="82" spans="1:29" s="9" customFormat="1" ht="18" customHeight="1">
      <c r="A82" s="8">
        <v>80</v>
      </c>
      <c r="B82" s="8" t="s">
        <v>180</v>
      </c>
      <c r="C82" s="111" t="s">
        <v>91</v>
      </c>
      <c r="D82" s="111">
        <v>3</v>
      </c>
      <c r="E82" s="112">
        <v>0.3</v>
      </c>
      <c r="F82" s="113" t="s">
        <v>116</v>
      </c>
      <c r="G82" s="7"/>
      <c r="H82" s="7"/>
      <c r="I82" s="117"/>
      <c r="J82" s="118"/>
      <c r="K82" s="117" t="s">
        <v>101</v>
      </c>
      <c r="L82" s="119" t="s">
        <v>117</v>
      </c>
      <c r="M82" s="117">
        <f t="shared" si="3"/>
        <v>0.7</v>
      </c>
      <c r="N82" s="120" t="s">
        <v>117</v>
      </c>
      <c r="O82" s="116"/>
      <c r="P82" s="109"/>
      <c r="Q82" s="109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</row>
    <row r="83" spans="1:29" ht="18" customHeight="1">
      <c r="A83" s="7">
        <v>81</v>
      </c>
      <c r="B83" s="7" t="s">
        <v>181</v>
      </c>
      <c r="C83" s="111" t="s">
        <v>91</v>
      </c>
      <c r="D83" s="111">
        <v>33</v>
      </c>
      <c r="E83" s="112">
        <v>1</v>
      </c>
      <c r="F83" s="113" t="s">
        <v>116</v>
      </c>
      <c r="G83" s="7"/>
      <c r="H83" s="7"/>
      <c r="I83" s="112"/>
      <c r="J83" s="113"/>
      <c r="K83" s="112" t="s">
        <v>101</v>
      </c>
      <c r="L83" s="114" t="s">
        <v>117</v>
      </c>
      <c r="M83" s="112">
        <f t="shared" si="3"/>
        <v>0</v>
      </c>
      <c r="N83" s="115" t="s">
        <v>117</v>
      </c>
      <c r="O83" s="109"/>
      <c r="P83" s="116"/>
      <c r="Q83" s="116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</row>
    <row r="84" spans="1:29" s="9" customFormat="1" ht="18" customHeight="1">
      <c r="A84" s="8">
        <v>82</v>
      </c>
      <c r="B84" s="8" t="s">
        <v>182</v>
      </c>
      <c r="C84" s="111" t="s">
        <v>91</v>
      </c>
      <c r="D84" s="111">
        <v>28</v>
      </c>
      <c r="E84" s="112">
        <v>0.5</v>
      </c>
      <c r="F84" s="113" t="s">
        <v>116</v>
      </c>
      <c r="G84" s="111" t="s">
        <v>91</v>
      </c>
      <c r="H84" s="111">
        <v>4</v>
      </c>
      <c r="I84" s="117">
        <v>0.5</v>
      </c>
      <c r="J84" s="118" t="s">
        <v>116</v>
      </c>
      <c r="K84" s="117" t="s">
        <v>101</v>
      </c>
      <c r="L84" s="119" t="s">
        <v>117</v>
      </c>
      <c r="M84" s="117">
        <f t="shared" si="3"/>
        <v>0</v>
      </c>
      <c r="N84" s="120" t="s">
        <v>117</v>
      </c>
      <c r="O84" s="116"/>
      <c r="P84" s="109"/>
      <c r="Q84" s="109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</row>
    <row r="85" spans="1:29" ht="18" customHeight="1">
      <c r="A85" s="7">
        <v>83</v>
      </c>
      <c r="B85" s="7" t="s">
        <v>183</v>
      </c>
      <c r="C85" s="111" t="s">
        <v>91</v>
      </c>
      <c r="D85" s="111">
        <v>13</v>
      </c>
      <c r="E85" s="112">
        <v>1</v>
      </c>
      <c r="F85" s="113" t="s">
        <v>116</v>
      </c>
      <c r="G85" s="7"/>
      <c r="H85" s="7"/>
      <c r="I85" s="112"/>
      <c r="J85" s="113"/>
      <c r="K85" s="112" t="s">
        <v>101</v>
      </c>
      <c r="L85" s="114" t="s">
        <v>117</v>
      </c>
      <c r="M85" s="112">
        <f t="shared" si="3"/>
        <v>0</v>
      </c>
      <c r="N85" s="115" t="s">
        <v>117</v>
      </c>
      <c r="O85" s="109"/>
      <c r="P85" s="116"/>
      <c r="Q85" s="116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</row>
    <row r="86" spans="1:29" s="9" customFormat="1" ht="18" customHeight="1">
      <c r="A86" s="8">
        <v>84</v>
      </c>
      <c r="B86" s="8" t="s">
        <v>184</v>
      </c>
      <c r="C86" s="111" t="s">
        <v>96</v>
      </c>
      <c r="D86" s="111">
        <v>23</v>
      </c>
      <c r="E86" s="112">
        <v>0.1</v>
      </c>
      <c r="F86" s="113" t="s">
        <v>116</v>
      </c>
      <c r="G86" s="111" t="s">
        <v>85</v>
      </c>
      <c r="H86" s="111">
        <v>18</v>
      </c>
      <c r="I86" s="117">
        <v>0.2</v>
      </c>
      <c r="J86" s="118" t="s">
        <v>116</v>
      </c>
      <c r="K86" s="117" t="s">
        <v>101</v>
      </c>
      <c r="L86" s="119" t="s">
        <v>117</v>
      </c>
      <c r="M86" s="117">
        <f t="shared" si="3"/>
        <v>0.7</v>
      </c>
      <c r="N86" s="120" t="s">
        <v>117</v>
      </c>
      <c r="O86" s="116"/>
      <c r="P86" s="109"/>
      <c r="Q86" s="109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</row>
    <row r="87" spans="1:29" ht="18" customHeight="1">
      <c r="A87" s="7">
        <v>85</v>
      </c>
      <c r="B87" s="7" t="s">
        <v>185</v>
      </c>
      <c r="C87" s="111" t="s">
        <v>91</v>
      </c>
      <c r="D87" s="111">
        <v>24</v>
      </c>
      <c r="E87" s="112">
        <v>0.15</v>
      </c>
      <c r="F87" s="113" t="s">
        <v>116</v>
      </c>
      <c r="G87" s="111" t="s">
        <v>96</v>
      </c>
      <c r="H87" s="111">
        <v>16</v>
      </c>
      <c r="I87" s="112">
        <v>0.15</v>
      </c>
      <c r="J87" s="113" t="s">
        <v>116</v>
      </c>
      <c r="K87" s="112" t="s">
        <v>101</v>
      </c>
      <c r="L87" s="114" t="s">
        <v>117</v>
      </c>
      <c r="M87" s="112">
        <f t="shared" si="3"/>
        <v>0.7</v>
      </c>
      <c r="N87" s="115" t="s">
        <v>117</v>
      </c>
      <c r="O87" s="109"/>
      <c r="P87" s="116"/>
      <c r="Q87" s="116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</row>
    <row r="88" spans="1:29" s="9" customFormat="1" ht="18" customHeight="1">
      <c r="A88" s="8">
        <v>86</v>
      </c>
      <c r="B88" s="8" t="s">
        <v>186</v>
      </c>
      <c r="C88" s="111" t="s">
        <v>96</v>
      </c>
      <c r="D88" s="111">
        <v>16</v>
      </c>
      <c r="E88" s="112">
        <v>0.15</v>
      </c>
      <c r="F88" s="113" t="s">
        <v>116</v>
      </c>
      <c r="G88" s="7"/>
      <c r="H88" s="7"/>
      <c r="I88" s="117"/>
      <c r="J88" s="118"/>
      <c r="K88" s="117" t="s">
        <v>101</v>
      </c>
      <c r="L88" s="119" t="s">
        <v>117</v>
      </c>
      <c r="M88" s="117">
        <f t="shared" si="3"/>
        <v>0.85</v>
      </c>
      <c r="N88" s="120" t="s">
        <v>117</v>
      </c>
      <c r="O88" s="116"/>
      <c r="P88" s="109"/>
      <c r="Q88" s="109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</row>
    <row r="89" spans="1:29" ht="18" customHeight="1">
      <c r="A89" s="7">
        <v>87</v>
      </c>
      <c r="B89" s="7" t="s">
        <v>187</v>
      </c>
      <c r="C89" s="111" t="s">
        <v>91</v>
      </c>
      <c r="D89" s="111">
        <v>30</v>
      </c>
      <c r="E89" s="112">
        <v>1</v>
      </c>
      <c r="F89" s="113" t="s">
        <v>116</v>
      </c>
      <c r="G89" s="7"/>
      <c r="H89" s="7"/>
      <c r="I89" s="112"/>
      <c r="J89" s="113"/>
      <c r="K89" s="112" t="s">
        <v>101</v>
      </c>
      <c r="L89" s="114" t="s">
        <v>117</v>
      </c>
      <c r="M89" s="112">
        <f t="shared" si="3"/>
        <v>0</v>
      </c>
      <c r="N89" s="115" t="s">
        <v>117</v>
      </c>
      <c r="O89" s="109"/>
      <c r="P89" s="116"/>
      <c r="Q89" s="116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</row>
    <row r="90" spans="1:29" s="9" customFormat="1" ht="18" customHeight="1">
      <c r="A90" s="8">
        <v>88</v>
      </c>
      <c r="B90" s="8" t="s">
        <v>188</v>
      </c>
      <c r="C90" s="121" t="s">
        <v>189</v>
      </c>
      <c r="D90" s="122">
        <v>1</v>
      </c>
      <c r="E90" s="112">
        <v>1</v>
      </c>
      <c r="F90" s="113" t="s">
        <v>133</v>
      </c>
      <c r="G90" s="7"/>
      <c r="H90" s="7"/>
      <c r="I90" s="117"/>
      <c r="J90" s="118"/>
      <c r="K90" s="117" t="s">
        <v>101</v>
      </c>
      <c r="L90" s="119" t="s">
        <v>117</v>
      </c>
      <c r="M90" s="117">
        <f t="shared" si="3"/>
        <v>0</v>
      </c>
      <c r="N90" s="120" t="s">
        <v>117</v>
      </c>
      <c r="O90" s="116"/>
      <c r="P90" s="109"/>
      <c r="Q90" s="109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</row>
    <row r="91" spans="1:29" ht="18" customHeight="1">
      <c r="A91" s="7">
        <v>89</v>
      </c>
      <c r="B91" s="7" t="s">
        <v>190</v>
      </c>
      <c r="C91" s="121" t="s">
        <v>191</v>
      </c>
      <c r="D91" s="111">
        <v>24</v>
      </c>
      <c r="E91" s="112">
        <v>0.2</v>
      </c>
      <c r="F91" s="113" t="s">
        <v>116</v>
      </c>
      <c r="G91" s="111" t="s">
        <v>96</v>
      </c>
      <c r="H91" s="111">
        <v>16</v>
      </c>
      <c r="I91" s="112">
        <v>0.2</v>
      </c>
      <c r="J91" s="113" t="s">
        <v>116</v>
      </c>
      <c r="K91" s="112" t="s">
        <v>101</v>
      </c>
      <c r="L91" s="114" t="s">
        <v>117</v>
      </c>
      <c r="M91" s="112">
        <f t="shared" si="3"/>
        <v>0.6</v>
      </c>
      <c r="N91" s="115" t="s">
        <v>117</v>
      </c>
      <c r="O91" s="109"/>
      <c r="P91" s="116"/>
      <c r="Q91" s="116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</row>
    <row r="92" spans="1:29" s="9" customFormat="1" ht="18" customHeight="1">
      <c r="A92" s="8">
        <v>90</v>
      </c>
      <c r="B92" s="8" t="s">
        <v>192</v>
      </c>
      <c r="C92" s="121" t="s">
        <v>96</v>
      </c>
      <c r="D92" s="111">
        <v>16</v>
      </c>
      <c r="E92" s="112">
        <v>0.2</v>
      </c>
      <c r="F92" s="113" t="s">
        <v>116</v>
      </c>
      <c r="G92" s="7"/>
      <c r="H92" s="7"/>
      <c r="I92" s="117"/>
      <c r="J92" s="118"/>
      <c r="K92" s="117" t="s">
        <v>101</v>
      </c>
      <c r="L92" s="119" t="s">
        <v>117</v>
      </c>
      <c r="M92" s="117">
        <f t="shared" si="3"/>
        <v>0.8</v>
      </c>
      <c r="N92" s="120" t="s">
        <v>117</v>
      </c>
      <c r="O92" s="116"/>
      <c r="P92" s="109"/>
      <c r="Q92" s="109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</row>
    <row r="93" spans="1:29" ht="18" customHeight="1">
      <c r="A93" s="7">
        <v>91</v>
      </c>
      <c r="B93" s="7" t="s">
        <v>193</v>
      </c>
      <c r="C93" s="123"/>
      <c r="D93" s="7"/>
      <c r="E93" s="112"/>
      <c r="F93" s="113"/>
      <c r="G93" s="7"/>
      <c r="H93" s="7"/>
      <c r="I93" s="112"/>
      <c r="J93" s="113"/>
      <c r="K93" s="112" t="s">
        <v>101</v>
      </c>
      <c r="L93" s="114" t="s">
        <v>117</v>
      </c>
      <c r="M93" s="112">
        <f t="shared" si="3"/>
        <v>1</v>
      </c>
      <c r="N93" s="115" t="s">
        <v>117</v>
      </c>
      <c r="O93" s="109"/>
      <c r="P93" s="116"/>
      <c r="Q93" s="116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</row>
    <row r="94" spans="1:29" s="9" customFormat="1" ht="18" customHeight="1">
      <c r="A94" s="8">
        <v>92</v>
      </c>
      <c r="B94" s="8" t="s">
        <v>194</v>
      </c>
      <c r="C94" s="124" t="s">
        <v>195</v>
      </c>
      <c r="D94" s="7">
        <v>24</v>
      </c>
      <c r="E94" s="112">
        <v>0.2</v>
      </c>
      <c r="F94" s="113" t="s">
        <v>196</v>
      </c>
      <c r="G94" s="111" t="s">
        <v>96</v>
      </c>
      <c r="H94" s="111">
        <v>16</v>
      </c>
      <c r="I94" s="117">
        <v>0.2</v>
      </c>
      <c r="J94" s="118" t="s">
        <v>116</v>
      </c>
      <c r="K94" s="117" t="s">
        <v>101</v>
      </c>
      <c r="L94" s="119" t="s">
        <v>117</v>
      </c>
      <c r="M94" s="117">
        <f t="shared" si="3"/>
        <v>0.6</v>
      </c>
      <c r="N94" s="120" t="s">
        <v>117</v>
      </c>
      <c r="O94" s="116"/>
      <c r="P94" s="109"/>
      <c r="Q94" s="109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</row>
    <row r="95" spans="1:29" ht="18" customHeight="1">
      <c r="A95" s="7">
        <v>93</v>
      </c>
      <c r="B95" s="7" t="s">
        <v>197</v>
      </c>
      <c r="C95" s="111" t="s">
        <v>96</v>
      </c>
      <c r="D95" s="111">
        <v>16</v>
      </c>
      <c r="E95" s="112">
        <v>0.2</v>
      </c>
      <c r="F95" s="113" t="s">
        <v>116</v>
      </c>
      <c r="G95" s="7"/>
      <c r="H95" s="7"/>
      <c r="I95" s="112"/>
      <c r="J95" s="113"/>
      <c r="K95" s="112" t="s">
        <v>101</v>
      </c>
      <c r="L95" s="114" t="s">
        <v>117</v>
      </c>
      <c r="M95" s="112">
        <f t="shared" si="3"/>
        <v>0.8</v>
      </c>
      <c r="N95" s="115" t="s">
        <v>117</v>
      </c>
      <c r="O95" s="109"/>
      <c r="P95" s="116"/>
      <c r="Q95" s="116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</row>
    <row r="96" spans="1:29" s="9" customFormat="1" ht="18" customHeight="1">
      <c r="A96" s="8">
        <v>94</v>
      </c>
      <c r="B96" s="8" t="s">
        <v>198</v>
      </c>
      <c r="C96" s="111" t="s">
        <v>96</v>
      </c>
      <c r="D96" s="111">
        <v>23</v>
      </c>
      <c r="E96" s="112">
        <v>1</v>
      </c>
      <c r="F96" s="113" t="s">
        <v>116</v>
      </c>
      <c r="G96" s="7"/>
      <c r="H96" s="7"/>
      <c r="I96" s="117"/>
      <c r="J96" s="118"/>
      <c r="K96" s="117" t="s">
        <v>101</v>
      </c>
      <c r="L96" s="119" t="s">
        <v>117</v>
      </c>
      <c r="M96" s="117">
        <f t="shared" si="3"/>
        <v>0</v>
      </c>
      <c r="N96" s="120" t="s">
        <v>117</v>
      </c>
      <c r="O96" s="116"/>
      <c r="P96" s="109"/>
      <c r="Q96" s="109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</row>
    <row r="97" spans="1:29" ht="18" customHeight="1">
      <c r="A97" s="7">
        <v>95</v>
      </c>
      <c r="B97" s="7" t="s">
        <v>199</v>
      </c>
      <c r="C97" s="111" t="s">
        <v>96</v>
      </c>
      <c r="D97" s="111">
        <v>4</v>
      </c>
      <c r="E97" s="112">
        <v>1</v>
      </c>
      <c r="F97" s="113" t="s">
        <v>116</v>
      </c>
      <c r="G97" s="7"/>
      <c r="H97" s="7"/>
      <c r="I97" s="112"/>
      <c r="J97" s="113"/>
      <c r="K97" s="112" t="s">
        <v>101</v>
      </c>
      <c r="L97" s="114" t="s">
        <v>117</v>
      </c>
      <c r="M97" s="112">
        <f t="shared" si="3"/>
        <v>0</v>
      </c>
      <c r="N97" s="115" t="s">
        <v>117</v>
      </c>
      <c r="O97" s="109"/>
      <c r="P97" s="116"/>
      <c r="Q97" s="116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</row>
    <row r="98" spans="1:29" s="9" customFormat="1" ht="18" customHeight="1">
      <c r="A98" s="8">
        <v>96</v>
      </c>
      <c r="B98" s="8" t="s">
        <v>200</v>
      </c>
      <c r="C98" s="111" t="s">
        <v>96</v>
      </c>
      <c r="D98" s="111">
        <v>4</v>
      </c>
      <c r="E98" s="112">
        <v>1</v>
      </c>
      <c r="F98" s="113" t="s">
        <v>116</v>
      </c>
      <c r="G98" s="7"/>
      <c r="H98" s="7"/>
      <c r="I98" s="117"/>
      <c r="J98" s="118"/>
      <c r="K98" s="117" t="s">
        <v>101</v>
      </c>
      <c r="L98" s="119" t="s">
        <v>117</v>
      </c>
      <c r="M98" s="117">
        <f t="shared" si="3"/>
        <v>0</v>
      </c>
      <c r="N98" s="120" t="s">
        <v>117</v>
      </c>
      <c r="O98" s="116"/>
      <c r="P98" s="109"/>
      <c r="Q98" s="109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</row>
    <row r="99" spans="1:29" ht="18" customHeight="1">
      <c r="A99" s="7">
        <v>97</v>
      </c>
      <c r="B99" s="7" t="s">
        <v>201</v>
      </c>
      <c r="C99" s="7"/>
      <c r="D99" s="7"/>
      <c r="E99" s="112"/>
      <c r="F99" s="113"/>
      <c r="G99" s="7"/>
      <c r="H99" s="7"/>
      <c r="I99" s="112"/>
      <c r="J99" s="113"/>
      <c r="K99" s="112" t="s">
        <v>101</v>
      </c>
      <c r="L99" s="114" t="s">
        <v>117</v>
      </c>
      <c r="M99" s="112">
        <f t="shared" ref="M99:M125" si="4">1-(E99+I99)</f>
        <v>1</v>
      </c>
      <c r="N99" s="115" t="s">
        <v>117</v>
      </c>
      <c r="O99" s="109"/>
      <c r="P99" s="116"/>
      <c r="Q99" s="116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</row>
    <row r="100" spans="1:29" s="9" customFormat="1" ht="18" customHeight="1">
      <c r="A100" s="8">
        <v>98</v>
      </c>
      <c r="B100" s="8" t="s">
        <v>202</v>
      </c>
      <c r="C100" s="111" t="s">
        <v>91</v>
      </c>
      <c r="D100" s="111">
        <v>33</v>
      </c>
      <c r="E100" s="112">
        <v>1</v>
      </c>
      <c r="F100" s="113" t="s">
        <v>116</v>
      </c>
      <c r="G100" s="7"/>
      <c r="H100" s="7"/>
      <c r="I100" s="117"/>
      <c r="J100" s="118"/>
      <c r="K100" s="117" t="s">
        <v>101</v>
      </c>
      <c r="L100" s="119" t="s">
        <v>117</v>
      </c>
      <c r="M100" s="117">
        <f t="shared" si="4"/>
        <v>0</v>
      </c>
      <c r="N100" s="120" t="s">
        <v>117</v>
      </c>
      <c r="O100" s="116"/>
      <c r="P100" s="109"/>
      <c r="Q100" s="109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</row>
    <row r="101" spans="1:29" ht="18" customHeight="1">
      <c r="A101" s="7">
        <v>99</v>
      </c>
      <c r="B101" s="7" t="s">
        <v>203</v>
      </c>
      <c r="C101" s="111" t="s">
        <v>91</v>
      </c>
      <c r="D101" s="111">
        <v>33</v>
      </c>
      <c r="E101" s="112">
        <v>0.3</v>
      </c>
      <c r="F101" s="113" t="s">
        <v>116</v>
      </c>
      <c r="G101" s="7"/>
      <c r="H101" s="7"/>
      <c r="I101" s="112"/>
      <c r="J101" s="113"/>
      <c r="K101" s="112" t="s">
        <v>101</v>
      </c>
      <c r="L101" s="114" t="s">
        <v>117</v>
      </c>
      <c r="M101" s="112">
        <f t="shared" si="4"/>
        <v>0.7</v>
      </c>
      <c r="N101" s="115" t="s">
        <v>117</v>
      </c>
      <c r="O101" s="109"/>
      <c r="P101" s="116"/>
      <c r="Q101" s="116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</row>
    <row r="102" spans="1:29" s="9" customFormat="1" ht="18" customHeight="1">
      <c r="A102" s="8">
        <v>100</v>
      </c>
      <c r="B102" s="8" t="s">
        <v>204</v>
      </c>
      <c r="C102" s="111" t="s">
        <v>91</v>
      </c>
      <c r="D102" s="111">
        <v>12</v>
      </c>
      <c r="E102" s="112">
        <v>1</v>
      </c>
      <c r="F102" s="113" t="s">
        <v>116</v>
      </c>
      <c r="G102" s="7"/>
      <c r="H102" s="7"/>
      <c r="I102" s="117"/>
      <c r="J102" s="118"/>
      <c r="K102" s="117" t="s">
        <v>101</v>
      </c>
      <c r="L102" s="119" t="s">
        <v>117</v>
      </c>
      <c r="M102" s="117">
        <f t="shared" si="4"/>
        <v>0</v>
      </c>
      <c r="N102" s="120" t="s">
        <v>117</v>
      </c>
      <c r="O102" s="116"/>
      <c r="P102" s="109"/>
      <c r="Q102" s="109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</row>
    <row r="103" spans="1:29" ht="18" customHeight="1">
      <c r="A103" s="7">
        <v>101</v>
      </c>
      <c r="B103" s="7" t="s">
        <v>205</v>
      </c>
      <c r="C103" s="111" t="s">
        <v>91</v>
      </c>
      <c r="D103" s="111">
        <v>33</v>
      </c>
      <c r="E103" s="112">
        <v>0.3</v>
      </c>
      <c r="F103" s="113" t="s">
        <v>116</v>
      </c>
      <c r="G103" s="7"/>
      <c r="H103" s="7"/>
      <c r="I103" s="112"/>
      <c r="J103" s="113"/>
      <c r="K103" s="112" t="s">
        <v>101</v>
      </c>
      <c r="L103" s="114" t="s">
        <v>117</v>
      </c>
      <c r="M103" s="112">
        <f t="shared" si="4"/>
        <v>0.7</v>
      </c>
      <c r="N103" s="115" t="s">
        <v>117</v>
      </c>
      <c r="O103" s="109"/>
      <c r="P103" s="116"/>
      <c r="Q103" s="116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</row>
    <row r="104" spans="1:29" s="9" customFormat="1" ht="18" customHeight="1">
      <c r="A104" s="8">
        <v>102</v>
      </c>
      <c r="B104" s="8" t="s">
        <v>206</v>
      </c>
      <c r="C104" s="111" t="s">
        <v>91</v>
      </c>
      <c r="D104" s="111">
        <v>14</v>
      </c>
      <c r="E104" s="112">
        <v>1</v>
      </c>
      <c r="F104" s="113" t="s">
        <v>116</v>
      </c>
      <c r="G104" s="7"/>
      <c r="H104" s="7"/>
      <c r="I104" s="117"/>
      <c r="J104" s="118"/>
      <c r="K104" s="117" t="s">
        <v>101</v>
      </c>
      <c r="L104" s="119" t="s">
        <v>117</v>
      </c>
      <c r="M104" s="117">
        <f t="shared" si="4"/>
        <v>0</v>
      </c>
      <c r="N104" s="120" t="s">
        <v>117</v>
      </c>
      <c r="O104" s="116"/>
      <c r="P104" s="109"/>
      <c r="Q104" s="109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</row>
    <row r="105" spans="1:29" ht="18" customHeight="1">
      <c r="A105" s="7">
        <v>103</v>
      </c>
      <c r="B105" s="7" t="s">
        <v>207</v>
      </c>
      <c r="C105" s="111" t="s">
        <v>91</v>
      </c>
      <c r="D105" s="111">
        <v>33</v>
      </c>
      <c r="E105" s="112">
        <v>1</v>
      </c>
      <c r="F105" s="113" t="s">
        <v>116</v>
      </c>
      <c r="G105" s="7"/>
      <c r="H105" s="7"/>
      <c r="I105" s="112"/>
      <c r="J105" s="113"/>
      <c r="K105" s="112" t="s">
        <v>101</v>
      </c>
      <c r="L105" s="114" t="s">
        <v>117</v>
      </c>
      <c r="M105" s="112">
        <f t="shared" si="4"/>
        <v>0</v>
      </c>
      <c r="N105" s="115" t="s">
        <v>117</v>
      </c>
      <c r="O105" s="109"/>
      <c r="P105" s="116"/>
      <c r="Q105" s="116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</row>
    <row r="106" spans="1:29" s="9" customFormat="1" ht="18" customHeight="1">
      <c r="A106" s="8">
        <v>104</v>
      </c>
      <c r="B106" s="8" t="s">
        <v>208</v>
      </c>
      <c r="C106" s="111" t="s">
        <v>91</v>
      </c>
      <c r="D106" s="111">
        <v>14</v>
      </c>
      <c r="E106" s="112">
        <v>0.3</v>
      </c>
      <c r="F106" s="113" t="s">
        <v>116</v>
      </c>
      <c r="G106" s="7"/>
      <c r="H106" s="7"/>
      <c r="I106" s="117"/>
      <c r="J106" s="118"/>
      <c r="K106" s="117" t="s">
        <v>101</v>
      </c>
      <c r="L106" s="119" t="s">
        <v>117</v>
      </c>
      <c r="M106" s="117">
        <f t="shared" si="4"/>
        <v>0.7</v>
      </c>
      <c r="N106" s="120" t="s">
        <v>117</v>
      </c>
      <c r="O106" s="116"/>
      <c r="P106" s="109"/>
      <c r="Q106" s="109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</row>
    <row r="107" spans="1:29" ht="18" customHeight="1">
      <c r="A107" s="7">
        <v>105</v>
      </c>
      <c r="B107" s="7" t="s">
        <v>209</v>
      </c>
      <c r="C107" s="111" t="s">
        <v>96</v>
      </c>
      <c r="D107" s="111">
        <v>23</v>
      </c>
      <c r="E107" s="112">
        <v>0.2</v>
      </c>
      <c r="F107" s="113" t="s">
        <v>116</v>
      </c>
      <c r="G107" s="7"/>
      <c r="H107" s="7"/>
      <c r="I107" s="112"/>
      <c r="J107" s="113"/>
      <c r="K107" s="112" t="s">
        <v>101</v>
      </c>
      <c r="L107" s="114" t="s">
        <v>117</v>
      </c>
      <c r="M107" s="112">
        <f t="shared" si="4"/>
        <v>0.8</v>
      </c>
      <c r="N107" s="115" t="s">
        <v>117</v>
      </c>
      <c r="O107" s="109"/>
      <c r="P107" s="116"/>
      <c r="Q107" s="116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</row>
    <row r="108" spans="1:29" s="9" customFormat="1" ht="18" customHeight="1">
      <c r="A108" s="8">
        <v>106</v>
      </c>
      <c r="B108" s="8" t="s">
        <v>210</v>
      </c>
      <c r="C108" s="7"/>
      <c r="D108" s="7"/>
      <c r="E108" s="112"/>
      <c r="F108" s="113"/>
      <c r="G108" s="7"/>
      <c r="H108" s="7"/>
      <c r="I108" s="117"/>
      <c r="J108" s="118"/>
      <c r="K108" s="117" t="s">
        <v>101</v>
      </c>
      <c r="L108" s="119" t="s">
        <v>117</v>
      </c>
      <c r="M108" s="117">
        <f t="shared" si="4"/>
        <v>1</v>
      </c>
      <c r="N108" s="120" t="s">
        <v>117</v>
      </c>
      <c r="O108" s="116"/>
      <c r="P108" s="109"/>
      <c r="Q108" s="109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</row>
    <row r="109" spans="1:29" ht="18" customHeight="1">
      <c r="A109" s="7">
        <v>107</v>
      </c>
      <c r="B109" s="7" t="s">
        <v>211</v>
      </c>
      <c r="C109" s="111" t="s">
        <v>91</v>
      </c>
      <c r="D109" s="111">
        <v>24</v>
      </c>
      <c r="E109" s="112">
        <v>0.1</v>
      </c>
      <c r="F109" s="113" t="s">
        <v>116</v>
      </c>
      <c r="G109" s="7"/>
      <c r="H109" s="7"/>
      <c r="I109" s="112"/>
      <c r="J109" s="113"/>
      <c r="K109" s="112" t="s">
        <v>101</v>
      </c>
      <c r="L109" s="114" t="s">
        <v>117</v>
      </c>
      <c r="M109" s="112">
        <f t="shared" si="4"/>
        <v>0.9</v>
      </c>
      <c r="N109" s="115" t="s">
        <v>117</v>
      </c>
      <c r="O109" s="109"/>
      <c r="P109" s="116"/>
      <c r="Q109" s="116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</row>
    <row r="110" spans="1:29" s="9" customFormat="1" ht="18" customHeight="1">
      <c r="A110" s="8">
        <v>108</v>
      </c>
      <c r="B110" s="8" t="s">
        <v>212</v>
      </c>
      <c r="C110" s="111" t="s">
        <v>91</v>
      </c>
      <c r="D110" s="111">
        <v>21</v>
      </c>
      <c r="E110" s="112">
        <v>1</v>
      </c>
      <c r="F110" s="113" t="s">
        <v>116</v>
      </c>
      <c r="G110" s="7"/>
      <c r="H110" s="7"/>
      <c r="I110" s="117"/>
      <c r="J110" s="118"/>
      <c r="K110" s="117" t="s">
        <v>101</v>
      </c>
      <c r="L110" s="119" t="s">
        <v>117</v>
      </c>
      <c r="M110" s="117">
        <f t="shared" si="4"/>
        <v>0</v>
      </c>
      <c r="N110" s="120" t="s">
        <v>117</v>
      </c>
      <c r="O110" s="116"/>
      <c r="P110" s="109"/>
      <c r="Q110" s="109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</row>
    <row r="111" spans="1:29" ht="18" customHeight="1">
      <c r="A111" s="7">
        <v>109</v>
      </c>
      <c r="B111" s="7" t="s">
        <v>213</v>
      </c>
      <c r="C111" s="7"/>
      <c r="D111" s="7"/>
      <c r="E111" s="112"/>
      <c r="F111" s="113"/>
      <c r="G111" s="7"/>
      <c r="H111" s="7"/>
      <c r="I111" s="112"/>
      <c r="J111" s="113"/>
      <c r="K111" s="112" t="s">
        <v>101</v>
      </c>
      <c r="L111" s="114" t="s">
        <v>117</v>
      </c>
      <c r="M111" s="112">
        <f t="shared" si="4"/>
        <v>1</v>
      </c>
      <c r="N111" s="115" t="s">
        <v>117</v>
      </c>
      <c r="O111" s="109"/>
      <c r="P111" s="116"/>
      <c r="Q111" s="116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</row>
    <row r="112" spans="1:29" s="9" customFormat="1" ht="18" customHeight="1">
      <c r="A112" s="8">
        <v>110</v>
      </c>
      <c r="B112" s="8" t="s">
        <v>214</v>
      </c>
      <c r="C112" s="7"/>
      <c r="D112" s="7"/>
      <c r="E112" s="112"/>
      <c r="F112" s="113"/>
      <c r="G112" s="7"/>
      <c r="H112" s="7"/>
      <c r="I112" s="117"/>
      <c r="J112" s="118"/>
      <c r="K112" s="117" t="s">
        <v>101</v>
      </c>
      <c r="L112" s="119" t="s">
        <v>117</v>
      </c>
      <c r="M112" s="117">
        <f t="shared" si="4"/>
        <v>1</v>
      </c>
      <c r="N112" s="120" t="s">
        <v>117</v>
      </c>
      <c r="O112" s="116"/>
      <c r="P112" s="109"/>
      <c r="Q112" s="109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</row>
    <row r="113" spans="1:29" ht="18" customHeight="1">
      <c r="A113" s="7">
        <v>111</v>
      </c>
      <c r="B113" s="7" t="s">
        <v>215</v>
      </c>
      <c r="C113" s="7"/>
      <c r="D113" s="7"/>
      <c r="E113" s="112"/>
      <c r="F113" s="113"/>
      <c r="G113" s="7"/>
      <c r="H113" s="7"/>
      <c r="I113" s="112"/>
      <c r="J113" s="113"/>
      <c r="K113" s="112" t="s">
        <v>101</v>
      </c>
      <c r="L113" s="114" t="s">
        <v>117</v>
      </c>
      <c r="M113" s="112">
        <f t="shared" si="4"/>
        <v>1</v>
      </c>
      <c r="N113" s="115" t="s">
        <v>117</v>
      </c>
      <c r="O113" s="109"/>
      <c r="P113" s="116"/>
      <c r="Q113" s="116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</row>
    <row r="114" spans="1:29" s="9" customFormat="1" ht="18" customHeight="1">
      <c r="A114" s="8">
        <v>112</v>
      </c>
      <c r="B114" s="8" t="s">
        <v>216</v>
      </c>
      <c r="C114" s="7"/>
      <c r="D114" s="7"/>
      <c r="E114" s="112"/>
      <c r="F114" s="113"/>
      <c r="G114" s="7"/>
      <c r="H114" s="7"/>
      <c r="I114" s="117"/>
      <c r="J114" s="118"/>
      <c r="K114" s="117" t="s">
        <v>101</v>
      </c>
      <c r="L114" s="119" t="s">
        <v>117</v>
      </c>
      <c r="M114" s="117">
        <f t="shared" si="4"/>
        <v>1</v>
      </c>
      <c r="N114" s="120" t="s">
        <v>117</v>
      </c>
      <c r="O114" s="116"/>
      <c r="P114" s="109"/>
      <c r="Q114" s="109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</row>
    <row r="115" spans="1:29" ht="18" customHeight="1">
      <c r="A115" s="7">
        <v>113</v>
      </c>
      <c r="B115" s="7" t="s">
        <v>217</v>
      </c>
      <c r="C115" s="111" t="s">
        <v>91</v>
      </c>
      <c r="D115" s="111">
        <v>28</v>
      </c>
      <c r="E115" s="112">
        <v>0.4</v>
      </c>
      <c r="F115" s="113" t="s">
        <v>116</v>
      </c>
      <c r="G115" s="111" t="s">
        <v>91</v>
      </c>
      <c r="H115" s="111">
        <v>4</v>
      </c>
      <c r="I115" s="112">
        <v>0.2</v>
      </c>
      <c r="J115" s="113" t="s">
        <v>116</v>
      </c>
      <c r="K115" s="112" t="s">
        <v>101</v>
      </c>
      <c r="L115" s="114" t="s">
        <v>117</v>
      </c>
      <c r="M115" s="112">
        <f t="shared" si="4"/>
        <v>0.39999999999999991</v>
      </c>
      <c r="N115" s="115" t="s">
        <v>117</v>
      </c>
      <c r="O115" s="109"/>
      <c r="P115" s="116"/>
      <c r="Q115" s="116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</row>
    <row r="116" spans="1:29" s="9" customFormat="1" ht="18" customHeight="1">
      <c r="A116" s="8">
        <v>114</v>
      </c>
      <c r="B116" s="8" t="s">
        <v>218</v>
      </c>
      <c r="C116" s="111" t="s">
        <v>91</v>
      </c>
      <c r="D116" s="111">
        <v>20</v>
      </c>
      <c r="E116" s="112">
        <v>1</v>
      </c>
      <c r="F116" s="113" t="s">
        <v>116</v>
      </c>
      <c r="G116" s="7"/>
      <c r="H116" s="7"/>
      <c r="I116" s="117"/>
      <c r="J116" s="118"/>
      <c r="K116" s="117" t="s">
        <v>101</v>
      </c>
      <c r="L116" s="119" t="s">
        <v>117</v>
      </c>
      <c r="M116" s="117">
        <f t="shared" si="4"/>
        <v>0</v>
      </c>
      <c r="N116" s="120" t="s">
        <v>117</v>
      </c>
      <c r="O116" s="116"/>
      <c r="P116" s="109"/>
      <c r="Q116" s="109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</row>
    <row r="117" spans="1:29" ht="18" customHeight="1">
      <c r="A117" s="7">
        <v>115</v>
      </c>
      <c r="B117" s="7" t="s">
        <v>219</v>
      </c>
      <c r="C117" s="7"/>
      <c r="D117" s="7"/>
      <c r="E117" s="112"/>
      <c r="F117" s="113"/>
      <c r="G117" s="7"/>
      <c r="H117" s="7"/>
      <c r="I117" s="112"/>
      <c r="J117" s="113"/>
      <c r="K117" s="112" t="s">
        <v>101</v>
      </c>
      <c r="L117" s="114" t="s">
        <v>117</v>
      </c>
      <c r="M117" s="112">
        <f t="shared" si="4"/>
        <v>1</v>
      </c>
      <c r="N117" s="115" t="s">
        <v>117</v>
      </c>
      <c r="O117" s="109"/>
      <c r="P117" s="116"/>
      <c r="Q117" s="116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</row>
    <row r="118" spans="1:29" s="9" customFormat="1" ht="18" customHeight="1">
      <c r="A118" s="8">
        <v>116</v>
      </c>
      <c r="B118" s="8" t="s">
        <v>220</v>
      </c>
      <c r="C118" s="7"/>
      <c r="D118" s="7"/>
      <c r="E118" s="112"/>
      <c r="F118" s="113"/>
      <c r="G118" s="7"/>
      <c r="H118" s="7"/>
      <c r="I118" s="117"/>
      <c r="J118" s="118"/>
      <c r="K118" s="117" t="s">
        <v>101</v>
      </c>
      <c r="L118" s="119" t="s">
        <v>117</v>
      </c>
      <c r="M118" s="117">
        <f t="shared" si="4"/>
        <v>1</v>
      </c>
      <c r="N118" s="120" t="s">
        <v>117</v>
      </c>
      <c r="O118" s="116"/>
      <c r="P118" s="109"/>
      <c r="Q118" s="109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</row>
    <row r="119" spans="1:29" ht="18" customHeight="1">
      <c r="A119" s="7">
        <v>117</v>
      </c>
      <c r="B119" s="7" t="s">
        <v>221</v>
      </c>
      <c r="C119" s="111" t="s">
        <v>96</v>
      </c>
      <c r="D119" s="111">
        <v>19</v>
      </c>
      <c r="E119" s="112">
        <v>1</v>
      </c>
      <c r="F119" s="113" t="s">
        <v>116</v>
      </c>
      <c r="G119" s="7"/>
      <c r="H119" s="7"/>
      <c r="I119" s="112"/>
      <c r="J119" s="113"/>
      <c r="K119" s="112" t="s">
        <v>101</v>
      </c>
      <c r="L119" s="114" t="s">
        <v>117</v>
      </c>
      <c r="M119" s="112">
        <f t="shared" si="4"/>
        <v>0</v>
      </c>
      <c r="N119" s="115" t="s">
        <v>117</v>
      </c>
      <c r="O119" s="109"/>
      <c r="P119" s="116"/>
      <c r="Q119" s="116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</row>
    <row r="120" spans="1:29" s="9" customFormat="1" ht="18" customHeight="1">
      <c r="A120" s="8">
        <v>118</v>
      </c>
      <c r="B120" s="8" t="s">
        <v>222</v>
      </c>
      <c r="C120" s="111" t="s">
        <v>189</v>
      </c>
      <c r="D120" s="111">
        <v>1</v>
      </c>
      <c r="E120" s="112">
        <v>1</v>
      </c>
      <c r="F120" s="113" t="s">
        <v>133</v>
      </c>
      <c r="G120" s="7"/>
      <c r="H120" s="7"/>
      <c r="I120" s="117"/>
      <c r="J120" s="118"/>
      <c r="K120" s="117" t="s">
        <v>101</v>
      </c>
      <c r="L120" s="119" t="s">
        <v>117</v>
      </c>
      <c r="M120" s="117">
        <f t="shared" si="4"/>
        <v>0</v>
      </c>
      <c r="N120" s="120" t="s">
        <v>117</v>
      </c>
      <c r="O120" s="116"/>
      <c r="P120" s="109"/>
      <c r="Q120" s="109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</row>
    <row r="121" spans="1:29" ht="18" customHeight="1">
      <c r="A121" s="7">
        <v>119</v>
      </c>
      <c r="B121" s="7" t="s">
        <v>223</v>
      </c>
      <c r="C121" s="111" t="s">
        <v>189</v>
      </c>
      <c r="D121" s="111">
        <v>2</v>
      </c>
      <c r="E121" s="112">
        <v>1</v>
      </c>
      <c r="F121" s="113" t="s">
        <v>116</v>
      </c>
      <c r="G121" s="7"/>
      <c r="H121" s="7"/>
      <c r="I121" s="112"/>
      <c r="J121" s="113"/>
      <c r="K121" s="112" t="s">
        <v>101</v>
      </c>
      <c r="L121" s="114" t="s">
        <v>117</v>
      </c>
      <c r="M121" s="112">
        <f t="shared" si="4"/>
        <v>0</v>
      </c>
      <c r="N121" s="115" t="s">
        <v>117</v>
      </c>
      <c r="O121" s="109"/>
      <c r="P121" s="116"/>
      <c r="Q121" s="116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</row>
    <row r="122" spans="1:29" s="9" customFormat="1" ht="18" customHeight="1">
      <c r="A122" s="8">
        <v>120</v>
      </c>
      <c r="B122" s="8" t="s">
        <v>224</v>
      </c>
      <c r="C122" s="111" t="s">
        <v>189</v>
      </c>
      <c r="D122" s="111">
        <v>3</v>
      </c>
      <c r="E122" s="112">
        <v>1</v>
      </c>
      <c r="F122" s="113" t="s">
        <v>116</v>
      </c>
      <c r="G122" s="7"/>
      <c r="H122" s="7"/>
      <c r="I122" s="117"/>
      <c r="J122" s="118"/>
      <c r="K122" s="117" t="s">
        <v>101</v>
      </c>
      <c r="L122" s="119" t="s">
        <v>117</v>
      </c>
      <c r="M122" s="117">
        <f t="shared" si="4"/>
        <v>0</v>
      </c>
      <c r="N122" s="120" t="s">
        <v>117</v>
      </c>
      <c r="O122" s="116"/>
      <c r="P122" s="109"/>
      <c r="Q122" s="109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</row>
    <row r="123" spans="1:29" ht="18" customHeight="1">
      <c r="A123" s="7">
        <v>121</v>
      </c>
      <c r="B123" s="7" t="s">
        <v>225</v>
      </c>
      <c r="C123" s="111" t="s">
        <v>96</v>
      </c>
      <c r="D123" s="111">
        <v>16</v>
      </c>
      <c r="E123" s="112">
        <v>1</v>
      </c>
      <c r="F123" s="113" t="s">
        <v>116</v>
      </c>
      <c r="G123" s="7"/>
      <c r="H123" s="7"/>
      <c r="I123" s="112"/>
      <c r="J123" s="113"/>
      <c r="K123" s="112" t="s">
        <v>101</v>
      </c>
      <c r="L123" s="114" t="s">
        <v>117</v>
      </c>
      <c r="M123" s="112">
        <f t="shared" si="4"/>
        <v>0</v>
      </c>
      <c r="N123" s="115" t="s">
        <v>117</v>
      </c>
      <c r="O123" s="109"/>
      <c r="P123" s="116"/>
      <c r="Q123" s="116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</row>
    <row r="124" spans="1:29" s="9" customFormat="1" ht="18" customHeight="1">
      <c r="A124" s="8">
        <v>122</v>
      </c>
      <c r="B124" s="8" t="s">
        <v>226</v>
      </c>
      <c r="C124" s="111" t="s">
        <v>96</v>
      </c>
      <c r="D124" s="111">
        <v>16</v>
      </c>
      <c r="E124" s="112">
        <v>0.5</v>
      </c>
      <c r="F124" s="113" t="s">
        <v>116</v>
      </c>
      <c r="G124" s="7"/>
      <c r="H124" s="7"/>
      <c r="I124" s="117"/>
      <c r="J124" s="118"/>
      <c r="K124" s="117" t="s">
        <v>101</v>
      </c>
      <c r="L124" s="119" t="s">
        <v>117</v>
      </c>
      <c r="M124" s="117">
        <f t="shared" si="4"/>
        <v>0.5</v>
      </c>
      <c r="N124" s="120" t="s">
        <v>117</v>
      </c>
      <c r="O124" s="116"/>
      <c r="P124" s="109"/>
      <c r="Q124" s="109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</row>
    <row r="125" spans="1:29" ht="18" customHeight="1">
      <c r="A125" s="7">
        <v>123</v>
      </c>
      <c r="B125" s="7" t="s">
        <v>227</v>
      </c>
      <c r="C125" s="111" t="s">
        <v>170</v>
      </c>
      <c r="D125" s="111">
        <v>4</v>
      </c>
      <c r="E125" s="112">
        <v>1</v>
      </c>
      <c r="F125" s="113" t="s">
        <v>116</v>
      </c>
      <c r="G125" s="7"/>
      <c r="H125" s="7"/>
      <c r="I125" s="112"/>
      <c r="J125" s="113"/>
      <c r="K125" s="112" t="s">
        <v>101</v>
      </c>
      <c r="L125" s="114" t="s">
        <v>117</v>
      </c>
      <c r="M125" s="112">
        <f t="shared" si="4"/>
        <v>0</v>
      </c>
      <c r="N125" s="115" t="s">
        <v>117</v>
      </c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</row>
    <row r="126" spans="1:29" ht="21" customHeight="1">
      <c r="E126" s="1"/>
      <c r="F126" s="1"/>
    </row>
    <row r="127" spans="1:29" ht="21" customHeight="1">
      <c r="E127" s="1"/>
      <c r="F127" s="1"/>
    </row>
    <row r="128" spans="1:29" ht="21" customHeight="1">
      <c r="E128" s="1"/>
      <c r="F128" s="1"/>
    </row>
    <row r="129" spans="5:6" ht="21" customHeight="1">
      <c r="E129" s="1"/>
      <c r="F129" s="1"/>
    </row>
    <row r="130" spans="5:6" ht="21" customHeight="1">
      <c r="E130" s="1"/>
      <c r="F130" s="1"/>
    </row>
    <row r="131" spans="5:6" ht="21" customHeight="1">
      <c r="E131" s="1"/>
      <c r="F131" s="1"/>
    </row>
    <row r="132" spans="5:6" ht="21" customHeight="1">
      <c r="E132" s="1"/>
      <c r="F132" s="1"/>
    </row>
    <row r="133" spans="5:6" ht="21" customHeight="1">
      <c r="E133" s="1"/>
      <c r="F133" s="1"/>
    </row>
    <row r="134" spans="5:6" ht="21" customHeight="1">
      <c r="E134" s="1"/>
      <c r="F134" s="1"/>
    </row>
    <row r="135" spans="5:6" ht="21" customHeight="1">
      <c r="E135" s="1"/>
      <c r="F135" s="1"/>
    </row>
    <row r="136" spans="5:6" ht="21" customHeight="1">
      <c r="E136" s="1"/>
      <c r="F136" s="1"/>
    </row>
    <row r="137" spans="5:6" ht="21" customHeight="1">
      <c r="E137" s="1"/>
      <c r="F137" s="1"/>
    </row>
    <row r="138" spans="5:6" ht="21" customHeight="1">
      <c r="E138" s="1"/>
      <c r="F138" s="1"/>
    </row>
    <row r="139" spans="5:6" ht="21" customHeight="1">
      <c r="E139" s="1"/>
      <c r="F139" s="1"/>
    </row>
    <row r="140" spans="5:6" ht="21" customHeight="1">
      <c r="E140" s="1"/>
      <c r="F140" s="1"/>
    </row>
    <row r="141" spans="5:6" ht="21" customHeight="1">
      <c r="E141" s="1"/>
      <c r="F141" s="1"/>
    </row>
    <row r="142" spans="5:6" ht="21" customHeight="1">
      <c r="E142" s="1"/>
      <c r="F142" s="1"/>
    </row>
    <row r="143" spans="5:6" ht="21" customHeight="1">
      <c r="E143" s="1"/>
      <c r="F143" s="1"/>
    </row>
    <row r="144" spans="5:6" ht="21" customHeight="1">
      <c r="E144" s="1"/>
      <c r="F144" s="1"/>
    </row>
    <row r="145" spans="5:6" ht="21" customHeight="1">
      <c r="E145" s="1"/>
      <c r="F145" s="1"/>
    </row>
    <row r="146" spans="5:6" ht="21" customHeight="1">
      <c r="E146" s="1"/>
      <c r="F146" s="1"/>
    </row>
    <row r="147" spans="5:6" ht="21" customHeight="1">
      <c r="E147" s="1"/>
      <c r="F147" s="1"/>
    </row>
    <row r="148" spans="5:6" ht="21" customHeight="1">
      <c r="E148" s="1"/>
      <c r="F148" s="1"/>
    </row>
    <row r="149" spans="5:6" ht="21" customHeight="1">
      <c r="E149" s="1"/>
      <c r="F149" s="1"/>
    </row>
    <row r="150" spans="5:6" ht="21" customHeight="1">
      <c r="E150" s="1"/>
      <c r="F150" s="1"/>
    </row>
    <row r="151" spans="5:6" ht="21" customHeight="1">
      <c r="E151" s="1"/>
      <c r="F151" s="1"/>
    </row>
    <row r="152" spans="5:6" ht="21" customHeight="1">
      <c r="E152" s="1"/>
      <c r="F152" s="1"/>
    </row>
    <row r="153" spans="5:6" ht="21" customHeight="1">
      <c r="E153" s="1"/>
      <c r="F153" s="1"/>
    </row>
    <row r="154" spans="5:6" ht="21" customHeight="1">
      <c r="E154" s="1"/>
      <c r="F154" s="1"/>
    </row>
    <row r="155" spans="5:6" ht="21" customHeight="1">
      <c r="E155" s="1"/>
      <c r="F155" s="1"/>
    </row>
    <row r="156" spans="5:6" ht="21" customHeight="1">
      <c r="E156" s="1"/>
      <c r="F156" s="1"/>
    </row>
    <row r="157" spans="5:6" ht="21" customHeight="1">
      <c r="E157" s="1"/>
      <c r="F157" s="1"/>
    </row>
    <row r="158" spans="5:6" ht="21" customHeight="1">
      <c r="E158" s="1"/>
      <c r="F158" s="1"/>
    </row>
    <row r="159" spans="5:6" ht="21" customHeight="1">
      <c r="E159" s="1"/>
      <c r="F159" s="1"/>
    </row>
    <row r="160" spans="5:6" ht="21" customHeight="1">
      <c r="E160" s="1"/>
      <c r="F160" s="1"/>
    </row>
    <row r="161" spans="5:6" ht="21" customHeight="1">
      <c r="E161" s="1"/>
      <c r="F161" s="1"/>
    </row>
    <row r="162" spans="5:6" ht="21" customHeight="1">
      <c r="E162" s="1"/>
      <c r="F162" s="1"/>
    </row>
    <row r="163" spans="5:6" ht="21" customHeight="1">
      <c r="E163" s="1"/>
      <c r="F163" s="1"/>
    </row>
    <row r="164" spans="5:6" ht="21" customHeight="1">
      <c r="E164" s="1"/>
      <c r="F164" s="1"/>
    </row>
    <row r="165" spans="5:6" ht="21" customHeight="1">
      <c r="E165" s="1"/>
      <c r="F165" s="1"/>
    </row>
    <row r="166" spans="5:6" ht="21" customHeight="1">
      <c r="E166" s="1"/>
      <c r="F166" s="1"/>
    </row>
    <row r="167" spans="5:6" ht="21" customHeight="1">
      <c r="E167" s="1"/>
      <c r="F167" s="1"/>
    </row>
    <row r="168" spans="5:6" ht="21" customHeight="1">
      <c r="E168" s="1"/>
      <c r="F168" s="1"/>
    </row>
    <row r="169" spans="5:6" ht="21" customHeight="1">
      <c r="E169" s="1"/>
      <c r="F169" s="1"/>
    </row>
    <row r="170" spans="5:6" ht="21" customHeight="1">
      <c r="E170" s="1"/>
      <c r="F170" s="1"/>
    </row>
    <row r="171" spans="5:6" ht="21" customHeight="1">
      <c r="E171" s="1"/>
      <c r="F171" s="1"/>
    </row>
    <row r="172" spans="5:6" ht="21" customHeight="1">
      <c r="E172" s="1"/>
      <c r="F172" s="1"/>
    </row>
    <row r="173" spans="5:6" ht="21" customHeight="1">
      <c r="E173" s="1"/>
      <c r="F173" s="1"/>
    </row>
    <row r="174" spans="5:6" ht="21" customHeight="1">
      <c r="E174" s="1"/>
      <c r="F174" s="1"/>
    </row>
    <row r="175" spans="5:6" ht="21" customHeight="1">
      <c r="E175" s="1"/>
      <c r="F175" s="1"/>
    </row>
    <row r="176" spans="5:6" ht="21" customHeight="1">
      <c r="E176" s="1"/>
      <c r="F176" s="1"/>
    </row>
    <row r="177" spans="5:6" ht="21" customHeight="1">
      <c r="E177" s="1"/>
      <c r="F177" s="1"/>
    </row>
    <row r="178" spans="5:6" ht="21" customHeight="1">
      <c r="E178" s="1"/>
      <c r="F178" s="1"/>
    </row>
    <row r="179" spans="5:6" ht="21" customHeight="1">
      <c r="E179" s="1"/>
      <c r="F179" s="1"/>
    </row>
    <row r="180" spans="5:6" ht="21" customHeight="1">
      <c r="E180" s="1"/>
      <c r="F180" s="1"/>
    </row>
    <row r="181" spans="5:6" ht="21" customHeight="1">
      <c r="E181" s="1"/>
      <c r="F181" s="1"/>
    </row>
    <row r="182" spans="5:6" ht="21" customHeight="1">
      <c r="E182" s="1"/>
      <c r="F182" s="1"/>
    </row>
    <row r="183" spans="5:6" ht="21" customHeight="1">
      <c r="E183" s="1"/>
      <c r="F183" s="1"/>
    </row>
    <row r="184" spans="5:6" ht="21" customHeight="1">
      <c r="E184" s="1"/>
      <c r="F184" s="1"/>
    </row>
    <row r="185" spans="5:6" ht="21" customHeight="1">
      <c r="E185" s="1"/>
      <c r="F185" s="1"/>
    </row>
    <row r="186" spans="5:6" ht="21" customHeight="1">
      <c r="E186" s="1"/>
      <c r="F186" s="1"/>
    </row>
    <row r="187" spans="5:6" ht="21" customHeight="1">
      <c r="E187" s="1"/>
      <c r="F187" s="1"/>
    </row>
    <row r="188" spans="5:6" ht="21" customHeight="1">
      <c r="E188" s="1"/>
      <c r="F188" s="1"/>
    </row>
    <row r="189" spans="5:6" ht="21" customHeight="1">
      <c r="E189" s="1"/>
      <c r="F189" s="1"/>
    </row>
    <row r="190" spans="5:6" ht="21" customHeight="1">
      <c r="E190" s="1"/>
      <c r="F190" s="1"/>
    </row>
    <row r="191" spans="5:6" ht="21" customHeight="1">
      <c r="E191" s="1"/>
      <c r="F191" s="1"/>
    </row>
    <row r="192" spans="5:6" ht="21" customHeight="1">
      <c r="E192" s="1"/>
      <c r="F192" s="1"/>
    </row>
    <row r="193" spans="5:6" ht="21" customHeight="1">
      <c r="E193" s="1"/>
      <c r="F193" s="1"/>
    </row>
    <row r="194" spans="5:6" ht="21" customHeight="1">
      <c r="E194" s="1"/>
      <c r="F194" s="1"/>
    </row>
    <row r="195" spans="5:6" ht="21" customHeight="1">
      <c r="E195" s="1"/>
      <c r="F195" s="1"/>
    </row>
    <row r="196" spans="5:6" ht="21" customHeight="1">
      <c r="E196" s="1"/>
      <c r="F196" s="1"/>
    </row>
    <row r="197" spans="5:6" ht="21" customHeight="1">
      <c r="E197" s="1"/>
      <c r="F197" s="1"/>
    </row>
    <row r="198" spans="5:6" ht="21" customHeight="1">
      <c r="E198" s="1"/>
      <c r="F198" s="1"/>
    </row>
    <row r="199" spans="5:6" ht="21" customHeight="1">
      <c r="E199" s="1"/>
      <c r="F199" s="1"/>
    </row>
    <row r="200" spans="5:6" ht="21" customHeight="1">
      <c r="E200" s="1"/>
      <c r="F200" s="1"/>
    </row>
    <row r="201" spans="5:6" ht="21" customHeight="1">
      <c r="E201" s="1"/>
      <c r="F201" s="1"/>
    </row>
    <row r="202" spans="5:6" ht="21" customHeight="1">
      <c r="E202" s="1"/>
      <c r="F202" s="1"/>
    </row>
    <row r="203" spans="5:6" ht="21" customHeight="1">
      <c r="E203" s="1"/>
      <c r="F203" s="1"/>
    </row>
    <row r="204" spans="5:6" ht="21" customHeight="1">
      <c r="E204" s="1"/>
      <c r="F204" s="1"/>
    </row>
    <row r="205" spans="5:6" ht="21" customHeight="1">
      <c r="E205" s="1"/>
      <c r="F205" s="1"/>
    </row>
    <row r="206" spans="5:6" ht="21" customHeight="1">
      <c r="E206" s="1"/>
      <c r="F206" s="1"/>
    </row>
    <row r="207" spans="5:6" ht="21" customHeight="1">
      <c r="E207" s="1"/>
      <c r="F207" s="1"/>
    </row>
    <row r="208" spans="5:6" ht="21" customHeight="1">
      <c r="E208" s="1"/>
      <c r="F208" s="1"/>
    </row>
    <row r="209" spans="5:6" ht="21" customHeight="1">
      <c r="E209" s="1"/>
      <c r="F209" s="1"/>
    </row>
    <row r="210" spans="5:6" ht="21" customHeight="1">
      <c r="E210" s="1"/>
      <c r="F210" s="1"/>
    </row>
    <row r="211" spans="5:6" ht="21" customHeight="1">
      <c r="E211" s="1"/>
      <c r="F211" s="1"/>
    </row>
    <row r="212" spans="5:6" ht="21" customHeight="1">
      <c r="E212" s="1"/>
      <c r="F212" s="1"/>
    </row>
    <row r="213" spans="5:6" ht="21" customHeight="1">
      <c r="E213" s="1"/>
      <c r="F213" s="1"/>
    </row>
    <row r="214" spans="5:6" ht="21" customHeight="1">
      <c r="E214" s="1"/>
      <c r="F214" s="1"/>
    </row>
  </sheetData>
  <autoFilter ref="A2:I125" xr:uid="{00000000-0009-0000-0000-000001000000}"/>
  <phoneticPr fontId="25" type="noConversion"/>
  <dataValidations count="4">
    <dataValidation type="list" allowBlank="1" showInputMessage="1" showErrorMessage="1" errorTitle="خطا" error="لطفاً یک مقدار معتبر از لیست انتخاب کنید" promptTitle="انتخاب فهرست بها" prompt="لطفاً نام فهرست بها را از لیست انتخاب کنید" sqref="G126:G225 C126:C225 C2 G2" xr:uid="{00000000-0002-0000-0100-000000000000}">
      <formula1>#REF!</formula1>
    </dataValidation>
    <dataValidation type="list" allowBlank="1" showInputMessage="1" showErrorMessage="1" sqref="C3:C125 G3:G125" xr:uid="{F677126B-B223-41A5-A40F-C1F5621DC84E}">
      <formula1>"ابنیه,مکانیک,تاسیسات برقی,راه، راه آهن و باند فرودگاه,تجهیزات آب و فاضلاب,شبکه توزیع آب,رشته ای"</formula1>
    </dataValidation>
    <dataValidation type="list" allowBlank="1" showInputMessage="1" showErrorMessage="1" errorTitle="Invalid Entry" error="Please select a valid chapter from the dropdown list." promptTitle="Chapter Selection" prompt="Select a chapter (فصل) from the dropdown list." sqref="C226:C300 G226:G300" xr:uid="{00000000-0002-0000-0100-000002000000}">
      <formula1>#REF!</formula1>
      <formula2>0</formula2>
    </dataValidation>
    <dataValidation allowBlank="1" showInputMessage="1" showErrorMessage="1" errorTitle="Select Language" error="Choose either Persian or English." sqref="AB2" xr:uid="{0362FE06-7845-41F5-B83F-84E08D770764}"/>
  </dataValidations>
  <pageMargins left="0" right="0" top="0.25" bottom="0" header="0.511811023622047" footer="0.511811023622047"/>
  <pageSetup paperSize="9" fitToHeight="0" orientation="landscape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B15"/>
  <sheetViews>
    <sheetView showGridLines="0" rightToLeft="1" zoomScaleNormal="100" workbookViewId="0">
      <pane ySplit="3" topLeftCell="A4" activePane="bottomLeft" state="frozen"/>
      <selection pane="bottomLeft" activeCell="M2" sqref="M2:R2"/>
    </sheetView>
  </sheetViews>
  <sheetFormatPr defaultColWidth="8.625" defaultRowHeight="14.25" customHeight="1"/>
  <cols>
    <col min="1" max="1" width="8.625" bestFit="1" customWidth="1"/>
    <col min="2" max="2" width="37.75" bestFit="1" customWidth="1"/>
    <col min="3" max="3" width="7.625" bestFit="1" customWidth="1"/>
    <col min="4" max="6" width="5.625" bestFit="1" customWidth="1"/>
    <col min="7" max="7" width="8.125" bestFit="1" customWidth="1"/>
    <col min="8" max="8" width="9" bestFit="1" customWidth="1"/>
    <col min="9" max="10" width="7.625" bestFit="1" customWidth="1"/>
    <col min="11" max="11" width="8.125" bestFit="1" customWidth="1"/>
    <col min="12" max="12" width="9" bestFit="1" customWidth="1"/>
    <col min="13" max="14" width="7.625" bestFit="1" customWidth="1"/>
    <col min="15" max="15" width="8.125" bestFit="1" customWidth="1"/>
    <col min="16" max="18" width="5.625" bestFit="1" customWidth="1"/>
    <col min="19" max="20" width="7.625" bestFit="1" customWidth="1"/>
    <col min="21" max="21" width="8.125" bestFit="1" customWidth="1"/>
    <col min="22" max="22" width="9" bestFit="1" customWidth="1"/>
    <col min="23" max="24" width="7.625" bestFit="1" customWidth="1"/>
    <col min="25" max="25" width="8.125" bestFit="1" customWidth="1"/>
    <col min="26" max="28" width="6.5" bestFit="1" customWidth="1"/>
  </cols>
  <sheetData>
    <row r="1" spans="1:28" ht="6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</row>
    <row r="2" spans="1:28" ht="27.75" customHeight="1">
      <c r="A2" s="10" t="s">
        <v>72</v>
      </c>
      <c r="B2" s="10" t="s">
        <v>228</v>
      </c>
      <c r="C2" s="138">
        <v>1399</v>
      </c>
      <c r="D2" s="139"/>
      <c r="E2" s="139"/>
      <c r="F2" s="139"/>
      <c r="G2" s="139"/>
      <c r="H2" s="140"/>
      <c r="I2" s="138">
        <v>1400</v>
      </c>
      <c r="J2" s="139"/>
      <c r="K2" s="139"/>
      <c r="L2" s="140"/>
      <c r="M2" s="138">
        <v>1401</v>
      </c>
      <c r="N2" s="139"/>
      <c r="O2" s="139"/>
      <c r="P2" s="139"/>
      <c r="Q2" s="139"/>
      <c r="R2" s="140"/>
      <c r="S2" s="138">
        <v>1402</v>
      </c>
      <c r="T2" s="139"/>
      <c r="U2" s="139"/>
      <c r="V2" s="140"/>
      <c r="W2" s="138">
        <v>1403</v>
      </c>
      <c r="X2" s="139"/>
      <c r="Y2" s="139"/>
      <c r="Z2" s="139"/>
      <c r="AA2" s="139"/>
      <c r="AB2" s="140"/>
    </row>
    <row r="3" spans="1:28" ht="24" customHeight="1">
      <c r="A3" s="11"/>
      <c r="B3" s="11"/>
      <c r="C3" s="54" t="s">
        <v>229</v>
      </c>
      <c r="D3" s="55" t="s">
        <v>230</v>
      </c>
      <c r="E3" s="55" t="s">
        <v>231</v>
      </c>
      <c r="F3" s="55" t="s">
        <v>232</v>
      </c>
      <c r="G3" s="55" t="s">
        <v>233</v>
      </c>
      <c r="H3" s="56" t="s">
        <v>234</v>
      </c>
      <c r="I3" s="54" t="s">
        <v>229</v>
      </c>
      <c r="J3" s="55" t="s">
        <v>235</v>
      </c>
      <c r="K3" s="55" t="s">
        <v>233</v>
      </c>
      <c r="L3" s="56" t="s">
        <v>234</v>
      </c>
      <c r="M3" s="54" t="s">
        <v>229</v>
      </c>
      <c r="N3" s="55" t="s">
        <v>235</v>
      </c>
      <c r="O3" s="55" t="s">
        <v>233</v>
      </c>
      <c r="P3" s="55" t="s">
        <v>236</v>
      </c>
      <c r="Q3" s="55" t="s">
        <v>237</v>
      </c>
      <c r="R3" s="56" t="s">
        <v>238</v>
      </c>
      <c r="S3" s="54" t="s">
        <v>229</v>
      </c>
      <c r="T3" s="55" t="s">
        <v>235</v>
      </c>
      <c r="U3" s="55" t="s">
        <v>233</v>
      </c>
      <c r="V3" s="56" t="s">
        <v>234</v>
      </c>
      <c r="W3" s="54" t="s">
        <v>229</v>
      </c>
      <c r="X3" s="55" t="s">
        <v>235</v>
      </c>
      <c r="Y3" s="55" t="s">
        <v>233</v>
      </c>
      <c r="Z3" s="55" t="s">
        <v>236</v>
      </c>
      <c r="AA3" s="55" t="s">
        <v>237</v>
      </c>
      <c r="AB3" s="56" t="s">
        <v>238</v>
      </c>
    </row>
    <row r="4" spans="1:28" ht="18.75" customHeight="1">
      <c r="A4" s="63">
        <v>1</v>
      </c>
      <c r="B4" s="64" t="s">
        <v>239</v>
      </c>
      <c r="C4" s="93">
        <v>1770.9</v>
      </c>
      <c r="D4" s="93">
        <v>2276.5</v>
      </c>
      <c r="E4" s="93">
        <v>2425.8000000000002</v>
      </c>
      <c r="F4" s="93">
        <v>2553.3000000000002</v>
      </c>
      <c r="G4" s="93">
        <v>2801.6</v>
      </c>
      <c r="H4" s="94">
        <v>2977.6</v>
      </c>
      <c r="I4" s="93">
        <v>3538.3</v>
      </c>
      <c r="J4" s="93">
        <v>3968.8</v>
      </c>
      <c r="K4" s="93">
        <v>3959.9</v>
      </c>
      <c r="L4" s="94">
        <v>3936.3</v>
      </c>
      <c r="M4" s="93">
        <v>4600.8999999999996</v>
      </c>
      <c r="N4" s="93">
        <v>4515.8</v>
      </c>
      <c r="O4" s="93">
        <v>4705.8999999999996</v>
      </c>
      <c r="P4" s="93">
        <v>5297.4</v>
      </c>
      <c r="Q4" s="93">
        <v>5625.9</v>
      </c>
      <c r="R4" s="94">
        <v>6197.6</v>
      </c>
      <c r="S4" s="93">
        <v>6608.7</v>
      </c>
      <c r="T4" s="93">
        <v>6535.8</v>
      </c>
      <c r="U4" s="93">
        <v>6665.9</v>
      </c>
      <c r="V4" s="94">
        <v>6970.7</v>
      </c>
      <c r="W4" s="93">
        <v>7917.3</v>
      </c>
      <c r="X4" s="65">
        <v>8239</v>
      </c>
      <c r="Y4" s="93">
        <v>8463.5</v>
      </c>
      <c r="Z4" s="93">
        <v>8913.6</v>
      </c>
      <c r="AA4" s="93">
        <v>9278.5</v>
      </c>
      <c r="AB4" s="94">
        <v>9744.7000000000007</v>
      </c>
    </row>
    <row r="5" spans="1:28" ht="18.75" customHeight="1">
      <c r="A5" s="63">
        <v>2</v>
      </c>
      <c r="B5" s="64" t="s">
        <v>91</v>
      </c>
      <c r="C5" s="93">
        <v>2127.3000000000002</v>
      </c>
      <c r="D5" s="93">
        <v>2500.6</v>
      </c>
      <c r="E5" s="93">
        <v>2714.8</v>
      </c>
      <c r="F5" s="93">
        <v>2909.3</v>
      </c>
      <c r="G5" s="93">
        <v>3242.9</v>
      </c>
      <c r="H5" s="94">
        <v>3337.5</v>
      </c>
      <c r="I5" s="93">
        <v>3870.8</v>
      </c>
      <c r="J5" s="93">
        <v>4102.3999999999996</v>
      </c>
      <c r="K5" s="93">
        <v>4195.8</v>
      </c>
      <c r="L5" s="94">
        <v>4260.3</v>
      </c>
      <c r="M5" s="93">
        <v>4937.3</v>
      </c>
      <c r="N5" s="93">
        <v>4966.2</v>
      </c>
      <c r="O5" s="93">
        <v>5272.9</v>
      </c>
      <c r="P5" s="93">
        <v>5963.6</v>
      </c>
      <c r="Q5" s="93">
        <v>6095.9</v>
      </c>
      <c r="R5" s="94">
        <v>6386.4</v>
      </c>
      <c r="S5" s="93">
        <v>6957.5</v>
      </c>
      <c r="T5" s="93">
        <v>6990.6</v>
      </c>
      <c r="U5" s="93">
        <v>7359.3</v>
      </c>
      <c r="V5" s="94">
        <v>7585.5</v>
      </c>
      <c r="W5" s="93">
        <v>8523.1</v>
      </c>
      <c r="X5" s="93">
        <v>8636.1</v>
      </c>
      <c r="Y5" s="93">
        <v>9351.9</v>
      </c>
      <c r="Z5" s="93">
        <v>10073.4</v>
      </c>
      <c r="AA5" s="93">
        <v>10309.5</v>
      </c>
      <c r="AB5" s="94">
        <v>10544.5</v>
      </c>
    </row>
    <row r="6" spans="1:28" ht="18.75" customHeight="1">
      <c r="A6" s="63">
        <v>3</v>
      </c>
      <c r="B6" s="64" t="s">
        <v>240</v>
      </c>
      <c r="C6" s="93">
        <v>2252.9</v>
      </c>
      <c r="D6" s="93">
        <v>2698.6</v>
      </c>
      <c r="E6" s="93">
        <v>2968.5</v>
      </c>
      <c r="F6" s="93">
        <v>3307.6</v>
      </c>
      <c r="G6" s="93">
        <v>3686.8</v>
      </c>
      <c r="H6" s="94">
        <v>3772.1</v>
      </c>
      <c r="I6" s="93">
        <v>4190.7</v>
      </c>
      <c r="J6" s="93">
        <v>4298.8999999999996</v>
      </c>
      <c r="K6" s="65">
        <v>4598</v>
      </c>
      <c r="L6" s="94">
        <v>4710.3999999999996</v>
      </c>
      <c r="M6" s="93">
        <v>5151.8999999999996</v>
      </c>
      <c r="N6" s="93">
        <v>5281.6</v>
      </c>
      <c r="O6" s="93">
        <v>5758.7</v>
      </c>
      <c r="P6" s="93">
        <v>6227.9</v>
      </c>
      <c r="Q6" s="93">
        <v>6884.9</v>
      </c>
      <c r="R6" s="94">
        <v>6992.7</v>
      </c>
      <c r="S6" s="93">
        <v>7317.8</v>
      </c>
      <c r="T6" s="93">
        <v>7362.8</v>
      </c>
      <c r="U6" s="93">
        <v>7796.2</v>
      </c>
      <c r="V6" s="94">
        <v>8194.1</v>
      </c>
      <c r="W6" s="93">
        <v>9365.6</v>
      </c>
      <c r="X6" s="93">
        <v>9648.2999999999993</v>
      </c>
      <c r="Y6" s="93">
        <v>10094.299999999999</v>
      </c>
      <c r="Z6" s="65">
        <v>11047</v>
      </c>
      <c r="AA6" s="93">
        <v>11289.5</v>
      </c>
      <c r="AB6" s="94">
        <v>12516.6</v>
      </c>
    </row>
    <row r="7" spans="1:28" ht="18.75" customHeight="1">
      <c r="A7" s="19">
        <v>4</v>
      </c>
      <c r="B7" s="14" t="s">
        <v>241</v>
      </c>
      <c r="C7" s="95">
        <v>2066.3000000000002</v>
      </c>
      <c r="D7" s="95">
        <v>2422.6</v>
      </c>
      <c r="E7" s="95">
        <v>2526.6999999999998</v>
      </c>
      <c r="F7" s="95">
        <v>2724.8</v>
      </c>
      <c r="G7" s="95">
        <v>2928.2</v>
      </c>
      <c r="H7" s="96">
        <v>3074.3</v>
      </c>
      <c r="I7" s="95">
        <v>3926.6</v>
      </c>
      <c r="J7" s="95">
        <v>4227.3</v>
      </c>
      <c r="K7" s="95">
        <v>4278.1000000000004</v>
      </c>
      <c r="L7" s="96">
        <v>4389.8999999999996</v>
      </c>
      <c r="M7" s="95">
        <v>5416.9</v>
      </c>
      <c r="N7" s="95">
        <v>5539.1</v>
      </c>
      <c r="O7" s="95">
        <v>5906.9</v>
      </c>
      <c r="P7" s="95">
        <v>6309.4</v>
      </c>
      <c r="Q7" s="95">
        <v>6399.1</v>
      </c>
      <c r="R7" s="96">
        <v>6592.1</v>
      </c>
      <c r="S7" s="95">
        <v>7742.5</v>
      </c>
      <c r="T7" s="95">
        <v>8032.6</v>
      </c>
      <c r="U7" s="95">
        <v>8193.1</v>
      </c>
      <c r="V7" s="96">
        <v>8459.5</v>
      </c>
      <c r="W7" s="95">
        <v>10100.299999999999</v>
      </c>
      <c r="X7" s="95">
        <v>10641.6</v>
      </c>
      <c r="Y7" s="95">
        <v>10746.4</v>
      </c>
      <c r="Z7" s="95">
        <v>11373.7</v>
      </c>
      <c r="AA7" s="95">
        <v>11594.8</v>
      </c>
      <c r="AB7" s="96">
        <v>11833.5</v>
      </c>
    </row>
    <row r="8" spans="1:28" ht="18.75" customHeight="1">
      <c r="A8" s="18">
        <v>5</v>
      </c>
      <c r="B8" s="12" t="s">
        <v>170</v>
      </c>
      <c r="C8" s="57"/>
      <c r="D8" s="57"/>
      <c r="E8" s="57"/>
      <c r="F8" s="57"/>
      <c r="G8" s="57"/>
      <c r="H8" s="59"/>
      <c r="I8" s="57"/>
      <c r="J8" s="57"/>
      <c r="K8" s="57"/>
      <c r="L8" s="97">
        <v>3830.1</v>
      </c>
      <c r="M8" s="57"/>
      <c r="N8" s="57"/>
      <c r="O8" s="98">
        <v>4653.8999999999996</v>
      </c>
      <c r="P8" s="98">
        <v>4983.8999999999996</v>
      </c>
      <c r="Q8" s="98">
        <v>5307.6</v>
      </c>
      <c r="R8" s="97">
        <v>5813.2</v>
      </c>
      <c r="S8" s="98">
        <v>6225.9</v>
      </c>
      <c r="T8" s="13">
        <v>6255</v>
      </c>
      <c r="U8" s="98">
        <v>7018.9</v>
      </c>
      <c r="V8" s="97">
        <v>7248.5</v>
      </c>
      <c r="W8" s="98">
        <v>8531.5</v>
      </c>
      <c r="X8" s="13">
        <v>8633</v>
      </c>
      <c r="Y8" s="98">
        <v>9350.6</v>
      </c>
      <c r="Z8" s="13">
        <v>9865</v>
      </c>
      <c r="AA8" s="98">
        <v>10292.9</v>
      </c>
      <c r="AB8" s="97">
        <v>10640.8</v>
      </c>
    </row>
    <row r="9" spans="1:28" ht="18.75" customHeight="1">
      <c r="A9" s="19">
        <v>6</v>
      </c>
      <c r="B9" s="14" t="s">
        <v>242</v>
      </c>
      <c r="C9" s="60"/>
      <c r="D9" s="60"/>
      <c r="E9" s="60"/>
      <c r="F9" s="60"/>
      <c r="G9" s="60"/>
      <c r="H9" s="62"/>
      <c r="I9" s="60"/>
      <c r="J9" s="60"/>
      <c r="K9" s="60"/>
      <c r="L9" s="96">
        <v>3578.8</v>
      </c>
      <c r="M9" s="15">
        <v>4708</v>
      </c>
      <c r="N9" s="95">
        <v>4829.7</v>
      </c>
      <c r="O9" s="95">
        <v>4986.2</v>
      </c>
      <c r="P9" s="95">
        <v>5180.2</v>
      </c>
      <c r="Q9" s="95">
        <v>5180.2</v>
      </c>
      <c r="R9" s="96">
        <v>5180.2</v>
      </c>
      <c r="S9" s="95">
        <v>6355.1</v>
      </c>
      <c r="T9" s="95">
        <v>6604.5</v>
      </c>
      <c r="U9" s="95">
        <v>6763.9</v>
      </c>
      <c r="V9" s="96">
        <v>6961.4</v>
      </c>
      <c r="W9" s="95">
        <v>8569.5</v>
      </c>
      <c r="X9" s="95">
        <v>8952.4</v>
      </c>
      <c r="Y9" s="95">
        <v>8951.4</v>
      </c>
      <c r="Z9" s="95">
        <v>9380.2000000000007</v>
      </c>
      <c r="AA9" s="95">
        <v>9470.4</v>
      </c>
      <c r="AB9" s="17">
        <v>9574</v>
      </c>
    </row>
    <row r="10" spans="1:28" ht="18.75" customHeight="1">
      <c r="A10" s="18">
        <v>7</v>
      </c>
      <c r="B10" s="12" t="s">
        <v>243</v>
      </c>
      <c r="C10" s="57"/>
      <c r="D10" s="57"/>
      <c r="E10" s="57"/>
      <c r="F10" s="57"/>
      <c r="G10" s="57"/>
      <c r="H10" s="59"/>
      <c r="I10" s="57"/>
      <c r="J10" s="57"/>
      <c r="K10" s="57"/>
      <c r="L10" s="16">
        <v>3000</v>
      </c>
      <c r="M10" s="13">
        <v>3858</v>
      </c>
      <c r="N10" s="98">
        <v>3961.8</v>
      </c>
      <c r="O10" s="98">
        <v>4150.7</v>
      </c>
      <c r="P10" s="98">
        <v>4321.2</v>
      </c>
      <c r="Q10" s="98">
        <v>4321.2</v>
      </c>
      <c r="R10" s="97">
        <v>4321.2</v>
      </c>
      <c r="S10" s="98">
        <v>5261.5</v>
      </c>
      <c r="T10" s="98">
        <v>5472.4</v>
      </c>
      <c r="U10" s="13">
        <v>5577</v>
      </c>
      <c r="V10" s="97">
        <v>5741.4</v>
      </c>
      <c r="W10" s="98">
        <v>7033.2</v>
      </c>
      <c r="X10" s="98">
        <v>7354.7</v>
      </c>
      <c r="Y10" s="98">
        <v>7356.4</v>
      </c>
      <c r="Z10" s="98">
        <v>7759.6</v>
      </c>
      <c r="AA10" s="98">
        <v>7853.1</v>
      </c>
      <c r="AB10" s="97">
        <v>7953.9</v>
      </c>
    </row>
    <row r="11" spans="1:28" ht="18.75" customHeight="1">
      <c r="A11" s="99"/>
      <c r="B11" s="61"/>
      <c r="C11" s="60"/>
      <c r="D11" s="60"/>
      <c r="E11" s="60"/>
      <c r="F11" s="60"/>
      <c r="G11" s="60"/>
      <c r="H11" s="62"/>
      <c r="I11" s="60"/>
      <c r="J11" s="60"/>
      <c r="K11" s="60"/>
      <c r="L11" s="62"/>
      <c r="M11" s="60"/>
      <c r="N11" s="60"/>
      <c r="O11" s="60"/>
      <c r="P11" s="60"/>
      <c r="Q11" s="60"/>
      <c r="R11" s="62"/>
      <c r="S11" s="60"/>
      <c r="T11" s="60"/>
      <c r="U11" s="60"/>
      <c r="V11" s="62"/>
      <c r="W11" s="60"/>
      <c r="X11" s="60"/>
      <c r="Y11" s="60"/>
      <c r="Z11" s="60"/>
      <c r="AA11" s="60"/>
      <c r="AB11" s="62"/>
    </row>
    <row r="12" spans="1:28" ht="18.75" customHeight="1">
      <c r="A12" s="58"/>
      <c r="B12" s="58"/>
      <c r="C12" s="57"/>
      <c r="D12" s="57"/>
      <c r="E12" s="57"/>
      <c r="F12" s="57"/>
      <c r="G12" s="57"/>
      <c r="H12" s="59"/>
      <c r="I12" s="57"/>
      <c r="J12" s="57"/>
      <c r="K12" s="57"/>
      <c r="L12" s="59"/>
      <c r="M12" s="57"/>
      <c r="N12" s="57"/>
      <c r="O12" s="57"/>
      <c r="P12" s="57"/>
      <c r="Q12" s="57"/>
      <c r="R12" s="59"/>
      <c r="S12" s="57"/>
      <c r="T12" s="57"/>
      <c r="U12" s="57"/>
      <c r="V12" s="59"/>
      <c r="W12" s="57"/>
      <c r="X12" s="57"/>
      <c r="Y12" s="57"/>
      <c r="Z12" s="57"/>
      <c r="AA12" s="57"/>
      <c r="AB12" s="59"/>
    </row>
    <row r="13" spans="1:28" ht="18.75" customHeight="1">
      <c r="A13" s="61"/>
      <c r="B13" s="61"/>
      <c r="C13" s="60"/>
      <c r="D13" s="60"/>
      <c r="E13" s="60"/>
      <c r="F13" s="60"/>
      <c r="G13" s="60"/>
      <c r="H13" s="62"/>
      <c r="I13" s="60"/>
      <c r="J13" s="60"/>
      <c r="K13" s="60"/>
      <c r="L13" s="62"/>
      <c r="M13" s="60"/>
      <c r="N13" s="60"/>
      <c r="O13" s="60"/>
      <c r="P13" s="60"/>
      <c r="Q13" s="60"/>
      <c r="R13" s="62"/>
      <c r="S13" s="60"/>
      <c r="T13" s="60"/>
      <c r="U13" s="60"/>
      <c r="V13" s="62"/>
      <c r="W13" s="60"/>
      <c r="X13" s="60"/>
      <c r="Y13" s="60"/>
      <c r="Z13" s="60"/>
      <c r="AA13" s="60"/>
      <c r="AB13" s="62"/>
    </row>
    <row r="14" spans="1:28" ht="18.75" customHeight="1">
      <c r="A14" s="58"/>
      <c r="B14" s="58"/>
      <c r="C14" s="57"/>
      <c r="D14" s="57"/>
      <c r="E14" s="57"/>
      <c r="F14" s="57"/>
      <c r="G14" s="57"/>
      <c r="H14" s="59"/>
      <c r="I14" s="57"/>
      <c r="J14" s="57"/>
      <c r="K14" s="57"/>
      <c r="L14" s="59"/>
      <c r="M14" s="57"/>
      <c r="N14" s="57"/>
      <c r="O14" s="57"/>
      <c r="P14" s="57"/>
      <c r="Q14" s="57"/>
      <c r="R14" s="59"/>
      <c r="S14" s="57"/>
      <c r="T14" s="57"/>
      <c r="U14" s="57"/>
      <c r="V14" s="59"/>
      <c r="W14" s="57"/>
      <c r="X14" s="57"/>
      <c r="Y14" s="57"/>
      <c r="Z14" s="57"/>
      <c r="AA14" s="57"/>
      <c r="AB14" s="59"/>
    </row>
    <row r="15" spans="1:28" ht="18.75" customHeight="1">
      <c r="A15" s="99"/>
      <c r="B15" s="61"/>
      <c r="C15" s="60"/>
      <c r="D15" s="60"/>
      <c r="E15" s="60"/>
      <c r="F15" s="60"/>
      <c r="G15" s="60"/>
      <c r="H15" s="62"/>
      <c r="I15" s="60"/>
      <c r="J15" s="60"/>
      <c r="K15" s="60"/>
      <c r="L15" s="62"/>
      <c r="M15" s="60"/>
      <c r="N15" s="60"/>
      <c r="O15" s="60"/>
      <c r="P15" s="60"/>
      <c r="Q15" s="60"/>
      <c r="R15" s="62"/>
      <c r="S15" s="60"/>
      <c r="T15" s="60"/>
      <c r="U15" s="60"/>
      <c r="V15" s="62"/>
      <c r="W15" s="60"/>
      <c r="X15" s="60"/>
      <c r="Y15" s="60"/>
      <c r="Z15" s="60"/>
      <c r="AA15" s="60"/>
      <c r="AB15" s="62"/>
    </row>
  </sheetData>
  <mergeCells count="5">
    <mergeCell ref="M2:R2"/>
    <mergeCell ref="C2:H2"/>
    <mergeCell ref="S2:V2"/>
    <mergeCell ref="I2:L2"/>
    <mergeCell ref="W2:AB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9"/>
  <sheetViews>
    <sheetView showGridLines="0" rightToLeft="1" zoomScaleNormal="100" workbookViewId="0">
      <pane ySplit="3" topLeftCell="A4" activePane="bottomLeft" state="frozen"/>
      <selection pane="bottomLeft" activeCell="C2" sqref="C2:H4"/>
    </sheetView>
  </sheetViews>
  <sheetFormatPr defaultColWidth="8.625" defaultRowHeight="14.25" customHeight="1"/>
  <cols>
    <col min="1" max="1" width="17.5" bestFit="1" customWidth="1"/>
    <col min="2" max="2" width="18.5" bestFit="1" customWidth="1"/>
    <col min="3" max="23" width="5.625" bestFit="1" customWidth="1"/>
    <col min="24" max="38" width="6.5" bestFit="1" customWidth="1"/>
  </cols>
  <sheetData>
    <row r="1" spans="1:38" ht="6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</row>
    <row r="2" spans="1:38" ht="27.75" customHeight="1">
      <c r="A2" s="10" t="s">
        <v>72</v>
      </c>
      <c r="B2" s="10" t="s">
        <v>228</v>
      </c>
      <c r="C2" s="141">
        <v>1397</v>
      </c>
      <c r="D2" s="139"/>
      <c r="E2" s="139"/>
      <c r="F2" s="139"/>
      <c r="G2" s="139"/>
      <c r="H2" s="140"/>
      <c r="I2" s="141">
        <v>1398</v>
      </c>
      <c r="J2" s="139"/>
      <c r="K2" s="139"/>
      <c r="L2" s="140"/>
      <c r="M2" s="141">
        <v>1399</v>
      </c>
      <c r="N2" s="139"/>
      <c r="O2" s="139"/>
      <c r="P2" s="139"/>
      <c r="Q2" s="139"/>
      <c r="R2" s="140"/>
      <c r="S2" s="141">
        <v>1400</v>
      </c>
      <c r="T2" s="139"/>
      <c r="U2" s="139"/>
      <c r="V2" s="140"/>
      <c r="W2" s="141">
        <v>1401</v>
      </c>
      <c r="X2" s="139"/>
      <c r="Y2" s="139"/>
      <c r="Z2" s="139"/>
      <c r="AA2" s="139"/>
      <c r="AB2" s="140"/>
      <c r="AC2" s="141">
        <v>1402</v>
      </c>
      <c r="AD2" s="139"/>
      <c r="AE2" s="139"/>
      <c r="AF2" s="140"/>
      <c r="AG2" s="141">
        <v>1403</v>
      </c>
      <c r="AH2" s="139"/>
      <c r="AI2" s="139"/>
      <c r="AJ2" s="139"/>
      <c r="AK2" s="139"/>
      <c r="AL2" s="140"/>
    </row>
    <row r="3" spans="1:38" ht="24" customHeight="1">
      <c r="A3" s="11"/>
      <c r="B3" s="11"/>
      <c r="C3" s="54" t="s">
        <v>244</v>
      </c>
      <c r="D3" s="55" t="s">
        <v>230</v>
      </c>
      <c r="E3" s="55" t="s">
        <v>231</v>
      </c>
      <c r="F3" s="55" t="s">
        <v>232</v>
      </c>
      <c r="G3" s="55" t="s">
        <v>245</v>
      </c>
      <c r="H3" s="56" t="s">
        <v>246</v>
      </c>
      <c r="I3" s="54" t="s">
        <v>244</v>
      </c>
      <c r="J3" s="55" t="s">
        <v>247</v>
      </c>
      <c r="K3" s="55" t="s">
        <v>245</v>
      </c>
      <c r="L3" s="56" t="s">
        <v>246</v>
      </c>
      <c r="M3" s="54" t="s">
        <v>244</v>
      </c>
      <c r="N3" s="55" t="s">
        <v>230</v>
      </c>
      <c r="O3" s="55" t="s">
        <v>231</v>
      </c>
      <c r="P3" s="55" t="s">
        <v>232</v>
      </c>
      <c r="Q3" s="55" t="s">
        <v>245</v>
      </c>
      <c r="R3" s="56" t="s">
        <v>246</v>
      </c>
      <c r="S3" s="54" t="s">
        <v>244</v>
      </c>
      <c r="T3" s="55" t="s">
        <v>247</v>
      </c>
      <c r="U3" s="55" t="s">
        <v>245</v>
      </c>
      <c r="V3" s="56" t="s">
        <v>246</v>
      </c>
      <c r="W3" s="54" t="s">
        <v>244</v>
      </c>
      <c r="X3" s="55" t="s">
        <v>247</v>
      </c>
      <c r="Y3" s="55" t="s">
        <v>245</v>
      </c>
      <c r="Z3" s="55" t="s">
        <v>236</v>
      </c>
      <c r="AA3" s="55" t="s">
        <v>237</v>
      </c>
      <c r="AB3" s="56" t="s">
        <v>238</v>
      </c>
      <c r="AC3" s="54" t="s">
        <v>244</v>
      </c>
      <c r="AD3" s="55" t="s">
        <v>247</v>
      </c>
      <c r="AE3" s="55" t="s">
        <v>245</v>
      </c>
      <c r="AF3" s="56" t="s">
        <v>246</v>
      </c>
      <c r="AG3" s="54" t="s">
        <v>244</v>
      </c>
      <c r="AH3" s="55" t="s">
        <v>247</v>
      </c>
      <c r="AI3" s="55" t="s">
        <v>245</v>
      </c>
      <c r="AJ3" s="55" t="s">
        <v>236</v>
      </c>
      <c r="AK3" s="55" t="s">
        <v>237</v>
      </c>
      <c r="AL3" s="56" t="s">
        <v>238</v>
      </c>
    </row>
    <row r="4" spans="1:38" ht="18.75" customHeight="1">
      <c r="A4" s="63">
        <v>1</v>
      </c>
      <c r="B4" s="64" t="s">
        <v>248</v>
      </c>
      <c r="C4" s="93">
        <v>973.3</v>
      </c>
      <c r="D4" s="100">
        <v>1058.4000000000001</v>
      </c>
      <c r="E4" s="100">
        <v>1208.2</v>
      </c>
      <c r="F4" s="100">
        <v>1331.9</v>
      </c>
      <c r="G4" s="100">
        <v>1532.1</v>
      </c>
      <c r="H4" s="94">
        <v>1520.4</v>
      </c>
      <c r="I4" s="93">
        <v>1784.6</v>
      </c>
      <c r="J4" s="100">
        <v>1730.5</v>
      </c>
      <c r="K4" s="100">
        <v>1740.3</v>
      </c>
      <c r="L4" s="66">
        <v>1982</v>
      </c>
      <c r="M4" s="93">
        <v>2307.8000000000002</v>
      </c>
      <c r="N4" s="100">
        <v>2791.7</v>
      </c>
      <c r="O4" s="100">
        <v>3093.4</v>
      </c>
      <c r="P4" s="100">
        <v>3356.8</v>
      </c>
      <c r="Q4" s="100">
        <v>3582.4</v>
      </c>
      <c r="R4" s="66">
        <v>3757</v>
      </c>
      <c r="S4" s="93">
        <v>4306.3</v>
      </c>
      <c r="T4" s="63">
        <v>4535</v>
      </c>
      <c r="U4" s="100">
        <v>4424.1000000000004</v>
      </c>
      <c r="V4" s="94">
        <v>4321.8999999999996</v>
      </c>
      <c r="W4" s="93">
        <v>4896.3999999999996</v>
      </c>
      <c r="X4" s="100">
        <v>4813.8999999999996</v>
      </c>
      <c r="Y4" s="100">
        <v>4990.6000000000004</v>
      </c>
      <c r="Z4" s="100">
        <v>5527.3</v>
      </c>
      <c r="AA4" s="63">
        <v>5727</v>
      </c>
      <c r="AB4" s="94">
        <v>6041.1</v>
      </c>
      <c r="AC4" s="93">
        <v>6652.6</v>
      </c>
      <c r="AD4" s="100">
        <v>6598.7</v>
      </c>
      <c r="AE4" s="100">
        <v>6906.1</v>
      </c>
      <c r="AF4" s="94">
        <v>7274.2</v>
      </c>
      <c r="AG4" s="65">
        <v>7962</v>
      </c>
      <c r="AH4" s="100">
        <v>7906.2</v>
      </c>
      <c r="AI4" s="100">
        <v>7930.2</v>
      </c>
      <c r="AJ4" s="100">
        <v>8238.5</v>
      </c>
      <c r="AK4" s="100">
        <v>8621.6</v>
      </c>
      <c r="AL4" s="94">
        <v>8957.6</v>
      </c>
    </row>
    <row r="5" spans="1:38" ht="18.75" customHeight="1">
      <c r="A5" s="19">
        <v>2</v>
      </c>
      <c r="B5" s="14" t="s">
        <v>249</v>
      </c>
      <c r="C5" s="95">
        <v>1049.9000000000001</v>
      </c>
      <c r="D5" s="101">
        <v>1164.4000000000001</v>
      </c>
      <c r="E5" s="19">
        <v>1188</v>
      </c>
      <c r="F5" s="101">
        <v>1224.7</v>
      </c>
      <c r="G5" s="19">
        <v>1243</v>
      </c>
      <c r="H5" s="96">
        <v>1252.5</v>
      </c>
      <c r="I5" s="95">
        <v>1418.2</v>
      </c>
      <c r="J5" s="101">
        <v>1431.5</v>
      </c>
      <c r="K5" s="101">
        <v>1518.7</v>
      </c>
      <c r="L5" s="96">
        <v>1547.5</v>
      </c>
      <c r="M5" s="95">
        <v>1916.3</v>
      </c>
      <c r="N5" s="101">
        <v>2310.1</v>
      </c>
      <c r="O5" s="101">
        <v>2392.3000000000002</v>
      </c>
      <c r="P5" s="101">
        <v>2478.5</v>
      </c>
      <c r="Q5" s="101">
        <v>2525.1999999999998</v>
      </c>
      <c r="R5" s="96">
        <v>2665.3</v>
      </c>
      <c r="S5" s="95">
        <v>2929.9</v>
      </c>
      <c r="T5" s="101">
        <v>3171.3</v>
      </c>
      <c r="U5" s="101">
        <v>3641.9</v>
      </c>
      <c r="V5" s="96">
        <v>3875.3</v>
      </c>
      <c r="W5" s="95">
        <v>4424.5</v>
      </c>
      <c r="X5" s="101">
        <v>4436.8999999999996</v>
      </c>
      <c r="Y5" s="101">
        <v>5060.1000000000004</v>
      </c>
      <c r="Z5" s="101">
        <v>5216.5</v>
      </c>
      <c r="AA5" s="101">
        <v>5207.8</v>
      </c>
      <c r="AB5" s="96">
        <v>5362.9</v>
      </c>
      <c r="AC5" s="95">
        <v>5860.1</v>
      </c>
      <c r="AD5" s="101">
        <v>6144.7</v>
      </c>
      <c r="AE5" s="101">
        <v>6250.7</v>
      </c>
      <c r="AF5" s="96">
        <v>6279.9</v>
      </c>
      <c r="AG5" s="15">
        <v>7055</v>
      </c>
      <c r="AH5" s="101">
        <v>7123.1</v>
      </c>
      <c r="AI5" s="101">
        <v>7330.6</v>
      </c>
      <c r="AJ5" s="101">
        <v>7399.6</v>
      </c>
      <c r="AK5" s="101">
        <v>7415.4</v>
      </c>
      <c r="AL5" s="96">
        <v>7432.6</v>
      </c>
    </row>
    <row r="6" spans="1:38" ht="18.75" customHeight="1">
      <c r="A6" s="63">
        <v>3</v>
      </c>
      <c r="B6" s="64" t="s">
        <v>250</v>
      </c>
      <c r="C6" s="93">
        <v>988.5</v>
      </c>
      <c r="D6" s="100">
        <v>1027.7</v>
      </c>
      <c r="E6" s="100">
        <v>1180.8</v>
      </c>
      <c r="F6" s="63">
        <v>1355</v>
      </c>
      <c r="G6" s="100">
        <v>1351.6</v>
      </c>
      <c r="H6" s="94">
        <v>1361.2</v>
      </c>
      <c r="I6" s="93">
        <v>1590.5</v>
      </c>
      <c r="J6" s="100">
        <v>1565.4</v>
      </c>
      <c r="K6" s="100">
        <v>1594.5</v>
      </c>
      <c r="L6" s="94">
        <v>1625.3</v>
      </c>
      <c r="M6" s="93">
        <v>1823.4</v>
      </c>
      <c r="N6" s="63">
        <v>1994</v>
      </c>
      <c r="O6" s="100">
        <v>2124.1</v>
      </c>
      <c r="P6" s="100">
        <v>2396.1</v>
      </c>
      <c r="Q6" s="100">
        <v>3008.9</v>
      </c>
      <c r="R6" s="66">
        <v>3336</v>
      </c>
      <c r="S6" s="93">
        <v>3691.1</v>
      </c>
      <c r="T6" s="100">
        <v>3977.4</v>
      </c>
      <c r="U6" s="100">
        <v>4212.7</v>
      </c>
      <c r="V6" s="94">
        <v>4371.2</v>
      </c>
      <c r="W6" s="93">
        <v>4832.5</v>
      </c>
      <c r="X6" s="100">
        <v>4560.8999999999996</v>
      </c>
      <c r="Y6" s="100">
        <v>4444.6000000000004</v>
      </c>
      <c r="Z6" s="100">
        <v>4668.6000000000004</v>
      </c>
      <c r="AA6" s="100">
        <v>4668.8</v>
      </c>
      <c r="AB6" s="94">
        <v>4943.5</v>
      </c>
      <c r="AC6" s="93">
        <v>5303.2</v>
      </c>
      <c r="AD6" s="100">
        <v>5380.5</v>
      </c>
      <c r="AE6" s="100">
        <v>5456.2</v>
      </c>
      <c r="AF6" s="94">
        <v>5504.8</v>
      </c>
      <c r="AG6" s="93">
        <v>6192.5</v>
      </c>
      <c r="AH6" s="100">
        <v>6386.1</v>
      </c>
      <c r="AI6" s="100">
        <v>6525.8</v>
      </c>
      <c r="AJ6" s="100">
        <v>7230.3</v>
      </c>
      <c r="AK6" s="100">
        <v>7368.6</v>
      </c>
      <c r="AL6" s="94">
        <v>7812.5</v>
      </c>
    </row>
    <row r="7" spans="1:38" ht="18.75" customHeight="1">
      <c r="A7" s="63">
        <v>4</v>
      </c>
      <c r="B7" s="64" t="s">
        <v>251</v>
      </c>
      <c r="C7" s="93">
        <v>451.7</v>
      </c>
      <c r="D7" s="100">
        <v>516.4</v>
      </c>
      <c r="E7" s="100">
        <v>544.5</v>
      </c>
      <c r="F7" s="100">
        <v>574.20000000000005</v>
      </c>
      <c r="G7" s="63">
        <v>693</v>
      </c>
      <c r="H7" s="94">
        <v>644.20000000000005</v>
      </c>
      <c r="I7" s="93">
        <v>675.5</v>
      </c>
      <c r="J7" s="100">
        <v>685.1</v>
      </c>
      <c r="K7" s="63">
        <v>690</v>
      </c>
      <c r="L7" s="94">
        <v>696.4</v>
      </c>
      <c r="M7" s="93">
        <v>767.7</v>
      </c>
      <c r="N7" s="100">
        <v>930.7</v>
      </c>
      <c r="O7" s="100">
        <v>935.4</v>
      </c>
      <c r="P7" s="100">
        <v>998.5</v>
      </c>
      <c r="Q7" s="100">
        <v>1246.7</v>
      </c>
      <c r="R7" s="94">
        <v>1263.7</v>
      </c>
      <c r="S7" s="93">
        <v>1409.9</v>
      </c>
      <c r="T7" s="63">
        <v>1440</v>
      </c>
      <c r="U7" s="100">
        <v>1546.4</v>
      </c>
      <c r="V7" s="94">
        <v>1553.3</v>
      </c>
      <c r="W7" s="93">
        <v>1811.7</v>
      </c>
      <c r="X7" s="100">
        <v>1826.8</v>
      </c>
      <c r="Y7" s="100">
        <v>2000.1</v>
      </c>
      <c r="Z7" s="100">
        <v>2145.1999999999998</v>
      </c>
      <c r="AA7" s="100">
        <v>2305.8000000000002</v>
      </c>
      <c r="AB7" s="94">
        <v>2466.4</v>
      </c>
      <c r="AC7" s="93">
        <v>2918.8</v>
      </c>
      <c r="AD7" s="100">
        <v>2989.2</v>
      </c>
      <c r="AE7" s="100">
        <v>3168.8</v>
      </c>
      <c r="AF7" s="94">
        <v>3195.5</v>
      </c>
      <c r="AG7" s="93">
        <v>3800.6</v>
      </c>
      <c r="AH7" s="100">
        <v>3852.6</v>
      </c>
      <c r="AI7" s="100">
        <v>4188.5</v>
      </c>
      <c r="AJ7" s="100">
        <v>4247.6000000000004</v>
      </c>
      <c r="AK7" s="100">
        <v>4260.3</v>
      </c>
      <c r="AL7" s="94">
        <v>4375.8</v>
      </c>
    </row>
    <row r="8" spans="1:38" ht="18.75" customHeight="1">
      <c r="A8" s="18">
        <v>5</v>
      </c>
      <c r="B8" s="12" t="s">
        <v>252</v>
      </c>
      <c r="C8" s="13">
        <v>403</v>
      </c>
      <c r="D8" s="18">
        <v>404</v>
      </c>
      <c r="E8" s="18">
        <v>405</v>
      </c>
      <c r="F8" s="18">
        <v>406</v>
      </c>
      <c r="G8" s="18">
        <v>406</v>
      </c>
      <c r="H8" s="16">
        <v>407</v>
      </c>
      <c r="I8" s="13">
        <v>408</v>
      </c>
      <c r="J8" s="18">
        <v>409</v>
      </c>
      <c r="K8" s="18">
        <v>410</v>
      </c>
      <c r="L8" s="16">
        <v>411</v>
      </c>
      <c r="M8" s="13">
        <v>412</v>
      </c>
      <c r="N8" s="18">
        <v>413</v>
      </c>
      <c r="O8" s="18">
        <v>114</v>
      </c>
      <c r="P8" s="18">
        <v>115</v>
      </c>
      <c r="Q8" s="18">
        <v>416</v>
      </c>
      <c r="R8" s="16">
        <v>417</v>
      </c>
      <c r="S8" s="13">
        <v>418</v>
      </c>
      <c r="T8" s="18">
        <v>419</v>
      </c>
      <c r="U8" s="18">
        <v>420</v>
      </c>
      <c r="V8" s="16">
        <v>421</v>
      </c>
      <c r="W8" s="13">
        <v>422</v>
      </c>
      <c r="X8" s="18">
        <v>423</v>
      </c>
      <c r="Y8" s="18">
        <v>424</v>
      </c>
      <c r="Z8" s="18">
        <v>425</v>
      </c>
      <c r="AA8" s="18">
        <v>425</v>
      </c>
      <c r="AB8" s="16">
        <v>425</v>
      </c>
      <c r="AC8" s="13">
        <v>426</v>
      </c>
      <c r="AD8" s="18">
        <v>427</v>
      </c>
      <c r="AE8" s="18">
        <v>428</v>
      </c>
      <c r="AF8" s="16">
        <v>429</v>
      </c>
      <c r="AG8" s="13">
        <v>430</v>
      </c>
      <c r="AH8" s="18">
        <v>431</v>
      </c>
      <c r="AI8" s="18">
        <v>432</v>
      </c>
      <c r="AJ8" s="18">
        <v>433</v>
      </c>
      <c r="AK8" s="18">
        <v>433</v>
      </c>
      <c r="AL8" s="16">
        <v>433</v>
      </c>
    </row>
    <row r="9" spans="1:38" ht="18.75" customHeight="1">
      <c r="A9" s="63">
        <v>6</v>
      </c>
      <c r="B9" s="64" t="s">
        <v>253</v>
      </c>
      <c r="C9" s="93">
        <v>1131.2</v>
      </c>
      <c r="D9" s="100">
        <v>1270.0999999999999</v>
      </c>
      <c r="E9" s="100">
        <v>1360.1</v>
      </c>
      <c r="F9" s="100">
        <v>1449.9</v>
      </c>
      <c r="G9" s="100">
        <v>1874.1</v>
      </c>
      <c r="H9" s="94">
        <v>1768.7</v>
      </c>
      <c r="I9" s="93">
        <v>2242.1</v>
      </c>
      <c r="J9" s="100">
        <v>2273.1</v>
      </c>
      <c r="K9" s="100">
        <v>2112.1</v>
      </c>
      <c r="L9" s="94">
        <v>2197.8000000000002</v>
      </c>
      <c r="M9" s="93">
        <v>2516.6999999999998</v>
      </c>
      <c r="N9" s="100">
        <v>2793.2</v>
      </c>
      <c r="O9" s="100">
        <v>3164.7</v>
      </c>
      <c r="P9" s="100">
        <v>3735.3</v>
      </c>
      <c r="Q9" s="100">
        <v>4798.2</v>
      </c>
      <c r="R9" s="94">
        <v>5559.2</v>
      </c>
      <c r="S9" s="93">
        <v>6073.9</v>
      </c>
      <c r="T9" s="63">
        <v>6200</v>
      </c>
      <c r="U9" s="100">
        <v>6521.4</v>
      </c>
      <c r="V9" s="94">
        <v>6809.8</v>
      </c>
      <c r="W9" s="93">
        <v>7388.8</v>
      </c>
      <c r="X9" s="100">
        <v>7247.4</v>
      </c>
      <c r="Y9" s="100">
        <v>8068.4</v>
      </c>
      <c r="Z9" s="100">
        <v>9094.7000000000007</v>
      </c>
      <c r="AA9" s="100">
        <v>10244.1</v>
      </c>
      <c r="AB9" s="66">
        <v>11244</v>
      </c>
      <c r="AC9" s="93">
        <v>10801.1</v>
      </c>
      <c r="AD9" s="100">
        <v>10580.8</v>
      </c>
      <c r="AE9" s="100">
        <v>10446.700000000001</v>
      </c>
      <c r="AF9" s="94">
        <v>10657.7</v>
      </c>
      <c r="AG9" s="93">
        <v>23860.6</v>
      </c>
      <c r="AH9" s="100">
        <v>13523.2</v>
      </c>
      <c r="AI9" s="100">
        <v>13911.8</v>
      </c>
      <c r="AJ9" s="100">
        <v>15192.3</v>
      </c>
      <c r="AK9" s="100">
        <v>17364.400000000001</v>
      </c>
      <c r="AL9" s="94">
        <v>19294.5</v>
      </c>
    </row>
    <row r="10" spans="1:38" ht="18.75" customHeight="1">
      <c r="A10" s="63">
        <v>7</v>
      </c>
      <c r="B10" s="64" t="s">
        <v>254</v>
      </c>
      <c r="C10" s="93">
        <v>1159.8</v>
      </c>
      <c r="D10" s="100">
        <v>1466.6</v>
      </c>
      <c r="E10" s="100">
        <v>1700.4</v>
      </c>
      <c r="F10" s="100">
        <v>1825.5</v>
      </c>
      <c r="G10" s="100">
        <v>1913.4</v>
      </c>
      <c r="H10" s="94">
        <v>1917.4</v>
      </c>
      <c r="I10" s="93">
        <v>2158.1</v>
      </c>
      <c r="J10" s="100">
        <v>2163.6999999999998</v>
      </c>
      <c r="K10" s="100">
        <v>2325.8000000000002</v>
      </c>
      <c r="L10" s="94">
        <v>2334.6999999999998</v>
      </c>
      <c r="M10" s="93">
        <v>2685.2</v>
      </c>
      <c r="N10" s="100">
        <v>2772.8</v>
      </c>
      <c r="O10" s="63">
        <v>3274</v>
      </c>
      <c r="P10" s="100">
        <v>3303.4</v>
      </c>
      <c r="Q10" s="63">
        <v>3654</v>
      </c>
      <c r="R10" s="94">
        <v>3666.1</v>
      </c>
      <c r="S10" s="93">
        <v>4384.3999999999996</v>
      </c>
      <c r="T10" s="63">
        <v>4512</v>
      </c>
      <c r="U10" s="100">
        <v>4540.3</v>
      </c>
      <c r="V10" s="94">
        <v>5066.3999999999996</v>
      </c>
      <c r="W10" s="93">
        <v>5855.5</v>
      </c>
      <c r="X10" s="100">
        <v>5962.3</v>
      </c>
      <c r="Y10" s="100">
        <v>6252.1</v>
      </c>
      <c r="Z10" s="100">
        <v>6970.6</v>
      </c>
      <c r="AA10" s="100">
        <v>6973.3</v>
      </c>
      <c r="AB10" s="94">
        <v>6976.7</v>
      </c>
      <c r="AC10" s="93">
        <v>7087.5</v>
      </c>
      <c r="AD10" s="100">
        <v>7111.4</v>
      </c>
      <c r="AE10" s="63">
        <v>7945</v>
      </c>
      <c r="AF10" s="94">
        <v>7958.2</v>
      </c>
      <c r="AG10" s="93">
        <v>9736.2999999999993</v>
      </c>
      <c r="AH10" s="100">
        <v>9705.5</v>
      </c>
      <c r="AI10" s="100">
        <v>10020.9</v>
      </c>
      <c r="AJ10" s="100">
        <v>10159.5</v>
      </c>
      <c r="AK10" s="100">
        <v>10347.6</v>
      </c>
      <c r="AL10" s="94">
        <v>10444.1</v>
      </c>
    </row>
    <row r="11" spans="1:38" ht="18.75" customHeight="1">
      <c r="A11" s="19">
        <v>8</v>
      </c>
      <c r="B11" s="14" t="s">
        <v>255</v>
      </c>
      <c r="C11" s="95">
        <v>1453.6</v>
      </c>
      <c r="D11" s="101">
        <v>1805.8</v>
      </c>
      <c r="E11" s="101">
        <v>2151.1</v>
      </c>
      <c r="F11" s="101">
        <v>2381.1999999999998</v>
      </c>
      <c r="G11" s="101">
        <v>2385.8000000000002</v>
      </c>
      <c r="H11" s="96">
        <v>2389.3000000000002</v>
      </c>
      <c r="I11" s="95">
        <v>3085.6</v>
      </c>
      <c r="J11" s="19">
        <v>3091</v>
      </c>
      <c r="K11" s="101">
        <v>3005.6</v>
      </c>
      <c r="L11" s="96">
        <v>3013.2</v>
      </c>
      <c r="M11" s="95">
        <v>3980.4</v>
      </c>
      <c r="N11" s="101">
        <v>4116.3</v>
      </c>
      <c r="O11" s="101">
        <v>4285.5</v>
      </c>
      <c r="P11" s="19">
        <v>5390</v>
      </c>
      <c r="Q11" s="19">
        <v>5571</v>
      </c>
      <c r="R11" s="96">
        <v>5583.1</v>
      </c>
      <c r="S11" s="95">
        <v>6884.1</v>
      </c>
      <c r="T11" s="19">
        <v>6907</v>
      </c>
      <c r="U11" s="101">
        <v>7168.4</v>
      </c>
      <c r="V11" s="96">
        <v>8121.1</v>
      </c>
      <c r="W11" s="95">
        <v>9253.5</v>
      </c>
      <c r="X11" s="101">
        <v>9285.2000000000007</v>
      </c>
      <c r="Y11" s="19">
        <v>10572</v>
      </c>
      <c r="Z11" s="101">
        <v>11181.4</v>
      </c>
      <c r="AA11" s="101">
        <v>11185.3</v>
      </c>
      <c r="AB11" s="96">
        <v>11191.7</v>
      </c>
      <c r="AC11" s="15">
        <v>11299</v>
      </c>
      <c r="AD11" s="101">
        <v>11321.3</v>
      </c>
      <c r="AE11" s="101">
        <v>12306.7</v>
      </c>
      <c r="AF11" s="96">
        <v>12321.9</v>
      </c>
      <c r="AG11" s="95">
        <v>12492.1</v>
      </c>
      <c r="AH11" s="101">
        <v>12545.2</v>
      </c>
      <c r="AI11" s="19">
        <v>14552</v>
      </c>
      <c r="AJ11" s="101">
        <v>14585.4</v>
      </c>
      <c r="AK11" s="101">
        <v>14595.1</v>
      </c>
      <c r="AL11" s="96">
        <v>14603.9</v>
      </c>
    </row>
    <row r="12" spans="1:38" ht="18.75" customHeight="1">
      <c r="A12" s="18">
        <v>9</v>
      </c>
      <c r="B12" s="12" t="s">
        <v>256</v>
      </c>
      <c r="C12" s="98">
        <v>1282.2</v>
      </c>
      <c r="D12" s="102">
        <v>1527.5</v>
      </c>
      <c r="E12" s="102">
        <v>1787.9</v>
      </c>
      <c r="F12" s="102">
        <v>1960.2</v>
      </c>
      <c r="G12" s="102">
        <v>2234.3000000000002</v>
      </c>
      <c r="H12" s="97">
        <v>2240.1999999999998</v>
      </c>
      <c r="I12" s="98">
        <v>2792.7</v>
      </c>
      <c r="J12" s="102">
        <v>2797.9</v>
      </c>
      <c r="K12" s="102">
        <v>2827.4</v>
      </c>
      <c r="L12" s="97">
        <v>2840.5</v>
      </c>
      <c r="M12" s="98">
        <v>3599.4</v>
      </c>
      <c r="N12" s="102">
        <v>3642.1</v>
      </c>
      <c r="O12" s="102">
        <v>4364.8999999999996</v>
      </c>
      <c r="P12" s="102">
        <v>4397.3</v>
      </c>
      <c r="Q12" s="18">
        <v>4774</v>
      </c>
      <c r="R12" s="97">
        <v>4788.5</v>
      </c>
      <c r="S12" s="98">
        <v>6351.4</v>
      </c>
      <c r="T12" s="102">
        <v>6386.5</v>
      </c>
      <c r="U12" s="102">
        <v>6529.4</v>
      </c>
      <c r="V12" s="97">
        <v>7097.6</v>
      </c>
      <c r="W12" s="98">
        <v>8249.7000000000007</v>
      </c>
      <c r="X12" s="102">
        <v>8275.1</v>
      </c>
      <c r="Y12" s="102">
        <v>9301.7000000000007</v>
      </c>
      <c r="Z12" s="102">
        <v>9370.1</v>
      </c>
      <c r="AA12" s="102">
        <v>9379.1</v>
      </c>
      <c r="AB12" s="97">
        <v>9389.9</v>
      </c>
      <c r="AC12" s="98">
        <v>9528.2999999999993</v>
      </c>
      <c r="AD12" s="102">
        <v>9557.7000000000007</v>
      </c>
      <c r="AE12" s="102">
        <v>10749.8</v>
      </c>
      <c r="AF12" s="97">
        <v>10768.6</v>
      </c>
      <c r="AG12" s="13">
        <v>11017</v>
      </c>
      <c r="AH12" s="102">
        <v>11109.8</v>
      </c>
      <c r="AI12" s="102">
        <v>12341.1</v>
      </c>
      <c r="AJ12" s="102">
        <v>12386.8</v>
      </c>
      <c r="AK12" s="102">
        <v>12402.6</v>
      </c>
      <c r="AL12" s="97">
        <v>12416.1</v>
      </c>
    </row>
    <row r="13" spans="1:38" ht="18.75" customHeight="1">
      <c r="A13" s="19">
        <v>10</v>
      </c>
      <c r="B13" s="61" t="s">
        <v>22</v>
      </c>
      <c r="C13" s="60" t="s">
        <v>22</v>
      </c>
      <c r="D13" s="61" t="s">
        <v>22</v>
      </c>
      <c r="E13" s="61" t="s">
        <v>22</v>
      </c>
      <c r="F13" s="61" t="s">
        <v>22</v>
      </c>
      <c r="G13" s="61" t="s">
        <v>22</v>
      </c>
      <c r="H13" s="62" t="s">
        <v>22</v>
      </c>
      <c r="I13" s="60" t="s">
        <v>22</v>
      </c>
      <c r="J13" s="61" t="s">
        <v>22</v>
      </c>
      <c r="K13" s="61" t="s">
        <v>22</v>
      </c>
      <c r="L13" s="62" t="s">
        <v>22</v>
      </c>
      <c r="M13" s="60" t="s">
        <v>22</v>
      </c>
      <c r="N13" s="61" t="s">
        <v>22</v>
      </c>
      <c r="O13" s="61" t="s">
        <v>22</v>
      </c>
      <c r="P13" s="61" t="s">
        <v>22</v>
      </c>
      <c r="Q13" s="61" t="s">
        <v>22</v>
      </c>
      <c r="R13" s="62" t="s">
        <v>22</v>
      </c>
      <c r="S13" s="60" t="s">
        <v>22</v>
      </c>
      <c r="T13" s="61" t="s">
        <v>22</v>
      </c>
      <c r="U13" s="61" t="s">
        <v>22</v>
      </c>
      <c r="V13" s="62" t="s">
        <v>22</v>
      </c>
      <c r="W13" s="60" t="s">
        <v>22</v>
      </c>
      <c r="X13" s="61" t="s">
        <v>22</v>
      </c>
      <c r="Y13" s="61" t="s">
        <v>22</v>
      </c>
      <c r="Z13" s="61" t="s">
        <v>22</v>
      </c>
      <c r="AA13" s="61" t="s">
        <v>22</v>
      </c>
      <c r="AB13" s="62" t="s">
        <v>22</v>
      </c>
      <c r="AC13" s="60" t="s">
        <v>22</v>
      </c>
      <c r="AD13" s="61" t="s">
        <v>22</v>
      </c>
      <c r="AE13" s="61" t="s">
        <v>22</v>
      </c>
      <c r="AF13" s="62" t="s">
        <v>22</v>
      </c>
      <c r="AG13" s="60" t="s">
        <v>22</v>
      </c>
      <c r="AH13" s="61" t="s">
        <v>22</v>
      </c>
      <c r="AI13" s="61" t="s">
        <v>22</v>
      </c>
      <c r="AJ13" s="61" t="s">
        <v>22</v>
      </c>
      <c r="AK13" s="61" t="s">
        <v>22</v>
      </c>
      <c r="AL13" s="62" t="s">
        <v>22</v>
      </c>
    </row>
    <row r="14" spans="1:38" ht="18.75" customHeight="1">
      <c r="A14" s="18">
        <v>11</v>
      </c>
      <c r="B14" s="12" t="s">
        <v>257</v>
      </c>
      <c r="C14" s="98">
        <v>1085.7</v>
      </c>
      <c r="D14" s="102">
        <v>1361.3</v>
      </c>
      <c r="E14" s="102">
        <v>1585.1</v>
      </c>
      <c r="F14" s="102">
        <v>1735.1</v>
      </c>
      <c r="G14" s="102">
        <v>1880.9</v>
      </c>
      <c r="H14" s="97">
        <v>1884.7</v>
      </c>
      <c r="I14" s="98">
        <v>2340.3000000000002</v>
      </c>
      <c r="J14" s="102">
        <v>2344.5</v>
      </c>
      <c r="K14" s="102">
        <v>2436.5</v>
      </c>
      <c r="L14" s="97">
        <v>2445.3000000000002</v>
      </c>
      <c r="M14" s="13">
        <v>2996</v>
      </c>
      <c r="N14" s="102">
        <v>3139.1</v>
      </c>
      <c r="O14" s="102">
        <v>3655.5</v>
      </c>
      <c r="P14" s="102">
        <v>3679.2</v>
      </c>
      <c r="Q14" s="102">
        <v>4455.3</v>
      </c>
      <c r="R14" s="97">
        <v>4555.3</v>
      </c>
      <c r="S14" s="98">
        <v>5137.8999999999996</v>
      </c>
      <c r="T14" s="102">
        <v>5247.5</v>
      </c>
      <c r="U14" s="102">
        <v>5360.5</v>
      </c>
      <c r="V14" s="97">
        <v>5955.2</v>
      </c>
      <c r="W14" s="98">
        <v>6929.1</v>
      </c>
      <c r="X14" s="102">
        <v>6953.5</v>
      </c>
      <c r="Y14" s="18">
        <v>7761</v>
      </c>
      <c r="Z14" s="102">
        <v>7896.9</v>
      </c>
      <c r="AA14" s="102">
        <v>7900.6</v>
      </c>
      <c r="AB14" s="97">
        <v>7905.3</v>
      </c>
      <c r="AC14" s="98">
        <v>7993.4</v>
      </c>
      <c r="AD14" s="102">
        <v>8013.4</v>
      </c>
      <c r="AE14" s="102">
        <v>9028.4</v>
      </c>
      <c r="AF14" s="97">
        <v>9041.7000000000007</v>
      </c>
      <c r="AG14" s="98">
        <v>10218.700000000001</v>
      </c>
      <c r="AH14" s="102">
        <v>10271.9</v>
      </c>
      <c r="AI14" s="102">
        <v>11096.4</v>
      </c>
      <c r="AJ14" s="102">
        <v>11633.7</v>
      </c>
      <c r="AK14" s="102">
        <v>12366.6</v>
      </c>
      <c r="AL14" s="97">
        <v>13164.3</v>
      </c>
    </row>
    <row r="15" spans="1:38" ht="18.75" customHeight="1">
      <c r="A15" s="63">
        <v>12</v>
      </c>
      <c r="B15" s="64" t="s">
        <v>258</v>
      </c>
      <c r="C15" s="93">
        <v>1031.5</v>
      </c>
      <c r="D15" s="100">
        <v>1312.1</v>
      </c>
      <c r="E15" s="100">
        <v>1406.8</v>
      </c>
      <c r="F15" s="100">
        <v>1487.5</v>
      </c>
      <c r="G15" s="100">
        <v>1495.6</v>
      </c>
      <c r="H15" s="94">
        <v>1574.5</v>
      </c>
      <c r="I15" s="93">
        <v>1728.6</v>
      </c>
      <c r="J15" s="100">
        <v>1752.5</v>
      </c>
      <c r="K15" s="100">
        <v>1851.5</v>
      </c>
      <c r="L15" s="94">
        <v>1857.7</v>
      </c>
      <c r="M15" s="65">
        <v>2346</v>
      </c>
      <c r="N15" s="100">
        <v>2550.6999999999998</v>
      </c>
      <c r="O15" s="100">
        <v>2746.2</v>
      </c>
      <c r="P15" s="63">
        <v>3034</v>
      </c>
      <c r="Q15" s="100">
        <v>3349.1</v>
      </c>
      <c r="R15" s="94">
        <v>3427.2</v>
      </c>
      <c r="S15" s="93">
        <v>4236.3</v>
      </c>
      <c r="T15" s="100">
        <v>4287.8</v>
      </c>
      <c r="U15" s="100">
        <v>4503.1000000000004</v>
      </c>
      <c r="V15" s="94">
        <v>4736.8999999999996</v>
      </c>
      <c r="W15" s="93">
        <v>5452.6</v>
      </c>
      <c r="X15" s="100">
        <v>6953.5</v>
      </c>
      <c r="Y15" s="100">
        <v>6098.3</v>
      </c>
      <c r="Z15" s="100">
        <v>6763.7</v>
      </c>
      <c r="AA15" s="100">
        <v>6965.2</v>
      </c>
      <c r="AB15" s="94">
        <v>7397.2</v>
      </c>
      <c r="AC15" s="93">
        <v>8301.7000000000007</v>
      </c>
      <c r="AD15" s="100">
        <v>8331.6</v>
      </c>
      <c r="AE15" s="63">
        <v>8923</v>
      </c>
      <c r="AF15" s="94">
        <v>9106.1</v>
      </c>
      <c r="AG15" s="65">
        <v>10228</v>
      </c>
      <c r="AH15" s="100">
        <v>10270.799999999999</v>
      </c>
      <c r="AI15" s="100">
        <v>11976.7</v>
      </c>
      <c r="AJ15" s="100">
        <v>12857.8</v>
      </c>
      <c r="AK15" s="100">
        <v>13072.3</v>
      </c>
      <c r="AL15" s="94">
        <v>13455.5</v>
      </c>
    </row>
    <row r="16" spans="1:38" ht="18.75" customHeight="1">
      <c r="A16" s="63">
        <v>13</v>
      </c>
      <c r="B16" s="64" t="s">
        <v>259</v>
      </c>
      <c r="C16" s="93">
        <v>1732.9</v>
      </c>
      <c r="D16" s="100">
        <v>2223.5</v>
      </c>
      <c r="E16" s="100">
        <v>2463.3000000000002</v>
      </c>
      <c r="F16" s="63">
        <v>2582</v>
      </c>
      <c r="G16" s="100">
        <v>2583.9</v>
      </c>
      <c r="H16" s="94">
        <v>2588.6999999999998</v>
      </c>
      <c r="I16" s="93">
        <v>3104.8</v>
      </c>
      <c r="J16" s="100">
        <v>3113.1</v>
      </c>
      <c r="K16" s="100">
        <v>3285.4</v>
      </c>
      <c r="L16" s="94">
        <v>3291.8</v>
      </c>
      <c r="M16" s="93">
        <v>4357.6000000000004</v>
      </c>
      <c r="N16" s="100">
        <v>4926.3</v>
      </c>
      <c r="O16" s="100">
        <v>5282.5</v>
      </c>
      <c r="P16" s="100">
        <v>5931.7</v>
      </c>
      <c r="Q16" s="100">
        <v>6364.7</v>
      </c>
      <c r="R16" s="94">
        <v>6379.5</v>
      </c>
      <c r="S16" s="93">
        <v>8041.8</v>
      </c>
      <c r="T16" s="100">
        <v>8075.5</v>
      </c>
      <c r="U16" s="100">
        <v>8111.6</v>
      </c>
      <c r="V16" s="94">
        <v>8120.3</v>
      </c>
      <c r="W16" s="93">
        <v>9995.7000000000007</v>
      </c>
      <c r="X16" s="100">
        <v>10405.6</v>
      </c>
      <c r="Y16" s="100">
        <v>10442.6</v>
      </c>
      <c r="Z16" s="100">
        <v>11917.8</v>
      </c>
      <c r="AA16" s="100">
        <v>12406.1</v>
      </c>
      <c r="AB16" s="94">
        <v>13431.2</v>
      </c>
      <c r="AC16" s="93">
        <v>14974.9</v>
      </c>
      <c r="AD16" s="63">
        <v>15004</v>
      </c>
      <c r="AE16" s="100">
        <v>16462.8</v>
      </c>
      <c r="AF16" s="94">
        <v>16485.900000000001</v>
      </c>
      <c r="AG16" s="93">
        <v>18233.2</v>
      </c>
      <c r="AH16" s="100">
        <v>18278.7</v>
      </c>
      <c r="AI16" s="100">
        <v>18282.7</v>
      </c>
      <c r="AJ16" s="100">
        <v>21436.400000000001</v>
      </c>
      <c r="AK16" s="100">
        <v>21449.8</v>
      </c>
      <c r="AL16" s="94">
        <v>21500.5</v>
      </c>
    </row>
    <row r="17" spans="1:38" ht="18.75" customHeight="1">
      <c r="A17" s="63">
        <v>14</v>
      </c>
      <c r="B17" s="64" t="s">
        <v>260</v>
      </c>
      <c r="C17" s="93">
        <v>443.7</v>
      </c>
      <c r="D17" s="100">
        <v>482.3</v>
      </c>
      <c r="E17" s="100">
        <v>519.20000000000005</v>
      </c>
      <c r="F17" s="100">
        <v>555.9</v>
      </c>
      <c r="G17" s="63">
        <v>629</v>
      </c>
      <c r="H17" s="94">
        <v>666.8</v>
      </c>
      <c r="I17" s="93">
        <v>738.8</v>
      </c>
      <c r="J17" s="100">
        <v>772.6</v>
      </c>
      <c r="K17" s="100">
        <v>774.3</v>
      </c>
      <c r="L17" s="94">
        <v>837.6</v>
      </c>
      <c r="M17" s="93">
        <v>1077.4000000000001</v>
      </c>
      <c r="N17" s="100">
        <v>1147.8</v>
      </c>
      <c r="O17" s="100">
        <v>1240.0999999999999</v>
      </c>
      <c r="P17" s="100">
        <v>1315.1</v>
      </c>
      <c r="Q17" s="100">
        <v>1522.1</v>
      </c>
      <c r="R17" s="94">
        <v>1527.6</v>
      </c>
      <c r="S17" s="93">
        <v>1589.9</v>
      </c>
      <c r="T17" s="100">
        <v>1598.7</v>
      </c>
      <c r="U17" s="63">
        <v>1586</v>
      </c>
      <c r="V17" s="94">
        <v>1743.1</v>
      </c>
      <c r="W17" s="93">
        <v>1989.1</v>
      </c>
      <c r="X17" s="63">
        <v>1994</v>
      </c>
      <c r="Y17" s="100">
        <v>2035.5</v>
      </c>
      <c r="Z17" s="100">
        <v>2258.8000000000002</v>
      </c>
      <c r="AA17" s="100">
        <v>2258.9</v>
      </c>
      <c r="AB17" s="94">
        <v>2258.9</v>
      </c>
      <c r="AC17" s="93">
        <v>2311.3000000000002</v>
      </c>
      <c r="AD17" s="100">
        <v>2322.6</v>
      </c>
      <c r="AE17" s="100">
        <v>2330.3000000000002</v>
      </c>
      <c r="AF17" s="94">
        <v>2647.5</v>
      </c>
      <c r="AG17" s="93">
        <v>3187.1</v>
      </c>
      <c r="AH17" s="100">
        <v>3199.1</v>
      </c>
      <c r="AI17" s="100">
        <v>3623.8</v>
      </c>
      <c r="AJ17" s="100">
        <v>4234.2</v>
      </c>
      <c r="AK17" s="100">
        <v>4238.7</v>
      </c>
      <c r="AL17" s="94">
        <v>4243.3</v>
      </c>
    </row>
    <row r="18" spans="1:38" ht="18.75" customHeight="1">
      <c r="A18" s="18">
        <v>15</v>
      </c>
      <c r="B18" s="12" t="s">
        <v>261</v>
      </c>
      <c r="C18" s="98">
        <v>554.5</v>
      </c>
      <c r="D18" s="102">
        <v>622.6</v>
      </c>
      <c r="E18" s="102">
        <v>800.1</v>
      </c>
      <c r="F18" s="102">
        <v>977.6</v>
      </c>
      <c r="G18" s="102">
        <v>982.1</v>
      </c>
      <c r="H18" s="97">
        <v>983.1</v>
      </c>
      <c r="I18" s="98">
        <v>1133.5999999999999</v>
      </c>
      <c r="J18" s="18">
        <v>996</v>
      </c>
      <c r="K18" s="102">
        <v>1185.4000000000001</v>
      </c>
      <c r="L18" s="97">
        <v>1288.7</v>
      </c>
      <c r="M18" s="98">
        <v>1510.3</v>
      </c>
      <c r="N18" s="102">
        <v>1798.5</v>
      </c>
      <c r="O18" s="102">
        <v>2019.4</v>
      </c>
      <c r="P18" s="102">
        <v>2424.4</v>
      </c>
      <c r="Q18" s="102">
        <v>2630.2</v>
      </c>
      <c r="R18" s="97">
        <v>2634.8</v>
      </c>
      <c r="S18" s="98">
        <v>2715.4</v>
      </c>
      <c r="T18" s="102">
        <v>2772.7</v>
      </c>
      <c r="U18" s="102">
        <v>2798.3</v>
      </c>
      <c r="V18" s="97">
        <v>2824.3</v>
      </c>
      <c r="W18" s="98">
        <v>3137.1</v>
      </c>
      <c r="X18" s="102">
        <v>3275.3</v>
      </c>
      <c r="Y18" s="102">
        <v>3775.8</v>
      </c>
      <c r="Z18" s="102">
        <v>4387.3999999999996</v>
      </c>
      <c r="AA18" s="102">
        <v>4387.3999999999996</v>
      </c>
      <c r="AB18" s="97">
        <v>4387.3999999999996</v>
      </c>
      <c r="AC18" s="98">
        <v>4727.2</v>
      </c>
      <c r="AD18" s="102">
        <v>4568.2</v>
      </c>
      <c r="AE18" s="102">
        <v>5078.8999999999996</v>
      </c>
      <c r="AF18" s="97">
        <v>5567.9</v>
      </c>
      <c r="AG18" s="98">
        <v>6064.8</v>
      </c>
      <c r="AH18" s="102">
        <v>6078.5</v>
      </c>
      <c r="AI18" s="102">
        <v>6421.7</v>
      </c>
      <c r="AJ18" s="102">
        <v>7213.6</v>
      </c>
      <c r="AK18" s="102">
        <v>7216.7</v>
      </c>
      <c r="AL18" s="97">
        <v>7219.8</v>
      </c>
    </row>
    <row r="19" spans="1:38" ht="18.75" customHeight="1">
      <c r="A19" s="19">
        <v>16</v>
      </c>
      <c r="B19" s="14" t="s">
        <v>262</v>
      </c>
      <c r="C19" s="95">
        <v>594.4</v>
      </c>
      <c r="D19" s="101">
        <v>624.4</v>
      </c>
      <c r="E19" s="101">
        <v>651.20000000000005</v>
      </c>
      <c r="F19" s="101">
        <v>676.9</v>
      </c>
      <c r="G19" s="101">
        <v>726.8</v>
      </c>
      <c r="H19" s="96">
        <v>779.1</v>
      </c>
      <c r="I19" s="95">
        <v>832.9</v>
      </c>
      <c r="J19" s="101">
        <v>872.9</v>
      </c>
      <c r="K19" s="101">
        <v>945.9</v>
      </c>
      <c r="L19" s="96">
        <v>1084.8</v>
      </c>
      <c r="M19" s="95">
        <v>1181.7</v>
      </c>
      <c r="N19" s="101">
        <v>1542.4</v>
      </c>
      <c r="O19" s="101">
        <v>1668.3</v>
      </c>
      <c r="P19" s="101">
        <v>1705.4</v>
      </c>
      <c r="Q19" s="101">
        <v>1922.5</v>
      </c>
      <c r="R19" s="96">
        <v>1934.2</v>
      </c>
      <c r="S19" s="95">
        <v>2258.6999999999998</v>
      </c>
      <c r="T19" s="101">
        <v>2366.1999999999998</v>
      </c>
      <c r="U19" s="19">
        <v>2491</v>
      </c>
      <c r="V19" s="96">
        <v>2579.9</v>
      </c>
      <c r="W19" s="15">
        <v>2787</v>
      </c>
      <c r="X19" s="101">
        <v>2799.4</v>
      </c>
      <c r="Y19" s="101">
        <v>2870.2</v>
      </c>
      <c r="Z19" s="101">
        <v>3854.9</v>
      </c>
      <c r="AA19" s="101">
        <v>3855.3</v>
      </c>
      <c r="AB19" s="96">
        <v>3855.6</v>
      </c>
      <c r="AC19" s="95">
        <v>4468.2</v>
      </c>
      <c r="AD19" s="101">
        <v>4864.5</v>
      </c>
      <c r="AE19" s="101">
        <v>4897.7</v>
      </c>
      <c r="AF19" s="17">
        <v>5106</v>
      </c>
      <c r="AG19" s="95">
        <v>6535.1</v>
      </c>
      <c r="AH19" s="19">
        <v>6572</v>
      </c>
      <c r="AI19" s="101">
        <v>6576.6</v>
      </c>
      <c r="AJ19" s="101">
        <v>6616.7</v>
      </c>
      <c r="AK19" s="101">
        <v>6630.4</v>
      </c>
      <c r="AL19" s="17">
        <v>6642</v>
      </c>
    </row>
    <row r="20" spans="1:38" ht="18.75" customHeight="1">
      <c r="A20" s="18">
        <v>17</v>
      </c>
      <c r="B20" s="12" t="s">
        <v>263</v>
      </c>
      <c r="C20" s="98">
        <v>864.8</v>
      </c>
      <c r="D20" s="102">
        <v>965.3</v>
      </c>
      <c r="E20" s="102">
        <v>1219.8</v>
      </c>
      <c r="F20" s="102">
        <v>1466.4</v>
      </c>
      <c r="G20" s="102">
        <v>1405.6</v>
      </c>
      <c r="H20" s="16">
        <v>1412</v>
      </c>
      <c r="I20" s="98">
        <v>1450.3</v>
      </c>
      <c r="J20" s="102">
        <v>1455.3</v>
      </c>
      <c r="K20" s="102">
        <v>1654.1</v>
      </c>
      <c r="L20" s="97">
        <v>1724.1</v>
      </c>
      <c r="M20" s="98">
        <v>1855.5</v>
      </c>
      <c r="N20" s="102">
        <v>2460.6</v>
      </c>
      <c r="O20" s="102">
        <v>2692.5</v>
      </c>
      <c r="P20" s="18">
        <v>3052</v>
      </c>
      <c r="Q20" s="102">
        <v>3187.1</v>
      </c>
      <c r="R20" s="97">
        <v>3401.7</v>
      </c>
      <c r="S20" s="98">
        <v>3931.7</v>
      </c>
      <c r="T20" s="102">
        <v>4540.3</v>
      </c>
      <c r="U20" s="102">
        <v>4567.3</v>
      </c>
      <c r="V20" s="97">
        <v>4730.2</v>
      </c>
      <c r="W20" s="98">
        <v>5511.1</v>
      </c>
      <c r="X20" s="102">
        <v>5410.5</v>
      </c>
      <c r="Y20" s="102">
        <v>5896.6</v>
      </c>
      <c r="Z20" s="102">
        <v>6193.4</v>
      </c>
      <c r="AA20" s="102">
        <v>6388.7</v>
      </c>
      <c r="AB20" s="97">
        <v>6987.7</v>
      </c>
      <c r="AC20" s="98">
        <v>7144.2</v>
      </c>
      <c r="AD20" s="102">
        <v>7169.1</v>
      </c>
      <c r="AE20" s="102">
        <v>8642.6</v>
      </c>
      <c r="AF20" s="97">
        <v>8662.5</v>
      </c>
      <c r="AG20" s="98">
        <v>8863.7000000000007</v>
      </c>
      <c r="AH20" s="102">
        <v>8893.5</v>
      </c>
      <c r="AI20" s="102">
        <v>11229.2</v>
      </c>
      <c r="AJ20" s="18">
        <v>12814</v>
      </c>
      <c r="AK20" s="102">
        <v>12823.1</v>
      </c>
      <c r="AL20" s="97">
        <v>12832.6</v>
      </c>
    </row>
    <row r="21" spans="1:38" ht="18.75" customHeight="1">
      <c r="A21" s="19">
        <v>18</v>
      </c>
      <c r="B21" s="14" t="s">
        <v>264</v>
      </c>
      <c r="C21" s="95">
        <v>414.7</v>
      </c>
      <c r="D21" s="101">
        <v>463.8</v>
      </c>
      <c r="E21" s="101">
        <v>555.4</v>
      </c>
      <c r="F21" s="101">
        <v>574.1</v>
      </c>
      <c r="G21" s="19">
        <v>611</v>
      </c>
      <c r="H21" s="96">
        <v>612.5</v>
      </c>
      <c r="I21" s="95">
        <v>734.3</v>
      </c>
      <c r="J21" s="101">
        <v>707.2</v>
      </c>
      <c r="K21" s="101">
        <v>783.3</v>
      </c>
      <c r="L21" s="96">
        <v>797.8</v>
      </c>
      <c r="M21" s="95">
        <v>946.3</v>
      </c>
      <c r="N21" s="101">
        <v>1197.2</v>
      </c>
      <c r="O21" s="101">
        <v>1263.5</v>
      </c>
      <c r="P21" s="19">
        <v>1364</v>
      </c>
      <c r="Q21" s="101">
        <v>1382.8</v>
      </c>
      <c r="R21" s="96">
        <v>1582.4</v>
      </c>
      <c r="S21" s="95">
        <v>1784.5</v>
      </c>
      <c r="T21" s="101">
        <v>1988.1</v>
      </c>
      <c r="U21" s="101">
        <v>2087.4</v>
      </c>
      <c r="V21" s="96">
        <v>2090.1</v>
      </c>
      <c r="W21" s="15">
        <v>2402</v>
      </c>
      <c r="X21" s="101">
        <v>2420.1999999999998</v>
      </c>
      <c r="Y21" s="101">
        <v>2722.2</v>
      </c>
      <c r="Z21" s="101">
        <v>3245.2</v>
      </c>
      <c r="AA21" s="101">
        <v>3245.3</v>
      </c>
      <c r="AB21" s="96">
        <v>3245.5</v>
      </c>
      <c r="AC21" s="15">
        <v>3464</v>
      </c>
      <c r="AD21" s="19">
        <v>3473</v>
      </c>
      <c r="AE21" s="101">
        <v>3478.9</v>
      </c>
      <c r="AF21" s="96">
        <v>3484.1</v>
      </c>
      <c r="AG21" s="95">
        <v>4091.9</v>
      </c>
      <c r="AH21" s="101">
        <v>4115.1000000000004</v>
      </c>
      <c r="AI21" s="101">
        <v>4546.5</v>
      </c>
      <c r="AJ21" s="101">
        <v>4604.6000000000004</v>
      </c>
      <c r="AK21" s="101">
        <v>4854.8999999999996</v>
      </c>
      <c r="AL21" s="96">
        <v>4953.3999999999996</v>
      </c>
    </row>
    <row r="22" spans="1:38" ht="18.75" customHeight="1">
      <c r="A22" s="18">
        <v>19</v>
      </c>
      <c r="B22" s="12" t="s">
        <v>265</v>
      </c>
      <c r="C22" s="98">
        <v>771.4</v>
      </c>
      <c r="D22" s="102">
        <v>859.7</v>
      </c>
      <c r="E22" s="102">
        <v>995.7</v>
      </c>
      <c r="F22" s="102">
        <v>1057.3</v>
      </c>
      <c r="G22" s="102">
        <v>1149.9000000000001</v>
      </c>
      <c r="H22" s="97">
        <v>1167.4000000000001</v>
      </c>
      <c r="I22" s="98">
        <v>1380.5</v>
      </c>
      <c r="J22" s="102">
        <v>1304.7</v>
      </c>
      <c r="K22" s="102">
        <v>1351.6</v>
      </c>
      <c r="L22" s="97">
        <v>1599.1</v>
      </c>
      <c r="M22" s="98">
        <v>1880.7</v>
      </c>
      <c r="N22" s="102">
        <v>2499.4</v>
      </c>
      <c r="O22" s="102">
        <v>2613.9</v>
      </c>
      <c r="P22" s="102">
        <v>2642.9</v>
      </c>
      <c r="Q22" s="102">
        <v>3187.2</v>
      </c>
      <c r="R22" s="97">
        <v>3229.6</v>
      </c>
      <c r="S22" s="98">
        <v>3777.6</v>
      </c>
      <c r="T22" s="102">
        <v>4051.8</v>
      </c>
      <c r="U22" s="102">
        <v>4101.8</v>
      </c>
      <c r="V22" s="97">
        <v>4062.3</v>
      </c>
      <c r="W22" s="98">
        <v>4642.7</v>
      </c>
      <c r="X22" s="102">
        <v>4634.3</v>
      </c>
      <c r="Y22" s="18">
        <v>4804</v>
      </c>
      <c r="Z22" s="102">
        <v>5618.2</v>
      </c>
      <c r="AA22" s="102">
        <v>5940.7</v>
      </c>
      <c r="AB22" s="97">
        <v>6621.1</v>
      </c>
      <c r="AC22" s="98">
        <v>6981.6</v>
      </c>
      <c r="AD22" s="102">
        <v>6967.3</v>
      </c>
      <c r="AE22" s="102">
        <v>7042.5</v>
      </c>
      <c r="AF22" s="97">
        <v>7168.1</v>
      </c>
      <c r="AG22" s="98">
        <v>7934.5</v>
      </c>
      <c r="AH22" s="18">
        <v>8030</v>
      </c>
      <c r="AI22" s="102">
        <v>8714.2999999999993</v>
      </c>
      <c r="AJ22" s="102">
        <v>9186.7000000000007</v>
      </c>
      <c r="AK22" s="18">
        <v>9482</v>
      </c>
      <c r="AL22" s="97">
        <v>9727.2000000000007</v>
      </c>
    </row>
    <row r="23" spans="1:38" ht="18.75" customHeight="1">
      <c r="A23" s="63">
        <v>20</v>
      </c>
      <c r="B23" s="64" t="s">
        <v>266</v>
      </c>
      <c r="C23" s="93">
        <v>576.20000000000005</v>
      </c>
      <c r="D23" s="100">
        <v>704.8</v>
      </c>
      <c r="E23" s="100">
        <v>716.1</v>
      </c>
      <c r="F23" s="63">
        <v>720</v>
      </c>
      <c r="G23" s="100">
        <v>734.6</v>
      </c>
      <c r="H23" s="66">
        <v>786</v>
      </c>
      <c r="I23" s="93">
        <v>826.3</v>
      </c>
      <c r="J23" s="100">
        <v>829.6</v>
      </c>
      <c r="K23" s="100">
        <v>951.3</v>
      </c>
      <c r="L23" s="94">
        <v>973.1</v>
      </c>
      <c r="M23" s="93">
        <v>1255.3</v>
      </c>
      <c r="N23" s="100">
        <v>1361.8</v>
      </c>
      <c r="O23" s="100">
        <v>1414.8</v>
      </c>
      <c r="P23" s="100">
        <v>1522.7</v>
      </c>
      <c r="Q23" s="100">
        <v>1633.2</v>
      </c>
      <c r="R23" s="94">
        <v>1639.3</v>
      </c>
      <c r="S23" s="93">
        <v>1888.5</v>
      </c>
      <c r="T23" s="100">
        <v>1920.9</v>
      </c>
      <c r="U23" s="100">
        <v>1828.8</v>
      </c>
      <c r="V23" s="94">
        <v>1882.7</v>
      </c>
      <c r="W23" s="93">
        <v>2346.1</v>
      </c>
      <c r="X23" s="100">
        <v>2352.6</v>
      </c>
      <c r="Y23" s="100">
        <v>2905.9</v>
      </c>
      <c r="Z23" s="100">
        <v>3022.2</v>
      </c>
      <c r="AA23" s="100">
        <v>3022.4</v>
      </c>
      <c r="AB23" s="94">
        <v>3022.7</v>
      </c>
      <c r="AC23" s="65">
        <v>3682</v>
      </c>
      <c r="AD23" s="100">
        <v>3740.8</v>
      </c>
      <c r="AE23" s="100">
        <v>4064.4</v>
      </c>
      <c r="AF23" s="94">
        <v>4239.6000000000004</v>
      </c>
      <c r="AG23" s="93">
        <v>4754.5</v>
      </c>
      <c r="AH23" s="100">
        <v>4774.7</v>
      </c>
      <c r="AI23" s="100">
        <v>4788.8</v>
      </c>
      <c r="AJ23" s="63">
        <v>4807</v>
      </c>
      <c r="AK23" s="100">
        <v>4814.1000000000004</v>
      </c>
      <c r="AL23" s="94">
        <v>4819.6000000000004</v>
      </c>
    </row>
    <row r="24" spans="1:38" ht="18.75" customHeight="1">
      <c r="A24" s="63">
        <v>21</v>
      </c>
      <c r="B24" s="64" t="s">
        <v>267</v>
      </c>
      <c r="C24" s="93">
        <v>769.3</v>
      </c>
      <c r="D24" s="100">
        <v>890.3</v>
      </c>
      <c r="E24" s="100">
        <v>1068.2</v>
      </c>
      <c r="F24" s="100">
        <v>1186.8</v>
      </c>
      <c r="G24" s="63">
        <v>1188</v>
      </c>
      <c r="H24" s="94">
        <v>1190.0999999999999</v>
      </c>
      <c r="I24" s="93">
        <v>1457.5</v>
      </c>
      <c r="J24" s="100">
        <v>1461.4</v>
      </c>
      <c r="K24" s="100">
        <v>1562.5</v>
      </c>
      <c r="L24" s="94">
        <v>1564.9</v>
      </c>
      <c r="M24" s="93">
        <v>1997.6</v>
      </c>
      <c r="N24" s="100">
        <v>2112.5</v>
      </c>
      <c r="O24" s="100">
        <v>2290.5</v>
      </c>
      <c r="P24" s="100">
        <v>2411.4</v>
      </c>
      <c r="Q24" s="100">
        <v>2776.4</v>
      </c>
      <c r="R24" s="94">
        <v>2783.5</v>
      </c>
      <c r="S24" s="93">
        <v>2960.1</v>
      </c>
      <c r="T24" s="100">
        <v>3237.3</v>
      </c>
      <c r="U24" s="100">
        <v>3552.2</v>
      </c>
      <c r="V24" s="94">
        <v>3554.8</v>
      </c>
      <c r="W24" s="93">
        <v>4197.7</v>
      </c>
      <c r="X24" s="100">
        <v>4357.6000000000004</v>
      </c>
      <c r="Y24" s="100">
        <v>4446.7</v>
      </c>
      <c r="Z24" s="100">
        <v>5376.7</v>
      </c>
      <c r="AA24" s="100">
        <v>5376.8</v>
      </c>
      <c r="AB24" s="94">
        <v>5376.9</v>
      </c>
      <c r="AC24" s="93">
        <v>6257.9</v>
      </c>
      <c r="AD24" s="100">
        <v>6272.5</v>
      </c>
      <c r="AE24" s="100">
        <v>6282.9</v>
      </c>
      <c r="AF24" s="94">
        <v>6618.6</v>
      </c>
      <c r="AG24" s="93">
        <v>7732.8</v>
      </c>
      <c r="AH24" s="100">
        <v>8095.9</v>
      </c>
      <c r="AI24" s="100">
        <v>8676.1</v>
      </c>
      <c r="AJ24" s="100">
        <v>10079.5</v>
      </c>
      <c r="AK24" s="100">
        <v>10085.799999999999</v>
      </c>
      <c r="AL24" s="94">
        <v>10242.299999999999</v>
      </c>
    </row>
    <row r="25" spans="1:38" ht="18.75" customHeight="1">
      <c r="A25" s="19">
        <v>22</v>
      </c>
      <c r="B25" s="14" t="s">
        <v>268</v>
      </c>
      <c r="C25" s="95">
        <v>506.9</v>
      </c>
      <c r="D25" s="101">
        <v>551.6</v>
      </c>
      <c r="E25" s="101">
        <v>553.6</v>
      </c>
      <c r="F25" s="101">
        <v>554.4</v>
      </c>
      <c r="G25" s="101">
        <v>720.2</v>
      </c>
      <c r="H25" s="96">
        <v>764.1</v>
      </c>
      <c r="I25" s="95">
        <v>845.8</v>
      </c>
      <c r="J25" s="101">
        <v>884.4</v>
      </c>
      <c r="K25" s="101">
        <v>888.5</v>
      </c>
      <c r="L25" s="96">
        <v>891.4</v>
      </c>
      <c r="M25" s="95">
        <v>1087.5</v>
      </c>
      <c r="N25" s="101">
        <v>1101.9000000000001</v>
      </c>
      <c r="O25" s="101">
        <v>1168.4000000000001</v>
      </c>
      <c r="P25" s="101">
        <v>1173.9000000000001</v>
      </c>
      <c r="Q25" s="101">
        <v>1379.1</v>
      </c>
      <c r="R25" s="96">
        <v>1559.4</v>
      </c>
      <c r="S25" s="95">
        <v>1805.1</v>
      </c>
      <c r="T25" s="101">
        <v>1820.1</v>
      </c>
      <c r="U25" s="101">
        <v>1830.5</v>
      </c>
      <c r="V25" s="96">
        <v>1850.2</v>
      </c>
      <c r="W25" s="95">
        <v>2034.3</v>
      </c>
      <c r="X25" s="101">
        <v>2042.4</v>
      </c>
      <c r="Y25" s="101">
        <v>2062.6999999999998</v>
      </c>
      <c r="Z25" s="101">
        <v>2077.9</v>
      </c>
      <c r="AA25" s="101">
        <v>2078.3000000000002</v>
      </c>
      <c r="AB25" s="96">
        <v>2078.6999999999998</v>
      </c>
      <c r="AC25" s="95">
        <v>2463.5</v>
      </c>
      <c r="AD25" s="101">
        <v>2481.8000000000002</v>
      </c>
      <c r="AE25" s="101">
        <v>2489.6</v>
      </c>
      <c r="AF25" s="96">
        <v>2834.3</v>
      </c>
      <c r="AG25" s="95">
        <v>2928.4</v>
      </c>
      <c r="AH25" s="101">
        <v>2952.3</v>
      </c>
      <c r="AI25" s="101">
        <v>3222.5</v>
      </c>
      <c r="AJ25" s="101">
        <v>3533.9</v>
      </c>
      <c r="AK25" s="101">
        <v>3623.6</v>
      </c>
      <c r="AL25" s="96">
        <v>3988.2</v>
      </c>
    </row>
    <row r="26" spans="1:38" ht="18.75" customHeight="1">
      <c r="A26" s="18">
        <v>23</v>
      </c>
      <c r="B26" s="12" t="s">
        <v>269</v>
      </c>
      <c r="C26" s="98">
        <v>932.9</v>
      </c>
      <c r="D26" s="102">
        <v>1213.0999999999999</v>
      </c>
      <c r="E26" s="102">
        <v>1338.1</v>
      </c>
      <c r="F26" s="102">
        <v>1518.4</v>
      </c>
      <c r="G26" s="102">
        <v>1524.3</v>
      </c>
      <c r="H26" s="97">
        <v>1534.8</v>
      </c>
      <c r="I26" s="98">
        <v>1778.3</v>
      </c>
      <c r="J26" s="102">
        <v>1644.5</v>
      </c>
      <c r="K26" s="102">
        <v>1872.4</v>
      </c>
      <c r="L26" s="97">
        <v>2007.1</v>
      </c>
      <c r="M26" s="98">
        <v>2224.9</v>
      </c>
      <c r="N26" s="102">
        <v>2626.5</v>
      </c>
      <c r="O26" s="102">
        <v>2902.4</v>
      </c>
      <c r="P26" s="102">
        <v>3397.8</v>
      </c>
      <c r="Q26" s="102">
        <v>3926.2</v>
      </c>
      <c r="R26" s="16">
        <v>3776</v>
      </c>
      <c r="S26" s="98">
        <v>4158.7</v>
      </c>
      <c r="T26" s="102">
        <v>4216.8</v>
      </c>
      <c r="U26" s="18">
        <v>4262</v>
      </c>
      <c r="V26" s="97">
        <v>4312.1000000000004</v>
      </c>
      <c r="W26" s="13">
        <v>4903</v>
      </c>
      <c r="X26" s="102">
        <v>5172.6000000000004</v>
      </c>
      <c r="Y26" s="102">
        <v>5279.9</v>
      </c>
      <c r="Z26" s="102">
        <v>5750.9</v>
      </c>
      <c r="AA26" s="102">
        <v>5752.5</v>
      </c>
      <c r="AB26" s="97">
        <v>5753.8</v>
      </c>
      <c r="AC26" s="98">
        <v>6047.8</v>
      </c>
      <c r="AD26" s="102">
        <v>6121.3</v>
      </c>
      <c r="AE26" s="102">
        <v>7241.3</v>
      </c>
      <c r="AF26" s="97">
        <v>7281.3</v>
      </c>
      <c r="AG26" s="98">
        <v>8676.2999999999993</v>
      </c>
      <c r="AH26" s="102">
        <v>8425.4</v>
      </c>
      <c r="AI26" s="102">
        <v>9045.4</v>
      </c>
      <c r="AJ26" s="102">
        <v>10139.6</v>
      </c>
      <c r="AK26" s="102">
        <v>10178.700000000001</v>
      </c>
      <c r="AL26" s="97">
        <v>10206.5</v>
      </c>
    </row>
    <row r="27" spans="1:38" ht="18.75" customHeight="1">
      <c r="A27" s="63">
        <v>24</v>
      </c>
      <c r="B27" s="64" t="s">
        <v>270</v>
      </c>
      <c r="C27" s="93">
        <v>630.5</v>
      </c>
      <c r="D27" s="100">
        <v>677.6</v>
      </c>
      <c r="E27" s="100">
        <v>714.1</v>
      </c>
      <c r="F27" s="100">
        <v>736.9</v>
      </c>
      <c r="G27" s="100">
        <v>891.9</v>
      </c>
      <c r="H27" s="94">
        <v>895.5</v>
      </c>
      <c r="I27" s="93">
        <v>1128.5</v>
      </c>
      <c r="J27" s="100">
        <v>1098.9000000000001</v>
      </c>
      <c r="K27" s="100">
        <v>1193.2</v>
      </c>
      <c r="L27" s="94">
        <v>1208.2</v>
      </c>
      <c r="M27" s="93">
        <v>1475.3</v>
      </c>
      <c r="N27" s="100">
        <v>1747.2</v>
      </c>
      <c r="O27" s="100">
        <v>1860.1</v>
      </c>
      <c r="P27" s="100">
        <v>1902.5</v>
      </c>
      <c r="Q27" s="100">
        <v>2421.6999999999998</v>
      </c>
      <c r="R27" s="94">
        <v>2433.4</v>
      </c>
      <c r="S27" s="93">
        <v>3057.2</v>
      </c>
      <c r="T27" s="100">
        <v>3171.3</v>
      </c>
      <c r="U27" s="100">
        <v>3221.6</v>
      </c>
      <c r="V27" s="94">
        <v>3336.1</v>
      </c>
      <c r="W27" s="93">
        <v>4047.7</v>
      </c>
      <c r="X27" s="100">
        <v>4079.8</v>
      </c>
      <c r="Y27" s="100">
        <v>4420.2</v>
      </c>
      <c r="Z27" s="100">
        <v>4794.3999999999996</v>
      </c>
      <c r="AA27" s="63">
        <v>4795</v>
      </c>
      <c r="AB27" s="94">
        <v>4795.8</v>
      </c>
      <c r="AC27" s="93">
        <v>5220.2</v>
      </c>
      <c r="AD27" s="100">
        <v>5430.6</v>
      </c>
      <c r="AE27" s="100">
        <v>5472.1</v>
      </c>
      <c r="AF27" s="94">
        <v>5489.9</v>
      </c>
      <c r="AG27" s="93">
        <v>6138.6</v>
      </c>
      <c r="AH27" s="100">
        <v>6186.2</v>
      </c>
      <c r="AI27" s="100">
        <v>6267.3</v>
      </c>
      <c r="AJ27" s="100">
        <v>6596.9</v>
      </c>
      <c r="AK27" s="100">
        <v>6677.1</v>
      </c>
      <c r="AL27" s="94">
        <v>6686.9</v>
      </c>
    </row>
    <row r="28" spans="1:38" ht="18.75" customHeight="1">
      <c r="A28" s="18">
        <v>25</v>
      </c>
      <c r="B28" s="12" t="s">
        <v>271</v>
      </c>
      <c r="C28" s="98">
        <v>489.1</v>
      </c>
      <c r="D28" s="102">
        <v>513.4</v>
      </c>
      <c r="E28" s="102">
        <v>531.20000000000005</v>
      </c>
      <c r="F28" s="102">
        <v>538.5</v>
      </c>
      <c r="G28" s="102">
        <v>543.9</v>
      </c>
      <c r="H28" s="97">
        <v>549.4</v>
      </c>
      <c r="I28" s="98">
        <v>603.70000000000005</v>
      </c>
      <c r="J28" s="102">
        <v>612.79999999999995</v>
      </c>
      <c r="K28" s="102">
        <v>623.4</v>
      </c>
      <c r="L28" s="97">
        <v>632.70000000000005</v>
      </c>
      <c r="M28" s="98">
        <v>697.2</v>
      </c>
      <c r="N28" s="102">
        <v>758.4</v>
      </c>
      <c r="O28" s="102">
        <v>761.9</v>
      </c>
      <c r="P28" s="102">
        <v>778.6</v>
      </c>
      <c r="Q28" s="18">
        <v>1090</v>
      </c>
      <c r="R28" s="97">
        <v>1159.9000000000001</v>
      </c>
      <c r="S28" s="98">
        <v>1651.9</v>
      </c>
      <c r="T28" s="102">
        <v>1731.4</v>
      </c>
      <c r="U28" s="102">
        <v>1730.7</v>
      </c>
      <c r="V28" s="97">
        <v>1758.8</v>
      </c>
      <c r="W28" s="98">
        <v>2159.8000000000002</v>
      </c>
      <c r="X28" s="102">
        <v>2248.6999999999998</v>
      </c>
      <c r="Y28" s="102">
        <v>2715.7</v>
      </c>
      <c r="Z28" s="102">
        <v>2840.7</v>
      </c>
      <c r="AA28" s="18">
        <v>2848</v>
      </c>
      <c r="AB28" s="97">
        <v>3389.7</v>
      </c>
      <c r="AC28" s="98">
        <v>3762.9</v>
      </c>
      <c r="AD28" s="102">
        <v>3927.5</v>
      </c>
      <c r="AE28" s="102">
        <v>4335.2</v>
      </c>
      <c r="AF28" s="97">
        <v>4384.8999999999996</v>
      </c>
      <c r="AG28" s="98">
        <v>4902.5</v>
      </c>
      <c r="AH28" s="102">
        <v>5085.2</v>
      </c>
      <c r="AI28" s="102">
        <v>5525.3</v>
      </c>
      <c r="AJ28" s="102">
        <v>5777.5</v>
      </c>
      <c r="AK28" s="102">
        <v>5810.2</v>
      </c>
      <c r="AL28" s="16">
        <v>6086</v>
      </c>
    </row>
    <row r="29" spans="1:38" ht="18.75" customHeight="1">
      <c r="A29" s="19">
        <v>26</v>
      </c>
      <c r="B29" s="61" t="s">
        <v>22</v>
      </c>
      <c r="C29" s="60" t="s">
        <v>22</v>
      </c>
      <c r="D29" s="61" t="s">
        <v>22</v>
      </c>
      <c r="E29" s="61" t="s">
        <v>22</v>
      </c>
      <c r="F29" s="61" t="s">
        <v>22</v>
      </c>
      <c r="G29" s="61" t="s">
        <v>22</v>
      </c>
      <c r="H29" s="62" t="s">
        <v>22</v>
      </c>
      <c r="I29" s="60" t="s">
        <v>22</v>
      </c>
      <c r="J29" s="61" t="s">
        <v>22</v>
      </c>
      <c r="K29" s="61" t="s">
        <v>22</v>
      </c>
      <c r="L29" s="62" t="s">
        <v>22</v>
      </c>
      <c r="M29" s="60" t="s">
        <v>22</v>
      </c>
      <c r="N29" s="61" t="s">
        <v>22</v>
      </c>
      <c r="O29" s="61" t="s">
        <v>22</v>
      </c>
      <c r="P29" s="61" t="s">
        <v>22</v>
      </c>
      <c r="Q29" s="61" t="s">
        <v>22</v>
      </c>
      <c r="R29" s="62" t="s">
        <v>22</v>
      </c>
      <c r="S29" s="60" t="s">
        <v>22</v>
      </c>
      <c r="T29" s="61" t="s">
        <v>22</v>
      </c>
      <c r="U29" s="61" t="s">
        <v>22</v>
      </c>
      <c r="V29" s="62" t="s">
        <v>22</v>
      </c>
      <c r="W29" s="60" t="s">
        <v>22</v>
      </c>
      <c r="X29" s="61" t="s">
        <v>22</v>
      </c>
      <c r="Y29" s="61" t="s">
        <v>22</v>
      </c>
      <c r="Z29" s="61" t="s">
        <v>22</v>
      </c>
      <c r="AA29" s="61" t="s">
        <v>22</v>
      </c>
      <c r="AB29" s="62" t="s">
        <v>22</v>
      </c>
      <c r="AC29" s="60" t="s">
        <v>22</v>
      </c>
      <c r="AD29" s="61" t="s">
        <v>22</v>
      </c>
      <c r="AE29" s="61" t="s">
        <v>22</v>
      </c>
      <c r="AF29" s="62" t="s">
        <v>22</v>
      </c>
      <c r="AG29" s="60" t="s">
        <v>22</v>
      </c>
      <c r="AH29" s="61" t="s">
        <v>22</v>
      </c>
      <c r="AI29" s="61" t="s">
        <v>22</v>
      </c>
      <c r="AJ29" s="61" t="s">
        <v>22</v>
      </c>
      <c r="AK29" s="61" t="s">
        <v>22</v>
      </c>
      <c r="AL29" s="62" t="s">
        <v>22</v>
      </c>
    </row>
    <row r="30" spans="1:38" ht="18.75" customHeight="1">
      <c r="A30" s="18">
        <v>27</v>
      </c>
      <c r="B30" s="12" t="s">
        <v>272</v>
      </c>
      <c r="C30" s="98">
        <v>803.5</v>
      </c>
      <c r="D30" s="102">
        <v>851.3</v>
      </c>
      <c r="E30" s="102">
        <v>897.2</v>
      </c>
      <c r="F30" s="102">
        <v>1071.5999999999999</v>
      </c>
      <c r="G30" s="102">
        <v>1072.4000000000001</v>
      </c>
      <c r="H30" s="97">
        <v>1074.0999999999999</v>
      </c>
      <c r="I30" s="98">
        <v>1186.4000000000001</v>
      </c>
      <c r="J30" s="102">
        <v>1189.5999999999999</v>
      </c>
      <c r="K30" s="102">
        <v>1293.5</v>
      </c>
      <c r="L30" s="97">
        <v>1397.9</v>
      </c>
      <c r="M30" s="98">
        <v>1803.3</v>
      </c>
      <c r="N30" s="102">
        <v>1915.4</v>
      </c>
      <c r="O30" s="102">
        <v>2076.4</v>
      </c>
      <c r="P30" s="102">
        <v>2205.6</v>
      </c>
      <c r="Q30" s="102">
        <v>2432.4</v>
      </c>
      <c r="R30" s="16">
        <v>2438</v>
      </c>
      <c r="S30" s="98">
        <v>2774.3</v>
      </c>
      <c r="T30" s="102">
        <v>3016.1</v>
      </c>
      <c r="U30" s="102">
        <v>3109.8</v>
      </c>
      <c r="V30" s="97">
        <v>3112.3</v>
      </c>
      <c r="W30" s="98">
        <v>3661.3</v>
      </c>
      <c r="X30" s="102">
        <v>3666.4</v>
      </c>
      <c r="Y30" s="102">
        <v>3673.7</v>
      </c>
      <c r="Z30" s="102">
        <v>4315.3</v>
      </c>
      <c r="AA30" s="102">
        <v>4315.3</v>
      </c>
      <c r="AB30" s="97">
        <v>4315.3</v>
      </c>
      <c r="AC30" s="98">
        <v>5020.6000000000004</v>
      </c>
      <c r="AD30" s="102">
        <v>5031.7</v>
      </c>
      <c r="AE30" s="102">
        <v>5035.3</v>
      </c>
      <c r="AF30" s="16">
        <v>5293</v>
      </c>
      <c r="AG30" s="13">
        <v>6253</v>
      </c>
      <c r="AH30" s="102">
        <v>6611.2</v>
      </c>
      <c r="AI30" s="102">
        <v>7331.7</v>
      </c>
      <c r="AJ30" s="102">
        <v>8404.2999999999993</v>
      </c>
      <c r="AK30" s="102">
        <v>8408.7000000000007</v>
      </c>
      <c r="AL30" s="97">
        <v>8541.1</v>
      </c>
    </row>
    <row r="31" spans="1:38" ht="18.75" customHeight="1">
      <c r="A31" s="63">
        <v>28</v>
      </c>
      <c r="B31" s="64" t="s">
        <v>273</v>
      </c>
      <c r="C31" s="65">
        <v>764</v>
      </c>
      <c r="D31" s="100">
        <v>862.6</v>
      </c>
      <c r="E31" s="100">
        <v>895.7</v>
      </c>
      <c r="F31" s="100">
        <v>1021.1</v>
      </c>
      <c r="G31" s="100">
        <v>1022.6</v>
      </c>
      <c r="H31" s="94">
        <v>1026.3</v>
      </c>
      <c r="I31" s="93">
        <v>1137.9000000000001</v>
      </c>
      <c r="J31" s="100">
        <v>1144.0999999999999</v>
      </c>
      <c r="K31" s="100">
        <v>1240.9000000000001</v>
      </c>
      <c r="L31" s="94">
        <v>1338.1</v>
      </c>
      <c r="M31" s="93">
        <v>1702.6</v>
      </c>
      <c r="N31" s="100">
        <v>1806.3</v>
      </c>
      <c r="O31" s="100">
        <v>1954.6</v>
      </c>
      <c r="P31" s="63">
        <v>2059</v>
      </c>
      <c r="Q31" s="100">
        <v>2318.9</v>
      </c>
      <c r="R31" s="66">
        <v>2330</v>
      </c>
      <c r="S31" s="65">
        <v>2818</v>
      </c>
      <c r="T31" s="100">
        <v>2837.3</v>
      </c>
      <c r="U31" s="100">
        <v>2986.7</v>
      </c>
      <c r="V31" s="94">
        <v>2992.7</v>
      </c>
      <c r="W31" s="93">
        <v>3536.7</v>
      </c>
      <c r="X31" s="100">
        <v>3547.2</v>
      </c>
      <c r="Y31" s="100">
        <v>3860.9</v>
      </c>
      <c r="Z31" s="100">
        <v>4474.8</v>
      </c>
      <c r="AA31" s="100">
        <v>4474.8999999999996</v>
      </c>
      <c r="AB31" s="94">
        <v>4474.8999999999996</v>
      </c>
      <c r="AC31" s="65">
        <v>5379</v>
      </c>
      <c r="AD31" s="100">
        <v>5602.2</v>
      </c>
      <c r="AE31" s="100">
        <v>5616.7</v>
      </c>
      <c r="AF31" s="66">
        <v>5634</v>
      </c>
      <c r="AG31" s="93">
        <v>6273.2</v>
      </c>
      <c r="AH31" s="100">
        <v>6859.4</v>
      </c>
      <c r="AI31" s="100">
        <v>7572.7</v>
      </c>
      <c r="AJ31" s="100">
        <v>8534.9</v>
      </c>
      <c r="AK31" s="100">
        <v>8544.4</v>
      </c>
      <c r="AL31" s="94">
        <v>9507.4</v>
      </c>
    </row>
    <row r="32" spans="1:38" ht="18.75" customHeight="1">
      <c r="A32" s="18">
        <v>29</v>
      </c>
      <c r="B32" s="12" t="s">
        <v>274</v>
      </c>
      <c r="C32" s="13">
        <v>889</v>
      </c>
      <c r="D32" s="102">
        <v>959.7</v>
      </c>
      <c r="E32" s="18">
        <v>1083</v>
      </c>
      <c r="F32" s="102">
        <v>1084.3</v>
      </c>
      <c r="G32" s="102">
        <v>1038.8</v>
      </c>
      <c r="H32" s="16">
        <v>1099</v>
      </c>
      <c r="I32" s="98">
        <v>1318.8</v>
      </c>
      <c r="J32" s="102">
        <v>1332.7</v>
      </c>
      <c r="K32" s="102">
        <v>1378.9</v>
      </c>
      <c r="L32" s="97">
        <v>1406.9</v>
      </c>
      <c r="M32" s="98">
        <v>1640.9</v>
      </c>
      <c r="N32" s="102">
        <v>1862.3</v>
      </c>
      <c r="O32" s="102">
        <v>1949.8</v>
      </c>
      <c r="P32" s="102">
        <v>2085.3000000000002</v>
      </c>
      <c r="Q32" s="102">
        <v>2212.5</v>
      </c>
      <c r="R32" s="97">
        <v>2286.1999999999998</v>
      </c>
      <c r="S32" s="98">
        <v>2855.8</v>
      </c>
      <c r="T32" s="102">
        <v>3057.6</v>
      </c>
      <c r="U32" s="102">
        <v>3101.4</v>
      </c>
      <c r="V32" s="97">
        <v>3187.2</v>
      </c>
      <c r="W32" s="98">
        <v>3842.5</v>
      </c>
      <c r="X32" s="102">
        <v>3901.5</v>
      </c>
      <c r="Y32" s="102">
        <v>4038.6</v>
      </c>
      <c r="Z32" s="102">
        <v>4797.8999999999996</v>
      </c>
      <c r="AA32" s="102">
        <v>4798.3</v>
      </c>
      <c r="AB32" s="97">
        <v>4799.1000000000004</v>
      </c>
      <c r="AC32" s="98">
        <v>5371.7</v>
      </c>
      <c r="AD32" s="102">
        <v>5701.9</v>
      </c>
      <c r="AE32" s="102">
        <v>6106.9</v>
      </c>
      <c r="AF32" s="97">
        <v>6243.4</v>
      </c>
      <c r="AG32" s="98">
        <v>7058.8</v>
      </c>
      <c r="AH32" s="18">
        <v>7154</v>
      </c>
      <c r="AI32" s="102">
        <v>7870.8</v>
      </c>
      <c r="AJ32" s="102">
        <v>8356.2000000000007</v>
      </c>
      <c r="AK32" s="102">
        <v>9017.5</v>
      </c>
      <c r="AL32" s="97">
        <v>9037.5</v>
      </c>
    </row>
    <row r="33" spans="1:38" ht="18.75" customHeight="1">
      <c r="A33" s="63">
        <v>30</v>
      </c>
      <c r="B33" s="64" t="s">
        <v>275</v>
      </c>
      <c r="C33" s="93">
        <v>1301.9000000000001</v>
      </c>
      <c r="D33" s="100">
        <v>1695.1</v>
      </c>
      <c r="E33" s="100">
        <v>1696.7</v>
      </c>
      <c r="F33" s="100">
        <v>1897.9</v>
      </c>
      <c r="G33" s="100">
        <v>1864.1</v>
      </c>
      <c r="H33" s="94">
        <v>1953.7</v>
      </c>
      <c r="I33" s="93">
        <v>2214.1999999999998</v>
      </c>
      <c r="J33" s="100">
        <v>2294.6</v>
      </c>
      <c r="K33" s="100">
        <v>2234.9</v>
      </c>
      <c r="L33" s="94">
        <v>2396.8000000000002</v>
      </c>
      <c r="M33" s="93">
        <v>2724.3</v>
      </c>
      <c r="N33" s="100">
        <v>3407.3</v>
      </c>
      <c r="O33" s="100">
        <v>3759.1</v>
      </c>
      <c r="P33" s="100">
        <v>5150.8999999999996</v>
      </c>
      <c r="Q33" s="63">
        <v>4673</v>
      </c>
      <c r="R33" s="94">
        <v>4925.8</v>
      </c>
      <c r="S33" s="93">
        <v>4984.3999999999996</v>
      </c>
      <c r="T33" s="100">
        <v>5316.7</v>
      </c>
      <c r="U33" s="63">
        <v>5443</v>
      </c>
      <c r="V33" s="66">
        <v>5473</v>
      </c>
      <c r="W33" s="93">
        <v>6406.3</v>
      </c>
      <c r="X33" s="100">
        <v>6415.1</v>
      </c>
      <c r="Y33" s="100">
        <v>6979.7</v>
      </c>
      <c r="Z33" s="100">
        <v>8039.6</v>
      </c>
      <c r="AA33" s="100">
        <v>8039.7</v>
      </c>
      <c r="AB33" s="94">
        <v>8039.8</v>
      </c>
      <c r="AC33" s="93">
        <v>8897.5</v>
      </c>
      <c r="AD33" s="100">
        <v>8917.7000000000007</v>
      </c>
      <c r="AE33" s="100">
        <v>9369.4</v>
      </c>
      <c r="AF33" s="94">
        <v>9871.2000000000007</v>
      </c>
      <c r="AG33" s="93">
        <v>11818.3</v>
      </c>
      <c r="AH33" s="100">
        <v>11848.5</v>
      </c>
      <c r="AI33" s="100">
        <v>11923.3</v>
      </c>
      <c r="AJ33" s="100">
        <v>14752.6</v>
      </c>
      <c r="AK33" s="100">
        <v>14760.8</v>
      </c>
      <c r="AL33" s="94">
        <v>14768.4</v>
      </c>
    </row>
    <row r="34" spans="1:38" ht="18.75" customHeight="1">
      <c r="A34" s="18">
        <v>31</v>
      </c>
      <c r="B34" s="12" t="s">
        <v>276</v>
      </c>
      <c r="C34" s="98">
        <v>535.9</v>
      </c>
      <c r="D34" s="102">
        <v>539.20000000000005</v>
      </c>
      <c r="E34" s="102">
        <v>575.5</v>
      </c>
      <c r="F34" s="102">
        <v>592.1</v>
      </c>
      <c r="G34" s="102">
        <v>595.4</v>
      </c>
      <c r="H34" s="97">
        <v>597.6</v>
      </c>
      <c r="I34" s="98">
        <v>688.5</v>
      </c>
      <c r="J34" s="102">
        <v>693.3</v>
      </c>
      <c r="K34" s="102">
        <v>652.79999999999995</v>
      </c>
      <c r="L34" s="97">
        <v>655.4</v>
      </c>
      <c r="M34" s="98">
        <v>713.5</v>
      </c>
      <c r="N34" s="102">
        <v>856.6</v>
      </c>
      <c r="O34" s="102">
        <v>997.6</v>
      </c>
      <c r="P34" s="102">
        <v>1097.4000000000001</v>
      </c>
      <c r="Q34" s="102">
        <v>1108.5999999999999</v>
      </c>
      <c r="R34" s="16">
        <v>1115</v>
      </c>
      <c r="S34" s="98">
        <v>1321.3</v>
      </c>
      <c r="T34" s="102">
        <v>1339.7</v>
      </c>
      <c r="U34" s="102">
        <v>1449.3</v>
      </c>
      <c r="V34" s="97">
        <v>1471.4</v>
      </c>
      <c r="W34" s="98">
        <v>1792.2</v>
      </c>
      <c r="X34" s="102">
        <v>1798.4</v>
      </c>
      <c r="Y34" s="102">
        <v>1965.7</v>
      </c>
      <c r="Z34" s="102">
        <v>2152.3000000000002</v>
      </c>
      <c r="AA34" s="102">
        <v>2152.4</v>
      </c>
      <c r="AB34" s="97">
        <v>2152.5</v>
      </c>
      <c r="AC34" s="98">
        <v>2588.3000000000002</v>
      </c>
      <c r="AD34" s="102">
        <v>2602.5</v>
      </c>
      <c r="AE34" s="18">
        <v>2626</v>
      </c>
      <c r="AF34" s="97">
        <v>2635.8</v>
      </c>
      <c r="AG34" s="98">
        <v>3172.4</v>
      </c>
      <c r="AH34" s="102">
        <v>3192.7</v>
      </c>
      <c r="AI34" s="102">
        <v>3633.9</v>
      </c>
      <c r="AJ34" s="102">
        <v>3657.1</v>
      </c>
      <c r="AK34" s="102">
        <v>3663.1</v>
      </c>
      <c r="AL34" s="97">
        <v>3669.2</v>
      </c>
    </row>
    <row r="35" spans="1:38" ht="18.75" customHeight="1">
      <c r="A35" s="19">
        <v>32</v>
      </c>
      <c r="B35" s="14" t="s">
        <v>277</v>
      </c>
      <c r="C35" s="95">
        <v>808.5</v>
      </c>
      <c r="D35" s="101">
        <v>839.6</v>
      </c>
      <c r="E35" s="101">
        <v>843.1</v>
      </c>
      <c r="F35" s="101">
        <v>845.9</v>
      </c>
      <c r="G35" s="101">
        <v>1068.2</v>
      </c>
      <c r="H35" s="96">
        <v>1107.2</v>
      </c>
      <c r="I35" s="95">
        <v>1275.0999999999999</v>
      </c>
      <c r="J35" s="101">
        <v>1318.3</v>
      </c>
      <c r="K35" s="101">
        <v>1408.5</v>
      </c>
      <c r="L35" s="17">
        <v>1417</v>
      </c>
      <c r="M35" s="95">
        <v>1677.6</v>
      </c>
      <c r="N35" s="19">
        <v>1792</v>
      </c>
      <c r="O35" s="101">
        <v>1956.2</v>
      </c>
      <c r="P35" s="101">
        <v>2349.9</v>
      </c>
      <c r="Q35" s="101">
        <v>2326.1999999999998</v>
      </c>
      <c r="R35" s="96">
        <v>2472.8000000000002</v>
      </c>
      <c r="S35" s="95">
        <v>2849.7</v>
      </c>
      <c r="T35" s="101">
        <v>3032.9</v>
      </c>
      <c r="U35" s="101">
        <v>3180.9</v>
      </c>
      <c r="V35" s="17">
        <v>3263</v>
      </c>
      <c r="W35" s="95">
        <v>4090.6</v>
      </c>
      <c r="X35" s="19">
        <v>4415</v>
      </c>
      <c r="Y35" s="101">
        <v>4805.6000000000004</v>
      </c>
      <c r="Z35" s="101">
        <v>5834.3</v>
      </c>
      <c r="AA35" s="101">
        <v>5834.5</v>
      </c>
      <c r="AB35" s="96">
        <v>5834.7</v>
      </c>
      <c r="AC35" s="95">
        <v>6673.4</v>
      </c>
      <c r="AD35" s="101">
        <v>6724.6</v>
      </c>
      <c r="AE35" s="101">
        <v>6880.9</v>
      </c>
      <c r="AF35" s="96">
        <v>7061.4</v>
      </c>
      <c r="AG35" s="95">
        <v>7399.1</v>
      </c>
      <c r="AH35" s="101">
        <v>7476.8</v>
      </c>
      <c r="AI35" s="101">
        <v>8388.4</v>
      </c>
      <c r="AJ35" s="101">
        <v>8523.1</v>
      </c>
      <c r="AK35" s="19">
        <v>9229</v>
      </c>
      <c r="AL35" s="96">
        <v>9662.7999999999993</v>
      </c>
    </row>
    <row r="36" spans="1:38" ht="18.75" customHeight="1">
      <c r="A36" s="63">
        <v>33</v>
      </c>
      <c r="B36" s="64" t="s">
        <v>278</v>
      </c>
      <c r="C36" s="93">
        <v>1215.5</v>
      </c>
      <c r="D36" s="63">
        <v>1373</v>
      </c>
      <c r="E36" s="100">
        <v>1571.6</v>
      </c>
      <c r="F36" s="100">
        <v>1633.7</v>
      </c>
      <c r="G36" s="100">
        <v>1882.5</v>
      </c>
      <c r="H36" s="94">
        <v>1924.9</v>
      </c>
      <c r="I36" s="93">
        <v>2344.8000000000002</v>
      </c>
      <c r="J36" s="100">
        <v>2168.1999999999998</v>
      </c>
      <c r="K36" s="100">
        <v>2182.6</v>
      </c>
      <c r="L36" s="94">
        <v>2667.9</v>
      </c>
      <c r="M36" s="93">
        <v>3081.2</v>
      </c>
      <c r="N36" s="100">
        <v>3879.3</v>
      </c>
      <c r="O36" s="100">
        <v>4273.3999999999996</v>
      </c>
      <c r="P36" s="100">
        <v>4318.8999999999996</v>
      </c>
      <c r="Q36" s="100">
        <v>5591.8</v>
      </c>
      <c r="R36" s="94">
        <v>6005.9</v>
      </c>
      <c r="S36" s="93">
        <v>7020.1</v>
      </c>
      <c r="T36" s="100">
        <v>7433.1</v>
      </c>
      <c r="U36" s="100">
        <v>7667.1</v>
      </c>
      <c r="V36" s="94">
        <v>7585.9</v>
      </c>
      <c r="W36" s="93">
        <v>8467.7999999999993</v>
      </c>
      <c r="X36" s="100">
        <v>8152.2</v>
      </c>
      <c r="Y36" s="63">
        <v>9062</v>
      </c>
      <c r="Z36" s="63">
        <v>11156</v>
      </c>
      <c r="AA36" s="100">
        <v>11399.8</v>
      </c>
      <c r="AB36" s="94">
        <v>11730.5</v>
      </c>
      <c r="AC36" s="93">
        <v>11946.5</v>
      </c>
      <c r="AD36" s="100">
        <v>11902.7</v>
      </c>
      <c r="AE36" s="100">
        <v>12091.9</v>
      </c>
      <c r="AF36" s="94">
        <v>12616.6</v>
      </c>
      <c r="AG36" s="93">
        <v>14782.4</v>
      </c>
      <c r="AH36" s="100">
        <v>14335.4</v>
      </c>
      <c r="AI36" s="100">
        <v>14657.5</v>
      </c>
      <c r="AJ36" s="100">
        <v>15638.2</v>
      </c>
      <c r="AK36" s="100">
        <v>16842.7</v>
      </c>
      <c r="AL36" s="94">
        <v>17395.7</v>
      </c>
    </row>
    <row r="37" spans="1:38" ht="18.75" customHeight="1">
      <c r="A37" s="19">
        <v>34</v>
      </c>
      <c r="B37" s="14" t="s">
        <v>279</v>
      </c>
      <c r="C37" s="95">
        <v>708.2</v>
      </c>
      <c r="D37" s="101">
        <v>786.7</v>
      </c>
      <c r="E37" s="101">
        <v>863.1</v>
      </c>
      <c r="F37" s="101">
        <v>882.7</v>
      </c>
      <c r="G37" s="101">
        <v>892.7</v>
      </c>
      <c r="H37" s="96">
        <v>907.7</v>
      </c>
      <c r="I37" s="95">
        <v>1067.5</v>
      </c>
      <c r="J37" s="101">
        <v>974.7</v>
      </c>
      <c r="K37" s="101">
        <v>1000.3</v>
      </c>
      <c r="L37" s="96">
        <v>1149.5999999999999</v>
      </c>
      <c r="M37" s="95">
        <v>1318.2</v>
      </c>
      <c r="N37" s="101">
        <v>1688.8</v>
      </c>
      <c r="O37" s="101">
        <v>1834.6</v>
      </c>
      <c r="P37" s="101">
        <v>1917.9</v>
      </c>
      <c r="Q37" s="101">
        <v>1990.9</v>
      </c>
      <c r="R37" s="17">
        <v>2090</v>
      </c>
      <c r="S37" s="95">
        <v>2501.9</v>
      </c>
      <c r="T37" s="101">
        <v>2644.9</v>
      </c>
      <c r="U37" s="101">
        <v>2760.4</v>
      </c>
      <c r="V37" s="96">
        <v>2774.8</v>
      </c>
      <c r="W37" s="95">
        <v>3420.6</v>
      </c>
      <c r="X37" s="101">
        <v>3546.3</v>
      </c>
      <c r="Y37" s="101">
        <v>3450.9</v>
      </c>
      <c r="Z37" s="101">
        <v>4006.4</v>
      </c>
      <c r="AA37" s="101">
        <v>4028.9</v>
      </c>
      <c r="AB37" s="96">
        <v>4053.8</v>
      </c>
      <c r="AC37" s="15">
        <v>4447</v>
      </c>
      <c r="AD37" s="101">
        <v>4533.1000000000004</v>
      </c>
      <c r="AE37" s="101">
        <v>5041.8999999999996</v>
      </c>
      <c r="AF37" s="96">
        <v>5180.6000000000004</v>
      </c>
      <c r="AG37" s="95">
        <v>6274.5</v>
      </c>
      <c r="AH37" s="101">
        <v>6544.5</v>
      </c>
      <c r="AI37" s="101">
        <v>6608.1</v>
      </c>
      <c r="AJ37" s="101">
        <v>6875.1</v>
      </c>
      <c r="AK37" s="101">
        <v>7007.1</v>
      </c>
      <c r="AL37" s="96">
        <v>7178.2</v>
      </c>
    </row>
    <row r="38" spans="1:38" ht="18.75" customHeight="1">
      <c r="A38" s="18">
        <v>35</v>
      </c>
      <c r="B38" s="12" t="s">
        <v>280</v>
      </c>
      <c r="C38" s="98">
        <v>1029.0999999999999</v>
      </c>
      <c r="D38" s="102">
        <v>1075.7</v>
      </c>
      <c r="E38" s="102">
        <v>1085.5</v>
      </c>
      <c r="F38" s="18">
        <v>1095</v>
      </c>
      <c r="G38" s="102">
        <v>1112.3</v>
      </c>
      <c r="H38" s="16">
        <v>1141</v>
      </c>
      <c r="I38" s="98">
        <v>1390.2</v>
      </c>
      <c r="J38" s="102">
        <v>1452.4</v>
      </c>
      <c r="K38" s="102">
        <v>1479.2</v>
      </c>
      <c r="L38" s="16">
        <v>1514</v>
      </c>
      <c r="M38" s="98">
        <v>1848.6</v>
      </c>
      <c r="N38" s="102">
        <v>2019.7</v>
      </c>
      <c r="O38" s="102">
        <v>2033.3</v>
      </c>
      <c r="P38" s="102">
        <v>2063.6</v>
      </c>
      <c r="Q38" s="102">
        <v>2266.5</v>
      </c>
      <c r="R38" s="16">
        <v>2380</v>
      </c>
      <c r="S38" s="98">
        <v>3124.9</v>
      </c>
      <c r="T38" s="102">
        <v>3272.5</v>
      </c>
      <c r="U38" s="102">
        <v>3279.6</v>
      </c>
      <c r="V38" s="97">
        <v>3296.3</v>
      </c>
      <c r="W38" s="98">
        <v>4285.2</v>
      </c>
      <c r="X38" s="102">
        <v>4367.6000000000004</v>
      </c>
      <c r="Y38" s="102">
        <v>4641.2</v>
      </c>
      <c r="Z38" s="102">
        <v>4812.6000000000004</v>
      </c>
      <c r="AA38" s="102">
        <v>4812.6000000000004</v>
      </c>
      <c r="AB38" s="97">
        <v>4812.6000000000004</v>
      </c>
      <c r="AC38" s="98">
        <v>5948.4</v>
      </c>
      <c r="AD38" s="102">
        <v>6150.5</v>
      </c>
      <c r="AE38" s="102">
        <v>6309.3</v>
      </c>
      <c r="AF38" s="97">
        <v>6472.9</v>
      </c>
      <c r="AG38" s="98">
        <v>8058.8</v>
      </c>
      <c r="AH38" s="102">
        <v>8375.9</v>
      </c>
      <c r="AI38" s="102">
        <v>8388.9</v>
      </c>
      <c r="AJ38" s="102">
        <v>8738.4</v>
      </c>
      <c r="AK38" s="102">
        <v>8816.1</v>
      </c>
      <c r="AL38" s="97">
        <v>8893.7999999999993</v>
      </c>
    </row>
    <row r="39" spans="1:38" ht="18.75" customHeight="1">
      <c r="A39" s="14" t="s">
        <v>281</v>
      </c>
      <c r="B39" s="61"/>
      <c r="C39" s="95">
        <v>942.2</v>
      </c>
      <c r="D39" s="101">
        <v>1059.8</v>
      </c>
      <c r="E39" s="101">
        <v>1190.5999999999999</v>
      </c>
      <c r="F39" s="101">
        <v>1300.8</v>
      </c>
      <c r="G39" s="101">
        <v>1372.3</v>
      </c>
      <c r="H39" s="96">
        <v>1389.8</v>
      </c>
      <c r="I39" s="95">
        <v>1599.7</v>
      </c>
      <c r="J39" s="101">
        <v>1567.1</v>
      </c>
      <c r="K39" s="101">
        <v>1648.3</v>
      </c>
      <c r="L39" s="96">
        <v>1780.5</v>
      </c>
      <c r="M39" s="95">
        <v>2127.3000000000002</v>
      </c>
      <c r="N39" s="101">
        <v>2500.6</v>
      </c>
      <c r="O39" s="101">
        <v>2714.8</v>
      </c>
      <c r="P39" s="101">
        <v>2909.3</v>
      </c>
      <c r="Q39" s="101">
        <v>3242.9</v>
      </c>
      <c r="R39" s="96">
        <v>3337.5</v>
      </c>
      <c r="S39" s="95">
        <v>3870.8</v>
      </c>
      <c r="T39" s="101">
        <v>4102.3999999999996</v>
      </c>
      <c r="U39" s="101">
        <v>4195.8</v>
      </c>
      <c r="V39" s="96">
        <v>4260.3</v>
      </c>
      <c r="W39" s="95">
        <v>4937.3</v>
      </c>
      <c r="X39" s="101">
        <v>4966.2</v>
      </c>
      <c r="Y39" s="101">
        <v>5272.9</v>
      </c>
      <c r="Z39" s="101">
        <v>5963.6</v>
      </c>
      <c r="AA39" s="101">
        <v>6095.9</v>
      </c>
      <c r="AB39" s="96">
        <v>6386.4</v>
      </c>
      <c r="AC39" s="95">
        <v>6957.5</v>
      </c>
      <c r="AD39" s="101">
        <v>6990.6</v>
      </c>
      <c r="AE39" s="101">
        <v>7359.3</v>
      </c>
      <c r="AF39" s="96">
        <v>7585.5</v>
      </c>
      <c r="AG39" s="95">
        <v>8523.1</v>
      </c>
      <c r="AH39" s="101">
        <v>8636.1</v>
      </c>
      <c r="AI39" s="101">
        <v>9351.9</v>
      </c>
      <c r="AJ39" s="101">
        <v>10073.4</v>
      </c>
      <c r="AK39" s="101">
        <v>10309.5</v>
      </c>
      <c r="AL39" s="96">
        <v>10544.5</v>
      </c>
    </row>
  </sheetData>
  <mergeCells count="7">
    <mergeCell ref="M2:R2"/>
    <mergeCell ref="C2:H2"/>
    <mergeCell ref="AG2:AL2"/>
    <mergeCell ref="S2:V2"/>
    <mergeCell ref="I2:L2"/>
    <mergeCell ref="AC2:AF2"/>
    <mergeCell ref="W2:AB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3"/>
  <sheetViews>
    <sheetView showGridLines="0" rightToLeft="1" zoomScaleNormal="100" workbookViewId="0">
      <pane ySplit="3" topLeftCell="A4" activePane="bottomLeft" state="frozen"/>
      <selection pane="bottomLeft" activeCell="C1" sqref="C1:O1048576"/>
    </sheetView>
  </sheetViews>
  <sheetFormatPr defaultColWidth="8.625" defaultRowHeight="14.25" customHeight="1"/>
  <cols>
    <col min="1" max="1" width="10.375" bestFit="1" customWidth="1"/>
    <col min="2" max="2" width="16" bestFit="1" customWidth="1"/>
    <col min="3" max="31" width="5.625" bestFit="1" customWidth="1"/>
    <col min="32" max="38" width="6.5" bestFit="1" customWidth="1"/>
  </cols>
  <sheetData>
    <row r="1" spans="1:38" ht="6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</row>
    <row r="2" spans="1:38" ht="27.75" customHeight="1">
      <c r="A2" s="10" t="s">
        <v>72</v>
      </c>
      <c r="B2" s="10" t="s">
        <v>228</v>
      </c>
      <c r="C2" s="141">
        <v>1397</v>
      </c>
      <c r="D2" s="139"/>
      <c r="E2" s="139"/>
      <c r="F2" s="139"/>
      <c r="G2" s="139"/>
      <c r="H2" s="140"/>
      <c r="I2" s="141">
        <v>1398</v>
      </c>
      <c r="J2" s="139"/>
      <c r="K2" s="139"/>
      <c r="L2" s="140"/>
      <c r="M2" s="141">
        <v>1399</v>
      </c>
      <c r="N2" s="139"/>
      <c r="O2" s="139"/>
      <c r="P2" s="139"/>
      <c r="Q2" s="139"/>
      <c r="R2" s="140"/>
      <c r="S2" s="141">
        <v>1400</v>
      </c>
      <c r="T2" s="139"/>
      <c r="U2" s="139"/>
      <c r="V2" s="140"/>
      <c r="W2" s="141">
        <v>1401</v>
      </c>
      <c r="X2" s="139"/>
      <c r="Y2" s="139"/>
      <c r="Z2" s="139"/>
      <c r="AA2" s="139"/>
      <c r="AB2" s="140"/>
      <c r="AC2" s="141">
        <v>1402</v>
      </c>
      <c r="AD2" s="139"/>
      <c r="AE2" s="139"/>
      <c r="AF2" s="140"/>
      <c r="AG2" s="141">
        <v>1403</v>
      </c>
      <c r="AH2" s="139"/>
      <c r="AI2" s="139"/>
      <c r="AJ2" s="139"/>
      <c r="AK2" s="139"/>
      <c r="AL2" s="140"/>
    </row>
    <row r="3" spans="1:38" ht="24" customHeight="1">
      <c r="A3" s="11"/>
      <c r="B3" s="11"/>
      <c r="C3" s="54" t="s">
        <v>244</v>
      </c>
      <c r="D3" s="55" t="s">
        <v>230</v>
      </c>
      <c r="E3" s="55" t="s">
        <v>231</v>
      </c>
      <c r="F3" s="55" t="s">
        <v>232</v>
      </c>
      <c r="G3" s="55" t="s">
        <v>245</v>
      </c>
      <c r="H3" s="56" t="s">
        <v>246</v>
      </c>
      <c r="I3" s="54" t="s">
        <v>244</v>
      </c>
      <c r="J3" s="55" t="s">
        <v>247</v>
      </c>
      <c r="K3" s="55" t="s">
        <v>245</v>
      </c>
      <c r="L3" s="56" t="s">
        <v>246</v>
      </c>
      <c r="M3" s="54" t="s">
        <v>244</v>
      </c>
      <c r="N3" s="55" t="s">
        <v>230</v>
      </c>
      <c r="O3" s="55" t="s">
        <v>231</v>
      </c>
      <c r="P3" s="55" t="s">
        <v>232</v>
      </c>
      <c r="Q3" s="55" t="s">
        <v>245</v>
      </c>
      <c r="R3" s="56" t="s">
        <v>246</v>
      </c>
      <c r="S3" s="54" t="s">
        <v>244</v>
      </c>
      <c r="T3" s="55" t="s">
        <v>247</v>
      </c>
      <c r="U3" s="55" t="s">
        <v>245</v>
      </c>
      <c r="V3" s="56" t="s">
        <v>246</v>
      </c>
      <c r="W3" s="54" t="s">
        <v>244</v>
      </c>
      <c r="X3" s="55" t="s">
        <v>247</v>
      </c>
      <c r="Y3" s="55" t="s">
        <v>245</v>
      </c>
      <c r="Z3" s="55" t="s">
        <v>236</v>
      </c>
      <c r="AA3" s="55" t="s">
        <v>237</v>
      </c>
      <c r="AB3" s="56" t="s">
        <v>238</v>
      </c>
      <c r="AC3" s="54" t="s">
        <v>244</v>
      </c>
      <c r="AD3" s="55" t="s">
        <v>247</v>
      </c>
      <c r="AE3" s="55" t="s">
        <v>245</v>
      </c>
      <c r="AF3" s="56" t="s">
        <v>246</v>
      </c>
      <c r="AG3" s="54" t="s">
        <v>244</v>
      </c>
      <c r="AH3" s="55" t="s">
        <v>247</v>
      </c>
      <c r="AI3" s="55" t="s">
        <v>245</v>
      </c>
      <c r="AJ3" s="55" t="s">
        <v>236</v>
      </c>
      <c r="AK3" s="55" t="s">
        <v>237</v>
      </c>
      <c r="AL3" s="56" t="s">
        <v>238</v>
      </c>
    </row>
    <row r="4" spans="1:38" ht="18.75" customHeight="1">
      <c r="A4" s="18">
        <v>1</v>
      </c>
      <c r="B4" s="12" t="s">
        <v>282</v>
      </c>
      <c r="C4" s="98">
        <v>1120.3</v>
      </c>
      <c r="D4" s="102">
        <v>1157.5</v>
      </c>
      <c r="E4" s="102">
        <v>1159.5</v>
      </c>
      <c r="F4" s="102">
        <v>1161.4000000000001</v>
      </c>
      <c r="G4" s="102">
        <v>1180.8</v>
      </c>
      <c r="H4" s="97">
        <v>1211.8</v>
      </c>
      <c r="I4" s="98">
        <v>1508.8</v>
      </c>
      <c r="J4" s="102">
        <v>1572.1</v>
      </c>
      <c r="K4" s="102">
        <v>1598.3</v>
      </c>
      <c r="L4" s="97">
        <v>1636.7</v>
      </c>
      <c r="M4" s="98">
        <v>2056.8000000000002</v>
      </c>
      <c r="N4" s="102">
        <v>2241.8000000000002</v>
      </c>
      <c r="O4" s="102">
        <v>2245.4</v>
      </c>
      <c r="P4" s="102">
        <v>2253.1</v>
      </c>
      <c r="Q4" s="102">
        <v>2467.9</v>
      </c>
      <c r="R4" s="97">
        <v>2584.3000000000002</v>
      </c>
      <c r="S4" s="98">
        <v>3432.3</v>
      </c>
      <c r="T4" s="102">
        <v>3543.6</v>
      </c>
      <c r="U4" s="102">
        <v>3545.1</v>
      </c>
      <c r="V4" s="97">
        <v>3550.5</v>
      </c>
      <c r="W4" s="98">
        <v>4466.6000000000004</v>
      </c>
      <c r="X4" s="102">
        <v>4527.3999999999996</v>
      </c>
      <c r="Y4" s="102">
        <v>5119.6000000000004</v>
      </c>
      <c r="Z4" s="102">
        <v>5270.3</v>
      </c>
      <c r="AA4" s="102">
        <v>5270.3</v>
      </c>
      <c r="AB4" s="97">
        <v>5270.3</v>
      </c>
      <c r="AC4" s="98">
        <v>6536.2</v>
      </c>
      <c r="AD4" s="102">
        <v>6726.6</v>
      </c>
      <c r="AE4" s="102">
        <v>6861.5</v>
      </c>
      <c r="AF4" s="97">
        <v>7012.8</v>
      </c>
      <c r="AG4" s="98">
        <v>8830.5</v>
      </c>
      <c r="AH4" s="102">
        <v>9131.9</v>
      </c>
      <c r="AI4" s="102">
        <v>9158.5</v>
      </c>
      <c r="AJ4" s="102">
        <v>9541.6</v>
      </c>
      <c r="AK4" s="102">
        <v>9620.7999999999993</v>
      </c>
      <c r="AL4" s="97">
        <v>9714.7999999999993</v>
      </c>
    </row>
    <row r="5" spans="1:38" ht="18.75" customHeight="1">
      <c r="A5" s="19">
        <v>2</v>
      </c>
      <c r="B5" s="14" t="s">
        <v>283</v>
      </c>
      <c r="C5" s="95">
        <v>986.4</v>
      </c>
      <c r="D5" s="101">
        <v>1031.4000000000001</v>
      </c>
      <c r="E5" s="19">
        <v>1044</v>
      </c>
      <c r="F5" s="101">
        <v>1051.5999999999999</v>
      </c>
      <c r="G5" s="101">
        <v>1075.5999999999999</v>
      </c>
      <c r="H5" s="96">
        <v>1105.4000000000001</v>
      </c>
      <c r="I5" s="15">
        <v>1355</v>
      </c>
      <c r="J5" s="101">
        <v>1416.8</v>
      </c>
      <c r="K5" s="101">
        <v>1457.5</v>
      </c>
      <c r="L5" s="96">
        <v>1498.7</v>
      </c>
      <c r="M5" s="95">
        <v>1852.2</v>
      </c>
      <c r="N5" s="101">
        <v>2948.6</v>
      </c>
      <c r="O5" s="101">
        <v>2083.1</v>
      </c>
      <c r="P5" s="101">
        <v>2132.1</v>
      </c>
      <c r="Q5" s="19">
        <v>2327</v>
      </c>
      <c r="R5" s="96">
        <v>2432.6</v>
      </c>
      <c r="S5" s="95">
        <v>3192.4</v>
      </c>
      <c r="T5" s="101">
        <v>3339.9</v>
      </c>
      <c r="U5" s="101">
        <v>3373.5</v>
      </c>
      <c r="V5" s="96">
        <v>3414.7</v>
      </c>
      <c r="W5" s="95">
        <v>4346.6000000000004</v>
      </c>
      <c r="X5" s="101">
        <v>4418.7</v>
      </c>
      <c r="Y5" s="101">
        <v>4791.3</v>
      </c>
      <c r="Z5" s="101">
        <v>5027.6000000000004</v>
      </c>
      <c r="AA5" s="101">
        <v>5029.3999999999996</v>
      </c>
      <c r="AB5" s="96">
        <v>5056.6000000000004</v>
      </c>
      <c r="AC5" s="95">
        <v>6198.3</v>
      </c>
      <c r="AD5" s="101">
        <v>6412.8</v>
      </c>
      <c r="AE5" s="19">
        <v>6620</v>
      </c>
      <c r="AF5" s="96">
        <v>6782.4</v>
      </c>
      <c r="AG5" s="95">
        <v>8399.2999999999993</v>
      </c>
      <c r="AH5" s="101">
        <v>8773.1</v>
      </c>
      <c r="AI5" s="101">
        <v>8803.4</v>
      </c>
      <c r="AJ5" s="19">
        <v>9167</v>
      </c>
      <c r="AK5" s="101">
        <v>9271.2000000000007</v>
      </c>
      <c r="AL5" s="96">
        <v>9379.2999999999993</v>
      </c>
    </row>
    <row r="6" spans="1:38" ht="18.75" customHeight="1">
      <c r="A6" s="18">
        <v>3</v>
      </c>
      <c r="B6" s="12" t="s">
        <v>284</v>
      </c>
      <c r="C6" s="98">
        <v>1104.0999999999999</v>
      </c>
      <c r="D6" s="102">
        <v>1252.9000000000001</v>
      </c>
      <c r="E6" s="102">
        <v>1324.3</v>
      </c>
      <c r="F6" s="102">
        <v>1393.6</v>
      </c>
      <c r="G6" s="102">
        <v>1397.4</v>
      </c>
      <c r="H6" s="97">
        <v>1415.7</v>
      </c>
      <c r="I6" s="98">
        <v>1628.7</v>
      </c>
      <c r="J6" s="102">
        <v>1724.8</v>
      </c>
      <c r="K6" s="102">
        <v>1840.5</v>
      </c>
      <c r="L6" s="97">
        <v>1953.4</v>
      </c>
      <c r="M6" s="13">
        <v>2337</v>
      </c>
      <c r="N6" s="102">
        <v>2742.4</v>
      </c>
      <c r="O6" s="102">
        <v>2864.9</v>
      </c>
      <c r="P6" s="102">
        <v>3121.6</v>
      </c>
      <c r="Q6" s="102">
        <v>3396.7</v>
      </c>
      <c r="R6" s="97">
        <v>3591.7</v>
      </c>
      <c r="S6" s="98">
        <v>4633.8999999999996</v>
      </c>
      <c r="T6" s="18">
        <v>5028</v>
      </c>
      <c r="U6" s="102">
        <v>5078.1000000000004</v>
      </c>
      <c r="V6" s="16">
        <v>5257</v>
      </c>
      <c r="W6" s="98">
        <v>6534.9</v>
      </c>
      <c r="X6" s="102">
        <v>6744.8</v>
      </c>
      <c r="Y6" s="102">
        <v>7198.1</v>
      </c>
      <c r="Z6" s="102">
        <v>7659.8</v>
      </c>
      <c r="AA6" s="102">
        <v>7659.8</v>
      </c>
      <c r="AB6" s="97">
        <v>7659.8</v>
      </c>
      <c r="AC6" s="13">
        <v>9101</v>
      </c>
      <c r="AD6" s="102">
        <v>9651.9</v>
      </c>
      <c r="AE6" s="102">
        <v>9759.6</v>
      </c>
      <c r="AF6" s="97">
        <v>10088.5</v>
      </c>
      <c r="AG6" s="13">
        <v>11832</v>
      </c>
      <c r="AH6" s="102">
        <v>12353.7</v>
      </c>
      <c r="AI6" s="102">
        <v>12596.1</v>
      </c>
      <c r="AJ6" s="102">
        <v>13670.1</v>
      </c>
      <c r="AK6" s="102">
        <v>13851.4</v>
      </c>
      <c r="AL6" s="97">
        <v>14083.1</v>
      </c>
    </row>
    <row r="7" spans="1:38" ht="18.75" customHeight="1">
      <c r="A7" s="63">
        <v>4</v>
      </c>
      <c r="B7" s="64" t="s">
        <v>285</v>
      </c>
      <c r="C7" s="93">
        <v>783.7</v>
      </c>
      <c r="D7" s="100">
        <v>831.7</v>
      </c>
      <c r="E7" s="63">
        <v>858</v>
      </c>
      <c r="F7" s="100">
        <v>866.7</v>
      </c>
      <c r="G7" s="100">
        <v>917.6</v>
      </c>
      <c r="H7" s="94">
        <v>945.4</v>
      </c>
      <c r="I7" s="65">
        <v>1098</v>
      </c>
      <c r="J7" s="100">
        <v>1177.7</v>
      </c>
      <c r="K7" s="100">
        <v>1268.7</v>
      </c>
      <c r="L7" s="94">
        <v>1312.9</v>
      </c>
      <c r="M7" s="93">
        <v>1632.9</v>
      </c>
      <c r="N7" s="100">
        <v>1844.4</v>
      </c>
      <c r="O7" s="100">
        <v>1907.1</v>
      </c>
      <c r="P7" s="100">
        <v>2019.2</v>
      </c>
      <c r="Q7" s="100">
        <v>2228.1</v>
      </c>
      <c r="R7" s="94">
        <v>2327.8000000000002</v>
      </c>
      <c r="S7" s="93">
        <v>2975.1</v>
      </c>
      <c r="T7" s="100">
        <v>3256.1</v>
      </c>
      <c r="U7" s="100">
        <v>3362.7</v>
      </c>
      <c r="V7" s="94">
        <v>3469.3</v>
      </c>
      <c r="W7" s="93">
        <v>4096.8</v>
      </c>
      <c r="X7" s="100">
        <v>4301.2</v>
      </c>
      <c r="Y7" s="100">
        <v>4798.2</v>
      </c>
      <c r="Z7" s="100">
        <v>5130.5</v>
      </c>
      <c r="AA7" s="100">
        <v>5139.8</v>
      </c>
      <c r="AB7" s="66">
        <v>5239</v>
      </c>
      <c r="AC7" s="93">
        <v>6128.2</v>
      </c>
      <c r="AD7" s="100">
        <v>6364.8</v>
      </c>
      <c r="AE7" s="100">
        <v>6865.6</v>
      </c>
      <c r="AF7" s="94">
        <v>6952.1</v>
      </c>
      <c r="AG7" s="93">
        <v>8325.2999999999993</v>
      </c>
      <c r="AH7" s="100">
        <v>8817.1</v>
      </c>
      <c r="AI7" s="100">
        <v>8980.5</v>
      </c>
      <c r="AJ7" s="100">
        <v>9238.7999999999993</v>
      </c>
      <c r="AK7" s="100">
        <v>9508.2999999999993</v>
      </c>
      <c r="AL7" s="94">
        <v>9656.7000000000007</v>
      </c>
    </row>
    <row r="8" spans="1:38" ht="18.75" customHeight="1">
      <c r="A8" s="18">
        <v>5</v>
      </c>
      <c r="B8" s="12" t="s">
        <v>286</v>
      </c>
      <c r="C8" s="98">
        <v>668.2</v>
      </c>
      <c r="D8" s="102">
        <v>746.8</v>
      </c>
      <c r="E8" s="18">
        <v>801</v>
      </c>
      <c r="F8" s="102">
        <v>841.3</v>
      </c>
      <c r="G8" s="102">
        <v>839.6</v>
      </c>
      <c r="H8" s="97">
        <v>849.2</v>
      </c>
      <c r="I8" s="98">
        <v>968.3</v>
      </c>
      <c r="J8" s="102">
        <v>988.2</v>
      </c>
      <c r="K8" s="102">
        <v>998.6</v>
      </c>
      <c r="L8" s="16">
        <v>1031</v>
      </c>
      <c r="M8" s="98">
        <v>1272.2</v>
      </c>
      <c r="N8" s="18">
        <v>1464</v>
      </c>
      <c r="O8" s="18">
        <v>1471</v>
      </c>
      <c r="P8" s="102">
        <v>1567.7</v>
      </c>
      <c r="Q8" s="18">
        <v>1700</v>
      </c>
      <c r="R8" s="97">
        <v>1818.4</v>
      </c>
      <c r="S8" s="98">
        <v>2304.6</v>
      </c>
      <c r="T8" s="102">
        <v>2581.1</v>
      </c>
      <c r="U8" s="102">
        <v>2772.5</v>
      </c>
      <c r="V8" s="97">
        <v>2804.2</v>
      </c>
      <c r="W8" s="98">
        <v>3465.2</v>
      </c>
      <c r="X8" s="102">
        <v>3567.8</v>
      </c>
      <c r="Y8" s="102">
        <v>3629.3</v>
      </c>
      <c r="Z8" s="102">
        <v>3939.8</v>
      </c>
      <c r="AA8" s="102">
        <v>3947.1</v>
      </c>
      <c r="AB8" s="97">
        <v>4058.5</v>
      </c>
      <c r="AC8" s="98">
        <v>4568.8</v>
      </c>
      <c r="AD8" s="102">
        <v>4663.5</v>
      </c>
      <c r="AE8" s="102">
        <v>4789.3999999999996</v>
      </c>
      <c r="AF8" s="97">
        <v>4852.2</v>
      </c>
      <c r="AG8" s="98">
        <v>5655.6</v>
      </c>
      <c r="AH8" s="102">
        <v>5893.3</v>
      </c>
      <c r="AI8" s="102">
        <v>6090.7</v>
      </c>
      <c r="AJ8" s="102">
        <v>6434.8</v>
      </c>
      <c r="AK8" s="102">
        <v>6633.8</v>
      </c>
      <c r="AL8" s="97">
        <v>6809.7</v>
      </c>
    </row>
    <row r="9" spans="1:38" ht="18.75" customHeight="1">
      <c r="A9" s="19">
        <v>6</v>
      </c>
      <c r="B9" s="14" t="s">
        <v>287</v>
      </c>
      <c r="C9" s="95">
        <v>865.2</v>
      </c>
      <c r="D9" s="101">
        <v>960.6</v>
      </c>
      <c r="E9" s="101">
        <v>970.5</v>
      </c>
      <c r="F9" s="101">
        <v>985.9</v>
      </c>
      <c r="G9" s="19">
        <v>1036</v>
      </c>
      <c r="H9" s="17">
        <v>1100</v>
      </c>
      <c r="I9" s="95">
        <v>1300.5</v>
      </c>
      <c r="J9" s="101">
        <v>1241.9000000000001</v>
      </c>
      <c r="K9" s="101">
        <v>1255.3</v>
      </c>
      <c r="L9" s="96">
        <v>1472.8</v>
      </c>
      <c r="M9" s="95">
        <v>1775.2</v>
      </c>
      <c r="N9" s="101">
        <v>2154.6999999999998</v>
      </c>
      <c r="O9" s="101">
        <v>2204.8000000000002</v>
      </c>
      <c r="P9" s="19">
        <v>2299</v>
      </c>
      <c r="Q9" s="101">
        <v>2715.8</v>
      </c>
      <c r="R9" s="96">
        <v>2842.6</v>
      </c>
      <c r="S9" s="95">
        <v>3210.6</v>
      </c>
      <c r="T9" s="101">
        <v>3560.6</v>
      </c>
      <c r="U9" s="101">
        <v>3524.1</v>
      </c>
      <c r="V9" s="96">
        <v>3426.5</v>
      </c>
      <c r="W9" s="95">
        <v>3910.3</v>
      </c>
      <c r="X9" s="101">
        <v>3693.9</v>
      </c>
      <c r="Y9" s="101">
        <v>4228.6000000000004</v>
      </c>
      <c r="Z9" s="19">
        <v>4523</v>
      </c>
      <c r="AA9" s="101">
        <v>4664.5</v>
      </c>
      <c r="AB9" s="96">
        <v>5200.3999999999996</v>
      </c>
      <c r="AC9" s="95">
        <v>5574.8</v>
      </c>
      <c r="AD9" s="101">
        <v>5413.6</v>
      </c>
      <c r="AE9" s="101">
        <v>5209.8</v>
      </c>
      <c r="AF9" s="96">
        <v>5578.1</v>
      </c>
      <c r="AG9" s="95">
        <v>6044.9</v>
      </c>
      <c r="AH9" s="101">
        <v>6090.1</v>
      </c>
      <c r="AI9" s="101">
        <v>6877.8</v>
      </c>
      <c r="AJ9" s="101">
        <v>7123.2</v>
      </c>
      <c r="AK9" s="101">
        <v>7184.6</v>
      </c>
      <c r="AL9" s="96">
        <v>7273.8</v>
      </c>
    </row>
    <row r="10" spans="1:38" ht="18.75" customHeight="1">
      <c r="A10" s="18">
        <v>7</v>
      </c>
      <c r="B10" s="12" t="s">
        <v>288</v>
      </c>
      <c r="C10" s="98">
        <v>886.3</v>
      </c>
      <c r="D10" s="102">
        <v>1039.3</v>
      </c>
      <c r="E10" s="102">
        <v>1317.2</v>
      </c>
      <c r="F10" s="102">
        <v>1366.6</v>
      </c>
      <c r="G10" s="102">
        <v>1267.2</v>
      </c>
      <c r="H10" s="97">
        <v>1246.5</v>
      </c>
      <c r="I10" s="98">
        <v>1470.6</v>
      </c>
      <c r="J10" s="102">
        <v>1295.5999999999999</v>
      </c>
      <c r="K10" s="102">
        <v>1349.6</v>
      </c>
      <c r="L10" s="97">
        <v>1702.4</v>
      </c>
      <c r="M10" s="98">
        <v>1921.6</v>
      </c>
      <c r="N10" s="102">
        <v>2928.5</v>
      </c>
      <c r="O10" s="102">
        <v>3160.6</v>
      </c>
      <c r="P10" s="102">
        <v>3346.4</v>
      </c>
      <c r="Q10" s="102">
        <v>3533.6</v>
      </c>
      <c r="R10" s="97">
        <v>3750.2</v>
      </c>
      <c r="S10" s="98">
        <v>4141.8</v>
      </c>
      <c r="T10" s="102">
        <v>4817.1000000000004</v>
      </c>
      <c r="U10" s="18">
        <v>4670</v>
      </c>
      <c r="V10" s="16">
        <v>4583</v>
      </c>
      <c r="W10" s="13">
        <v>5317</v>
      </c>
      <c r="X10" s="18">
        <v>4865</v>
      </c>
      <c r="Y10" s="18">
        <v>4876</v>
      </c>
      <c r="Z10" s="102">
        <v>5788.7</v>
      </c>
      <c r="AA10" s="102">
        <v>6480.6</v>
      </c>
      <c r="AB10" s="97">
        <v>7637.1</v>
      </c>
      <c r="AC10" s="98">
        <v>7689.3</v>
      </c>
      <c r="AD10" s="102">
        <v>7289.8</v>
      </c>
      <c r="AE10" s="102">
        <v>7008.5</v>
      </c>
      <c r="AF10" s="97">
        <v>7339.4</v>
      </c>
      <c r="AG10" s="98">
        <v>8204.4</v>
      </c>
      <c r="AH10" s="102">
        <v>8600.6</v>
      </c>
      <c r="AI10" s="102">
        <v>8879.4</v>
      </c>
      <c r="AJ10" s="18">
        <v>9325</v>
      </c>
      <c r="AK10" s="102">
        <v>9882.2999999999993</v>
      </c>
      <c r="AL10" s="97">
        <v>10794.8</v>
      </c>
    </row>
    <row r="11" spans="1:38" ht="18.75" customHeight="1">
      <c r="A11" s="19">
        <v>8</v>
      </c>
      <c r="B11" s="14" t="s">
        <v>289</v>
      </c>
      <c r="C11" s="95">
        <v>790.2</v>
      </c>
      <c r="D11" s="101">
        <v>825.4</v>
      </c>
      <c r="E11" s="101">
        <v>868.4</v>
      </c>
      <c r="F11" s="101">
        <v>874.6</v>
      </c>
      <c r="G11" s="101">
        <v>906.6</v>
      </c>
      <c r="H11" s="96">
        <v>925.8</v>
      </c>
      <c r="I11" s="95">
        <v>1055.5</v>
      </c>
      <c r="J11" s="101">
        <v>1189.5999999999999</v>
      </c>
      <c r="K11" s="101">
        <v>1247.8</v>
      </c>
      <c r="L11" s="96">
        <v>1281.7</v>
      </c>
      <c r="M11" s="95">
        <v>1500.5</v>
      </c>
      <c r="N11" s="101">
        <v>1707.2</v>
      </c>
      <c r="O11" s="101">
        <v>1751.4</v>
      </c>
      <c r="P11" s="101">
        <v>1840.6</v>
      </c>
      <c r="Q11" s="101">
        <v>2043.4</v>
      </c>
      <c r="R11" s="96">
        <v>2111.1</v>
      </c>
      <c r="S11" s="95">
        <v>2713.5</v>
      </c>
      <c r="T11" s="101">
        <v>3199.6</v>
      </c>
      <c r="U11" s="101">
        <v>3121.7</v>
      </c>
      <c r="V11" s="96">
        <v>3217.4</v>
      </c>
      <c r="W11" s="95">
        <v>3835.8</v>
      </c>
      <c r="X11" s="101">
        <v>4120.2</v>
      </c>
      <c r="Y11" s="101">
        <v>4353.6000000000004</v>
      </c>
      <c r="Z11" s="101">
        <v>4547.8</v>
      </c>
      <c r="AA11" s="101">
        <v>4569.8999999999996</v>
      </c>
      <c r="AB11" s="96">
        <v>4914.8999999999996</v>
      </c>
      <c r="AC11" s="95">
        <v>5709.3</v>
      </c>
      <c r="AD11" s="19">
        <v>6115</v>
      </c>
      <c r="AE11" s="101">
        <v>6441.6</v>
      </c>
      <c r="AF11" s="96">
        <v>6530.6</v>
      </c>
      <c r="AG11" s="95">
        <v>7718.9</v>
      </c>
      <c r="AH11" s="101">
        <v>8689.4</v>
      </c>
      <c r="AI11" s="101">
        <v>8781.5</v>
      </c>
      <c r="AJ11" s="101">
        <v>9147.7999999999993</v>
      </c>
      <c r="AK11" s="101">
        <v>9450.2000000000007</v>
      </c>
      <c r="AL11" s="96">
        <v>9787.4</v>
      </c>
    </row>
    <row r="12" spans="1:38" ht="18.75" customHeight="1">
      <c r="A12" s="18">
        <v>9</v>
      </c>
      <c r="B12" s="12" t="s">
        <v>290</v>
      </c>
      <c r="C12" s="98">
        <v>901.1</v>
      </c>
      <c r="D12" s="102">
        <v>1009.4</v>
      </c>
      <c r="E12" s="102">
        <v>1187.4000000000001</v>
      </c>
      <c r="F12" s="102">
        <v>1220.4000000000001</v>
      </c>
      <c r="G12" s="102">
        <v>1239.2</v>
      </c>
      <c r="H12" s="97">
        <v>1309.8</v>
      </c>
      <c r="I12" s="98">
        <v>1578.8</v>
      </c>
      <c r="J12" s="102">
        <v>1502.9</v>
      </c>
      <c r="K12" s="102">
        <v>1568.6</v>
      </c>
      <c r="L12" s="97">
        <v>1994.5</v>
      </c>
      <c r="M12" s="98">
        <v>2274.9</v>
      </c>
      <c r="N12" s="102">
        <v>3027.9</v>
      </c>
      <c r="O12" s="102">
        <v>3328.4</v>
      </c>
      <c r="P12" s="102">
        <v>3443.4</v>
      </c>
      <c r="Q12" s="102">
        <v>3812.4</v>
      </c>
      <c r="R12" s="97">
        <v>4157.5</v>
      </c>
      <c r="S12" s="98">
        <v>4941.6000000000004</v>
      </c>
      <c r="T12" s="102">
        <v>5521.4</v>
      </c>
      <c r="U12" s="18">
        <v>5466</v>
      </c>
      <c r="V12" s="97">
        <v>5272.7</v>
      </c>
      <c r="W12" s="98">
        <v>5873.6</v>
      </c>
      <c r="X12" s="18">
        <v>5567</v>
      </c>
      <c r="Y12" s="102">
        <v>5780.9</v>
      </c>
      <c r="Z12" s="102">
        <v>6830.6</v>
      </c>
      <c r="AA12" s="102">
        <v>7459.1</v>
      </c>
      <c r="AB12" s="97">
        <v>8307.6</v>
      </c>
      <c r="AC12" s="98">
        <v>8243.1</v>
      </c>
      <c r="AD12" s="102">
        <v>7906.6</v>
      </c>
      <c r="AE12" s="18">
        <v>7044</v>
      </c>
      <c r="AF12" s="97">
        <v>8776.9</v>
      </c>
      <c r="AG12" s="98">
        <v>9495.9</v>
      </c>
      <c r="AH12" s="102">
        <v>9370.1</v>
      </c>
      <c r="AI12" s="102">
        <v>9586.9</v>
      </c>
      <c r="AJ12" s="102">
        <v>10281.4</v>
      </c>
      <c r="AK12" s="102">
        <v>10873.3</v>
      </c>
      <c r="AL12" s="97">
        <v>11741.1</v>
      </c>
    </row>
    <row r="13" spans="1:38" ht="18.75" customHeight="1">
      <c r="A13" s="19">
        <v>10</v>
      </c>
      <c r="B13" s="14" t="s">
        <v>291</v>
      </c>
      <c r="C13" s="95">
        <v>743.3</v>
      </c>
      <c r="D13" s="101">
        <v>782.1</v>
      </c>
      <c r="E13" s="101">
        <v>813.6</v>
      </c>
      <c r="F13" s="101">
        <v>822.6</v>
      </c>
      <c r="G13" s="19">
        <v>845</v>
      </c>
      <c r="H13" s="96">
        <v>862.4</v>
      </c>
      <c r="I13" s="95">
        <v>999.7</v>
      </c>
      <c r="J13" s="101">
        <v>1096.8</v>
      </c>
      <c r="K13" s="101">
        <v>1140.4000000000001</v>
      </c>
      <c r="L13" s="96">
        <v>1174.2</v>
      </c>
      <c r="M13" s="95">
        <v>1399.4</v>
      </c>
      <c r="N13" s="101">
        <v>1578.7</v>
      </c>
      <c r="O13" s="19">
        <v>1609</v>
      </c>
      <c r="P13" s="101">
        <v>1669.5</v>
      </c>
      <c r="Q13" s="101">
        <v>1895.4</v>
      </c>
      <c r="R13" s="96">
        <v>1967.9</v>
      </c>
      <c r="S13" s="95">
        <v>2526.1999999999998</v>
      </c>
      <c r="T13" s="101">
        <v>2868.5</v>
      </c>
      <c r="U13" s="101">
        <v>2867.9</v>
      </c>
      <c r="V13" s="96">
        <v>2935.7</v>
      </c>
      <c r="W13" s="95">
        <v>3555.8</v>
      </c>
      <c r="X13" s="101">
        <v>3744.8</v>
      </c>
      <c r="Y13" s="101">
        <v>4020.7</v>
      </c>
      <c r="Z13" s="101">
        <v>4225.5</v>
      </c>
      <c r="AA13" s="101">
        <v>4241.2</v>
      </c>
      <c r="AB13" s="17">
        <v>4464</v>
      </c>
      <c r="AC13" s="95">
        <v>5217.3</v>
      </c>
      <c r="AD13" s="101">
        <v>5516.6</v>
      </c>
      <c r="AE13" s="19">
        <v>5764</v>
      </c>
      <c r="AF13" s="96">
        <v>5851.4</v>
      </c>
      <c r="AG13" s="95">
        <v>6978.2</v>
      </c>
      <c r="AH13" s="101">
        <v>7610.3</v>
      </c>
      <c r="AI13" s="101">
        <v>7704.5</v>
      </c>
      <c r="AJ13" s="101">
        <v>8050.7</v>
      </c>
      <c r="AK13" s="19">
        <v>8282</v>
      </c>
      <c r="AL13" s="96">
        <v>8507.9</v>
      </c>
    </row>
    <row r="14" spans="1:38" ht="18.75" customHeight="1">
      <c r="A14" s="18">
        <v>11</v>
      </c>
      <c r="B14" s="12" t="s">
        <v>292</v>
      </c>
      <c r="C14" s="98">
        <v>898.8</v>
      </c>
      <c r="D14" s="102">
        <v>949.7</v>
      </c>
      <c r="E14" s="18">
        <v>964</v>
      </c>
      <c r="F14" s="102">
        <v>969.9</v>
      </c>
      <c r="G14" s="102">
        <v>1007.3</v>
      </c>
      <c r="H14" s="97">
        <v>1033.9000000000001</v>
      </c>
      <c r="I14" s="98">
        <v>1201.0999999999999</v>
      </c>
      <c r="J14" s="102">
        <v>1288.7</v>
      </c>
      <c r="K14" s="102">
        <v>1403.4</v>
      </c>
      <c r="L14" s="97">
        <v>1446.4</v>
      </c>
      <c r="M14" s="98">
        <v>1763.3</v>
      </c>
      <c r="N14" s="102">
        <v>2001.9</v>
      </c>
      <c r="O14" s="18">
        <v>2028</v>
      </c>
      <c r="P14" s="18">
        <v>2123</v>
      </c>
      <c r="Q14" s="102">
        <v>2429.5</v>
      </c>
      <c r="R14" s="97">
        <v>2522.8000000000002</v>
      </c>
      <c r="S14" s="98">
        <v>3177.4</v>
      </c>
      <c r="T14" s="102">
        <v>3434.5</v>
      </c>
      <c r="U14" s="102">
        <v>3549.9</v>
      </c>
      <c r="V14" s="97">
        <v>3655.8</v>
      </c>
      <c r="W14" s="98">
        <v>4492.2</v>
      </c>
      <c r="X14" s="102">
        <v>4651.3</v>
      </c>
      <c r="Y14" s="102">
        <v>5166.3999999999996</v>
      </c>
      <c r="Z14" s="102">
        <v>5416.6</v>
      </c>
      <c r="AA14" s="102">
        <v>5426.7</v>
      </c>
      <c r="AB14" s="97">
        <v>5666.3</v>
      </c>
      <c r="AC14" s="13">
        <v>6528</v>
      </c>
      <c r="AD14" s="102">
        <v>6852.2</v>
      </c>
      <c r="AE14" s="102">
        <v>7413.1</v>
      </c>
      <c r="AF14" s="97">
        <v>7482.3</v>
      </c>
      <c r="AG14" s="98">
        <v>8858.4</v>
      </c>
      <c r="AH14" s="102">
        <v>9323.5</v>
      </c>
      <c r="AI14" s="18">
        <v>9644</v>
      </c>
      <c r="AJ14" s="102">
        <v>9919.4</v>
      </c>
      <c r="AK14" s="102">
        <v>10224.5</v>
      </c>
      <c r="AL14" s="97">
        <v>10350.4</v>
      </c>
    </row>
    <row r="15" spans="1:38" ht="18.75" customHeight="1">
      <c r="A15" s="19">
        <v>12</v>
      </c>
      <c r="B15" s="14" t="s">
        <v>293</v>
      </c>
      <c r="C15" s="95">
        <v>884.2</v>
      </c>
      <c r="D15" s="101">
        <v>951.4</v>
      </c>
      <c r="E15" s="101">
        <v>971.6</v>
      </c>
      <c r="F15" s="101">
        <v>984.8</v>
      </c>
      <c r="G15" s="19">
        <v>1012</v>
      </c>
      <c r="H15" s="96">
        <v>1031.2</v>
      </c>
      <c r="I15" s="95">
        <v>1170.2</v>
      </c>
      <c r="J15" s="101">
        <v>1276.5</v>
      </c>
      <c r="K15" s="101">
        <v>1315.1</v>
      </c>
      <c r="L15" s="96">
        <v>1345.6</v>
      </c>
      <c r="M15" s="95">
        <v>1574.1</v>
      </c>
      <c r="N15" s="101">
        <v>1770.9</v>
      </c>
      <c r="O15" s="101">
        <v>1800.4</v>
      </c>
      <c r="P15" s="101">
        <v>1923.8</v>
      </c>
      <c r="Q15" s="101">
        <v>2160.3000000000002</v>
      </c>
      <c r="R15" s="96">
        <v>2240.1999999999998</v>
      </c>
      <c r="S15" s="95">
        <v>2896.7</v>
      </c>
      <c r="T15" s="101">
        <v>3119.3</v>
      </c>
      <c r="U15" s="101">
        <v>3265.7</v>
      </c>
      <c r="V15" s="96">
        <v>3346.9</v>
      </c>
      <c r="W15" s="95">
        <v>4140.1000000000004</v>
      </c>
      <c r="X15" s="101">
        <v>4327.8999999999996</v>
      </c>
      <c r="Y15" s="101">
        <v>4587.3</v>
      </c>
      <c r="Z15" s="101">
        <v>4804.7</v>
      </c>
      <c r="AA15" s="101">
        <v>4821.3999999999996</v>
      </c>
      <c r="AB15" s="17">
        <v>5036</v>
      </c>
      <c r="AC15" s="95">
        <v>5941.9</v>
      </c>
      <c r="AD15" s="101">
        <v>6245.4</v>
      </c>
      <c r="AE15" s="101">
        <v>6552.5</v>
      </c>
      <c r="AF15" s="96">
        <v>6645.8</v>
      </c>
      <c r="AG15" s="95">
        <v>8035.6</v>
      </c>
      <c r="AH15" s="101">
        <v>8777.4</v>
      </c>
      <c r="AI15" s="101">
        <v>8835.7000000000007</v>
      </c>
      <c r="AJ15" s="101">
        <v>9066.4</v>
      </c>
      <c r="AK15" s="101">
        <v>9198.9</v>
      </c>
      <c r="AL15" s="96">
        <v>9314.7000000000007</v>
      </c>
    </row>
    <row r="16" spans="1:38" ht="18.75" customHeight="1">
      <c r="A16" s="18">
        <v>13</v>
      </c>
      <c r="B16" s="12" t="s">
        <v>294</v>
      </c>
      <c r="C16" s="98">
        <v>939.3</v>
      </c>
      <c r="D16" s="102">
        <v>1144.3</v>
      </c>
      <c r="E16" s="102">
        <v>1182.7</v>
      </c>
      <c r="F16" s="102">
        <v>1358.7</v>
      </c>
      <c r="G16" s="102">
        <v>1390.4</v>
      </c>
      <c r="H16" s="97">
        <v>1302.4000000000001</v>
      </c>
      <c r="I16" s="98">
        <v>1474.3</v>
      </c>
      <c r="J16" s="18">
        <v>1367</v>
      </c>
      <c r="K16" s="102">
        <v>1346.3</v>
      </c>
      <c r="L16" s="16">
        <v>1372</v>
      </c>
      <c r="M16" s="98">
        <v>1486.7</v>
      </c>
      <c r="N16" s="102">
        <v>1747.4</v>
      </c>
      <c r="O16" s="102">
        <v>1810.7</v>
      </c>
      <c r="P16" s="102">
        <v>1937.4</v>
      </c>
      <c r="Q16" s="102">
        <v>2185.3000000000002</v>
      </c>
      <c r="R16" s="97">
        <v>2516.3000000000002</v>
      </c>
      <c r="S16" s="98">
        <v>2835.9</v>
      </c>
      <c r="T16" s="102">
        <v>2994.8</v>
      </c>
      <c r="U16" s="102">
        <v>3338.4</v>
      </c>
      <c r="V16" s="97">
        <v>3614.1</v>
      </c>
      <c r="W16" s="98">
        <v>4303.1000000000004</v>
      </c>
      <c r="X16" s="102">
        <v>4154.6000000000004</v>
      </c>
      <c r="Y16" s="102">
        <v>4412.5</v>
      </c>
      <c r="Z16" s="18">
        <v>4830</v>
      </c>
      <c r="AA16" s="102">
        <v>5068.6000000000004</v>
      </c>
      <c r="AB16" s="97">
        <v>5599.4</v>
      </c>
      <c r="AC16" s="13">
        <v>6280</v>
      </c>
      <c r="AD16" s="102">
        <v>6379.2</v>
      </c>
      <c r="AE16" s="102">
        <v>6265.9</v>
      </c>
      <c r="AF16" s="97">
        <v>6154.8</v>
      </c>
      <c r="AG16" s="98">
        <v>7080.2</v>
      </c>
      <c r="AH16" s="102">
        <v>7431.4</v>
      </c>
      <c r="AI16" s="102">
        <v>8252.9</v>
      </c>
      <c r="AJ16" s="102">
        <v>8896.2999999999993</v>
      </c>
      <c r="AK16" s="102">
        <v>9417.4</v>
      </c>
      <c r="AL16" s="97">
        <v>9686.7000000000007</v>
      </c>
    </row>
    <row r="17" spans="1:38" ht="18.75" customHeight="1">
      <c r="A17" s="19">
        <v>14</v>
      </c>
      <c r="B17" s="14" t="s">
        <v>295</v>
      </c>
      <c r="C17" s="95">
        <v>432.8</v>
      </c>
      <c r="D17" s="101">
        <v>478.9</v>
      </c>
      <c r="E17" s="101">
        <v>572.29999999999995</v>
      </c>
      <c r="F17" s="101">
        <v>580.6</v>
      </c>
      <c r="G17" s="101">
        <v>623.70000000000005</v>
      </c>
      <c r="H17" s="96">
        <v>636.4</v>
      </c>
      <c r="I17" s="95">
        <v>738.2</v>
      </c>
      <c r="J17" s="101">
        <v>818.3</v>
      </c>
      <c r="K17" s="101">
        <v>841.8</v>
      </c>
      <c r="L17" s="96">
        <v>848.5</v>
      </c>
      <c r="M17" s="95">
        <v>908.5</v>
      </c>
      <c r="N17" s="101">
        <v>1062.8</v>
      </c>
      <c r="O17" s="101">
        <v>1098.4000000000001</v>
      </c>
      <c r="P17" s="101">
        <v>1191.9000000000001</v>
      </c>
      <c r="Q17" s="101">
        <v>1416.1</v>
      </c>
      <c r="R17" s="96">
        <v>1521.3</v>
      </c>
      <c r="S17" s="95">
        <v>1897.7</v>
      </c>
      <c r="T17" s="101">
        <v>2001.7</v>
      </c>
      <c r="U17" s="101">
        <v>2160.1999999999998</v>
      </c>
      <c r="V17" s="96">
        <v>2199.1</v>
      </c>
      <c r="W17" s="95">
        <v>2706.8</v>
      </c>
      <c r="X17" s="101">
        <v>2864.4</v>
      </c>
      <c r="Y17" s="101">
        <v>3482.9</v>
      </c>
      <c r="Z17" s="101">
        <v>3506.5</v>
      </c>
      <c r="AA17" s="101">
        <v>3537.3</v>
      </c>
      <c r="AB17" s="17">
        <v>4242</v>
      </c>
      <c r="AC17" s="95">
        <v>4553.3999999999996</v>
      </c>
      <c r="AD17" s="101">
        <v>4628.1000000000004</v>
      </c>
      <c r="AE17" s="101">
        <v>5377.5</v>
      </c>
      <c r="AF17" s="96">
        <v>5514.2</v>
      </c>
      <c r="AG17" s="95">
        <v>5975.1</v>
      </c>
      <c r="AH17" s="101">
        <v>6121.4</v>
      </c>
      <c r="AI17" s="101">
        <v>6696.6</v>
      </c>
      <c r="AJ17" s="101">
        <v>7037.3</v>
      </c>
      <c r="AK17" s="101">
        <v>7168.3</v>
      </c>
      <c r="AL17" s="96">
        <v>7304.2</v>
      </c>
    </row>
    <row r="18" spans="1:38" ht="18.75" customHeight="1">
      <c r="A18" s="18">
        <v>15</v>
      </c>
      <c r="B18" s="12" t="s">
        <v>296</v>
      </c>
      <c r="C18" s="13">
        <v>336</v>
      </c>
      <c r="D18" s="18">
        <v>337</v>
      </c>
      <c r="E18" s="18">
        <v>338</v>
      </c>
      <c r="F18" s="18">
        <v>339</v>
      </c>
      <c r="G18" s="18">
        <v>339</v>
      </c>
      <c r="H18" s="16">
        <v>340</v>
      </c>
      <c r="I18" s="13">
        <v>341</v>
      </c>
      <c r="J18" s="18">
        <v>342</v>
      </c>
      <c r="K18" s="18">
        <v>343</v>
      </c>
      <c r="L18" s="16">
        <v>344</v>
      </c>
      <c r="M18" s="13">
        <v>345</v>
      </c>
      <c r="N18" s="18">
        <v>346</v>
      </c>
      <c r="O18" s="18">
        <v>347</v>
      </c>
      <c r="P18" s="18">
        <v>348</v>
      </c>
      <c r="Q18" s="18">
        <v>349</v>
      </c>
      <c r="R18" s="16">
        <v>350</v>
      </c>
      <c r="S18" s="13">
        <v>351</v>
      </c>
      <c r="T18" s="18">
        <v>352</v>
      </c>
      <c r="U18" s="18">
        <v>353</v>
      </c>
      <c r="V18" s="16">
        <v>354</v>
      </c>
      <c r="W18" s="13">
        <v>355</v>
      </c>
      <c r="X18" s="18">
        <v>356</v>
      </c>
      <c r="Y18" s="18">
        <v>357</v>
      </c>
      <c r="Z18" s="18">
        <v>358</v>
      </c>
      <c r="AA18" s="18">
        <v>358</v>
      </c>
      <c r="AB18" s="16">
        <v>358</v>
      </c>
      <c r="AC18" s="13">
        <v>359</v>
      </c>
      <c r="AD18" s="18">
        <v>360</v>
      </c>
      <c r="AE18" s="18">
        <v>361</v>
      </c>
      <c r="AF18" s="16">
        <v>362</v>
      </c>
      <c r="AG18" s="13">
        <v>363</v>
      </c>
      <c r="AH18" s="18">
        <v>364</v>
      </c>
      <c r="AI18" s="18">
        <v>365</v>
      </c>
      <c r="AJ18" s="18">
        <v>366</v>
      </c>
      <c r="AK18" s="18">
        <v>366</v>
      </c>
      <c r="AL18" s="16">
        <v>366</v>
      </c>
    </row>
    <row r="19" spans="1:38" ht="18.75" customHeight="1">
      <c r="A19" s="63">
        <v>16</v>
      </c>
      <c r="B19" s="64" t="s">
        <v>297</v>
      </c>
      <c r="C19" s="93">
        <v>808.3</v>
      </c>
      <c r="D19" s="100">
        <v>929.1</v>
      </c>
      <c r="E19" s="100">
        <v>1155.0999999999999</v>
      </c>
      <c r="F19" s="100">
        <v>1207.0999999999999</v>
      </c>
      <c r="G19" s="100">
        <v>1233.5</v>
      </c>
      <c r="H19" s="94">
        <v>1214.4000000000001</v>
      </c>
      <c r="I19" s="93">
        <v>1405.4</v>
      </c>
      <c r="J19" s="100">
        <v>1337.3</v>
      </c>
      <c r="K19" s="100">
        <v>1355.5</v>
      </c>
      <c r="L19" s="94">
        <v>1628.5</v>
      </c>
      <c r="M19" s="93">
        <v>1913.7</v>
      </c>
      <c r="N19" s="100">
        <v>2617.3000000000002</v>
      </c>
      <c r="O19" s="100">
        <v>2820.1</v>
      </c>
      <c r="P19" s="100">
        <v>2932.9</v>
      </c>
      <c r="Q19" s="100">
        <v>3192.8</v>
      </c>
      <c r="R19" s="94">
        <v>3450.5</v>
      </c>
      <c r="S19" s="93">
        <v>3937.1</v>
      </c>
      <c r="T19" s="100">
        <v>4343.6000000000004</v>
      </c>
      <c r="U19" s="100">
        <v>4358.3</v>
      </c>
      <c r="V19" s="94">
        <v>4262.7</v>
      </c>
      <c r="W19" s="93">
        <v>4774.8999999999996</v>
      </c>
      <c r="X19" s="100">
        <v>4517.1000000000004</v>
      </c>
      <c r="Y19" s="100">
        <v>4710.8999999999996</v>
      </c>
      <c r="Z19" s="100">
        <v>5394.9</v>
      </c>
      <c r="AA19" s="100">
        <v>6056.1</v>
      </c>
      <c r="AB19" s="94">
        <v>6783.9</v>
      </c>
      <c r="AC19" s="93">
        <v>6849.6</v>
      </c>
      <c r="AD19" s="100">
        <v>6567.8</v>
      </c>
      <c r="AE19" s="100">
        <v>6612.8</v>
      </c>
      <c r="AF19" s="94">
        <v>6989.6</v>
      </c>
      <c r="AG19" s="93">
        <v>7656.8</v>
      </c>
      <c r="AH19" s="100">
        <v>7848.6</v>
      </c>
      <c r="AI19" s="100">
        <v>8261.6</v>
      </c>
      <c r="AJ19" s="100">
        <v>8666.9</v>
      </c>
      <c r="AK19" s="100">
        <v>8915.1</v>
      </c>
      <c r="AL19" s="94">
        <v>9344.2000000000007</v>
      </c>
    </row>
    <row r="20" spans="1:38" ht="18.75" customHeight="1">
      <c r="A20" s="63">
        <v>17</v>
      </c>
      <c r="B20" s="64" t="s">
        <v>298</v>
      </c>
      <c r="C20" s="93">
        <v>455.9</v>
      </c>
      <c r="D20" s="100">
        <v>528.6</v>
      </c>
      <c r="E20" s="100">
        <v>765.7</v>
      </c>
      <c r="F20" s="100">
        <v>819.1</v>
      </c>
      <c r="G20" s="100">
        <v>774.2</v>
      </c>
      <c r="H20" s="94">
        <v>775.3</v>
      </c>
      <c r="I20" s="93">
        <v>864.9</v>
      </c>
      <c r="J20" s="100">
        <v>866.8</v>
      </c>
      <c r="K20" s="100">
        <v>873.2</v>
      </c>
      <c r="L20" s="94">
        <v>884.8</v>
      </c>
      <c r="M20" s="93">
        <v>1055.5</v>
      </c>
      <c r="N20" s="63">
        <v>1277</v>
      </c>
      <c r="O20" s="100">
        <v>1366.2</v>
      </c>
      <c r="P20" s="100">
        <v>1521.1</v>
      </c>
      <c r="Q20" s="100">
        <v>1662.2</v>
      </c>
      <c r="R20" s="94">
        <v>1724.6</v>
      </c>
      <c r="S20" s="93">
        <v>1987.7</v>
      </c>
      <c r="T20" s="100">
        <v>2238.1</v>
      </c>
      <c r="U20" s="100">
        <v>2375.5</v>
      </c>
      <c r="V20" s="94">
        <v>2398.6999999999998</v>
      </c>
      <c r="W20" s="93">
        <v>2888.3</v>
      </c>
      <c r="X20" s="100">
        <v>2973.5</v>
      </c>
      <c r="Y20" s="63">
        <v>3006</v>
      </c>
      <c r="Z20" s="100">
        <v>3239.5</v>
      </c>
      <c r="AA20" s="100">
        <v>3431.3</v>
      </c>
      <c r="AB20" s="94">
        <v>3817.7</v>
      </c>
      <c r="AC20" s="93">
        <v>3948.3</v>
      </c>
      <c r="AD20" s="100">
        <v>3942.3</v>
      </c>
      <c r="AE20" s="100">
        <v>4312.5</v>
      </c>
      <c r="AF20" s="94">
        <v>4322.7</v>
      </c>
      <c r="AG20" s="65">
        <v>4942</v>
      </c>
      <c r="AH20" s="100">
        <v>5148.3999999999996</v>
      </c>
      <c r="AI20" s="100">
        <v>5340.6</v>
      </c>
      <c r="AJ20" s="100">
        <v>5623.5</v>
      </c>
      <c r="AK20" s="100">
        <v>5780.1</v>
      </c>
      <c r="AL20" s="94">
        <v>5854.5</v>
      </c>
    </row>
    <row r="21" spans="1:38" ht="18.75" customHeight="1">
      <c r="A21" s="19">
        <v>18</v>
      </c>
      <c r="B21" s="14" t="s">
        <v>299</v>
      </c>
      <c r="C21" s="95">
        <v>863.8</v>
      </c>
      <c r="D21" s="19">
        <v>896</v>
      </c>
      <c r="E21" s="101">
        <v>908.8</v>
      </c>
      <c r="F21" s="19">
        <v>913</v>
      </c>
      <c r="G21" s="101">
        <v>941.1</v>
      </c>
      <c r="H21" s="96">
        <v>959.1</v>
      </c>
      <c r="I21" s="95">
        <v>1151.9000000000001</v>
      </c>
      <c r="J21" s="101">
        <v>1225.2</v>
      </c>
      <c r="K21" s="101">
        <v>1249.8</v>
      </c>
      <c r="L21" s="96">
        <v>1274.9000000000001</v>
      </c>
      <c r="M21" s="95">
        <v>1530.2</v>
      </c>
      <c r="N21" s="101">
        <v>1676.6</v>
      </c>
      <c r="O21" s="101">
        <v>1688.6</v>
      </c>
      <c r="P21" s="101">
        <v>1722.4</v>
      </c>
      <c r="Q21" s="101">
        <v>1902.7</v>
      </c>
      <c r="R21" s="96">
        <v>1987.4</v>
      </c>
      <c r="S21" s="95">
        <v>2593.5</v>
      </c>
      <c r="T21" s="19">
        <v>2796</v>
      </c>
      <c r="U21" s="101">
        <v>2797.8</v>
      </c>
      <c r="V21" s="96">
        <v>2830.1</v>
      </c>
      <c r="W21" s="95">
        <v>3635.7</v>
      </c>
      <c r="X21" s="101">
        <v>3754.1</v>
      </c>
      <c r="Y21" s="101">
        <v>3856.7</v>
      </c>
      <c r="Z21" s="101">
        <v>4054.6</v>
      </c>
      <c r="AA21" s="19">
        <v>4060</v>
      </c>
      <c r="AB21" s="96">
        <v>4147.6000000000004</v>
      </c>
      <c r="AC21" s="95">
        <v>5033.7</v>
      </c>
      <c r="AD21" s="101">
        <v>5260.4</v>
      </c>
      <c r="AE21" s="101">
        <v>5451.7</v>
      </c>
      <c r="AF21" s="96">
        <v>5571.6</v>
      </c>
      <c r="AG21" s="95">
        <v>6845.1</v>
      </c>
      <c r="AH21" s="19">
        <v>7271</v>
      </c>
      <c r="AI21" s="101">
        <v>7325.7</v>
      </c>
      <c r="AJ21" s="101">
        <v>7608.4</v>
      </c>
      <c r="AK21" s="19">
        <v>7717</v>
      </c>
      <c r="AL21" s="96">
        <v>7841.5</v>
      </c>
    </row>
    <row r="22" spans="1:38" ht="18.75" customHeight="1">
      <c r="A22" s="63">
        <v>19</v>
      </c>
      <c r="B22" s="64" t="s">
        <v>300</v>
      </c>
      <c r="C22" s="93">
        <v>638.6</v>
      </c>
      <c r="D22" s="100">
        <v>802.9</v>
      </c>
      <c r="E22" s="100">
        <v>884.2</v>
      </c>
      <c r="F22" s="63">
        <v>930</v>
      </c>
      <c r="G22" s="100">
        <v>932.2</v>
      </c>
      <c r="H22" s="94">
        <v>935.9</v>
      </c>
      <c r="I22" s="93">
        <v>983.4</v>
      </c>
      <c r="J22" s="100">
        <v>994.2</v>
      </c>
      <c r="K22" s="100">
        <v>999.2</v>
      </c>
      <c r="L22" s="94">
        <v>1051.0999999999999</v>
      </c>
      <c r="M22" s="93">
        <v>1274.5999999999999</v>
      </c>
      <c r="N22" s="100">
        <v>1487.1</v>
      </c>
      <c r="O22" s="100">
        <v>1488.7</v>
      </c>
      <c r="P22" s="100">
        <v>1569.7</v>
      </c>
      <c r="Q22" s="100">
        <v>1794.3</v>
      </c>
      <c r="R22" s="94">
        <v>1834.6</v>
      </c>
      <c r="S22" s="93">
        <v>2305.1</v>
      </c>
      <c r="T22" s="100">
        <v>2490.6999999999998</v>
      </c>
      <c r="U22" s="63">
        <v>2471</v>
      </c>
      <c r="V22" s="94">
        <v>2491.5</v>
      </c>
      <c r="W22" s="93">
        <v>2930.9</v>
      </c>
      <c r="X22" s="100">
        <v>3018.2</v>
      </c>
      <c r="Y22" s="100">
        <v>3233.3</v>
      </c>
      <c r="Z22" s="100">
        <v>3472.5</v>
      </c>
      <c r="AA22" s="63">
        <v>3473</v>
      </c>
      <c r="AB22" s="94">
        <v>3727.2</v>
      </c>
      <c r="AC22" s="93">
        <v>3982.9</v>
      </c>
      <c r="AD22" s="100">
        <v>4055.9</v>
      </c>
      <c r="AE22" s="100">
        <v>4079.7</v>
      </c>
      <c r="AF22" s="94">
        <v>4110.1000000000004</v>
      </c>
      <c r="AG22" s="93">
        <v>4607.8</v>
      </c>
      <c r="AH22" s="100">
        <v>4755.1000000000004</v>
      </c>
      <c r="AI22" s="100">
        <v>5039.3</v>
      </c>
      <c r="AJ22" s="100">
        <v>5270.2</v>
      </c>
      <c r="AK22" s="100">
        <v>5453.9</v>
      </c>
      <c r="AL22" s="94">
        <v>5661.7</v>
      </c>
    </row>
    <row r="23" spans="1:38" ht="18.75" customHeight="1">
      <c r="A23" s="19">
        <v>20</v>
      </c>
      <c r="B23" s="14" t="s">
        <v>301</v>
      </c>
      <c r="C23" s="95">
        <v>523.1</v>
      </c>
      <c r="D23" s="101">
        <v>571.79999999999995</v>
      </c>
      <c r="E23" s="101">
        <v>574.6</v>
      </c>
      <c r="F23" s="101">
        <v>606.6</v>
      </c>
      <c r="G23" s="19">
        <v>599</v>
      </c>
      <c r="H23" s="96">
        <v>603.29999999999995</v>
      </c>
      <c r="I23" s="95">
        <v>689.2</v>
      </c>
      <c r="J23" s="101">
        <v>724.2</v>
      </c>
      <c r="K23" s="101">
        <v>749.7</v>
      </c>
      <c r="L23" s="96">
        <v>771.7</v>
      </c>
      <c r="M23" s="95">
        <v>907.7</v>
      </c>
      <c r="N23" s="101">
        <v>962.7</v>
      </c>
      <c r="O23" s="101">
        <v>965.4</v>
      </c>
      <c r="P23" s="101">
        <v>991.9</v>
      </c>
      <c r="Q23" s="101">
        <v>1291.5</v>
      </c>
      <c r="R23" s="96">
        <v>1314.3</v>
      </c>
      <c r="S23" s="95">
        <v>1701.2</v>
      </c>
      <c r="T23" s="101">
        <v>1881.8</v>
      </c>
      <c r="U23" s="101">
        <v>1905.9</v>
      </c>
      <c r="V23" s="96">
        <v>1995.8</v>
      </c>
      <c r="W23" s="95">
        <v>2362.3000000000002</v>
      </c>
      <c r="X23" s="101">
        <v>2497.1</v>
      </c>
      <c r="Y23" s="101">
        <v>2571.8000000000002</v>
      </c>
      <c r="Z23" s="101">
        <v>2768.4</v>
      </c>
      <c r="AA23" s="101">
        <v>2770.6</v>
      </c>
      <c r="AB23" s="17">
        <v>2908</v>
      </c>
      <c r="AC23" s="95">
        <v>3486.8</v>
      </c>
      <c r="AD23" s="101">
        <v>3671.7</v>
      </c>
      <c r="AE23" s="101">
        <v>4032.9</v>
      </c>
      <c r="AF23" s="96">
        <v>4146.8999999999996</v>
      </c>
      <c r="AG23" s="95">
        <v>4810.5</v>
      </c>
      <c r="AH23" s="101">
        <v>5010.3</v>
      </c>
      <c r="AI23" s="101">
        <v>5167.2</v>
      </c>
      <c r="AJ23" s="101">
        <v>5567.7</v>
      </c>
      <c r="AK23" s="101">
        <v>5653.2</v>
      </c>
      <c r="AL23" s="96">
        <v>5712.5</v>
      </c>
    </row>
    <row r="24" spans="1:38" ht="18.75" customHeight="1">
      <c r="A24" s="18">
        <v>21</v>
      </c>
      <c r="B24" s="12" t="s">
        <v>302</v>
      </c>
      <c r="C24" s="98">
        <v>738.6</v>
      </c>
      <c r="D24" s="18">
        <v>778</v>
      </c>
      <c r="E24" s="102">
        <v>794.7</v>
      </c>
      <c r="F24" s="102">
        <v>832.8</v>
      </c>
      <c r="G24" s="102">
        <v>876.5</v>
      </c>
      <c r="H24" s="97">
        <v>886.4</v>
      </c>
      <c r="I24" s="98">
        <v>1041.3</v>
      </c>
      <c r="J24" s="102">
        <v>1110.4000000000001</v>
      </c>
      <c r="K24" s="102">
        <v>1138.5999999999999</v>
      </c>
      <c r="L24" s="97">
        <v>1150.4000000000001</v>
      </c>
      <c r="M24" s="98">
        <v>1355.8</v>
      </c>
      <c r="N24" s="102">
        <v>1526.8</v>
      </c>
      <c r="O24" s="102">
        <v>1535.6</v>
      </c>
      <c r="P24" s="102">
        <v>1583.4</v>
      </c>
      <c r="Q24" s="102">
        <v>1854.4</v>
      </c>
      <c r="R24" s="97">
        <v>1943.1</v>
      </c>
      <c r="S24" s="98">
        <v>2525.8000000000002</v>
      </c>
      <c r="T24" s="102">
        <v>2734.4</v>
      </c>
      <c r="U24" s="102">
        <v>2774.9</v>
      </c>
      <c r="V24" s="97">
        <v>2842.1</v>
      </c>
      <c r="W24" s="98">
        <v>3528.1</v>
      </c>
      <c r="X24" s="102">
        <v>3681.9</v>
      </c>
      <c r="Y24" s="18">
        <v>3856</v>
      </c>
      <c r="Z24" s="102">
        <v>4048.7</v>
      </c>
      <c r="AA24" s="102">
        <v>4052.9</v>
      </c>
      <c r="AB24" s="97">
        <v>4116.8</v>
      </c>
      <c r="AC24" s="98">
        <v>4826.8999999999996</v>
      </c>
      <c r="AD24" s="102">
        <v>4936.8</v>
      </c>
      <c r="AE24" s="102">
        <v>5085.2</v>
      </c>
      <c r="AF24" s="97">
        <v>5148.1000000000004</v>
      </c>
      <c r="AG24" s="98">
        <v>6045.6</v>
      </c>
      <c r="AH24" s="102">
        <v>6421.6</v>
      </c>
      <c r="AI24" s="102">
        <v>6603.2</v>
      </c>
      <c r="AJ24" s="102">
        <v>6936.1</v>
      </c>
      <c r="AK24" s="102">
        <v>7055.9</v>
      </c>
      <c r="AL24" s="97">
        <v>7237.1</v>
      </c>
    </row>
    <row r="25" spans="1:38" ht="18.75" customHeight="1">
      <c r="A25" s="19">
        <v>22</v>
      </c>
      <c r="B25" s="14" t="s">
        <v>303</v>
      </c>
      <c r="C25" s="95">
        <v>573.70000000000005</v>
      </c>
      <c r="D25" s="101">
        <v>650.70000000000005</v>
      </c>
      <c r="E25" s="101">
        <v>670.1</v>
      </c>
      <c r="F25" s="101">
        <v>677.1</v>
      </c>
      <c r="G25" s="101">
        <v>699.4</v>
      </c>
      <c r="H25" s="96">
        <v>703.4</v>
      </c>
      <c r="I25" s="95">
        <v>798.5</v>
      </c>
      <c r="J25" s="101">
        <v>845.1</v>
      </c>
      <c r="K25" s="19">
        <v>873</v>
      </c>
      <c r="L25" s="96">
        <v>955.8</v>
      </c>
      <c r="M25" s="95">
        <v>1129.5</v>
      </c>
      <c r="N25" s="101">
        <v>1243.2</v>
      </c>
      <c r="O25" s="101">
        <v>1246.3</v>
      </c>
      <c r="P25" s="101">
        <v>1340.9</v>
      </c>
      <c r="Q25" s="101">
        <v>1513.5</v>
      </c>
      <c r="R25" s="96">
        <v>1600.8</v>
      </c>
      <c r="S25" s="95">
        <v>2016.5</v>
      </c>
      <c r="T25" s="101">
        <v>2148.4</v>
      </c>
      <c r="U25" s="101">
        <v>2262.5</v>
      </c>
      <c r="V25" s="96">
        <v>2305.5</v>
      </c>
      <c r="W25" s="95">
        <v>2686.9</v>
      </c>
      <c r="X25" s="101">
        <v>2835.2</v>
      </c>
      <c r="Y25" s="101">
        <v>3081.5</v>
      </c>
      <c r="Z25" s="101">
        <v>3396.2</v>
      </c>
      <c r="AA25" s="101">
        <v>3398.7</v>
      </c>
      <c r="AB25" s="96">
        <v>3600.5</v>
      </c>
      <c r="AC25" s="95">
        <v>4093.2</v>
      </c>
      <c r="AD25" s="101">
        <v>4140.3999999999996</v>
      </c>
      <c r="AE25" s="101">
        <v>4486.8999999999996</v>
      </c>
      <c r="AF25" s="96">
        <v>4508.3</v>
      </c>
      <c r="AG25" s="95">
        <v>5321.4</v>
      </c>
      <c r="AH25" s="101">
        <v>5587.1</v>
      </c>
      <c r="AI25" s="101">
        <v>5790.6</v>
      </c>
      <c r="AJ25" s="101">
        <v>6102.1</v>
      </c>
      <c r="AK25" s="101">
        <v>6236.5</v>
      </c>
      <c r="AL25" s="96">
        <v>6282.3</v>
      </c>
    </row>
    <row r="26" spans="1:38" ht="18.75" customHeight="1">
      <c r="A26" s="63">
        <v>23</v>
      </c>
      <c r="B26" s="64" t="s">
        <v>304</v>
      </c>
      <c r="C26" s="93">
        <v>632.20000000000005</v>
      </c>
      <c r="D26" s="100">
        <v>681.9</v>
      </c>
      <c r="E26" s="100">
        <v>751.9</v>
      </c>
      <c r="F26" s="100">
        <v>852.2</v>
      </c>
      <c r="G26" s="100">
        <v>915.2</v>
      </c>
      <c r="H26" s="94">
        <v>918.4</v>
      </c>
      <c r="I26" s="93">
        <v>1083.2</v>
      </c>
      <c r="J26" s="100">
        <v>1056.8</v>
      </c>
      <c r="K26" s="100">
        <v>1088.5999999999999</v>
      </c>
      <c r="L26" s="94">
        <v>1180.0999999999999</v>
      </c>
      <c r="M26" s="93">
        <v>1412.9</v>
      </c>
      <c r="N26" s="100">
        <v>1733.5</v>
      </c>
      <c r="O26" s="100">
        <v>1769.4</v>
      </c>
      <c r="P26" s="100">
        <v>1887.3</v>
      </c>
      <c r="Q26" s="100">
        <v>2065.6999999999998</v>
      </c>
      <c r="R26" s="94">
        <v>2329.3000000000002</v>
      </c>
      <c r="S26" s="93">
        <v>2717.7</v>
      </c>
      <c r="T26" s="100">
        <v>2976.4</v>
      </c>
      <c r="U26" s="100">
        <v>3073.8</v>
      </c>
      <c r="V26" s="94">
        <v>3057.8</v>
      </c>
      <c r="W26" s="93">
        <v>3600.1</v>
      </c>
      <c r="X26" s="100">
        <v>3666.6</v>
      </c>
      <c r="Y26" s="100">
        <v>3915.6</v>
      </c>
      <c r="Z26" s="63">
        <v>4341</v>
      </c>
      <c r="AA26" s="100">
        <v>4554.2</v>
      </c>
      <c r="AB26" s="94">
        <v>4799.6000000000004</v>
      </c>
      <c r="AC26" s="93">
        <v>5184.5</v>
      </c>
      <c r="AD26" s="100">
        <v>5123.7</v>
      </c>
      <c r="AE26" s="100">
        <v>5386.3</v>
      </c>
      <c r="AF26" s="94">
        <v>5467.6</v>
      </c>
      <c r="AG26" s="93">
        <v>6014.1</v>
      </c>
      <c r="AH26" s="100">
        <v>6243.1</v>
      </c>
      <c r="AI26" s="63">
        <v>6733</v>
      </c>
      <c r="AJ26" s="100">
        <v>7084.7</v>
      </c>
      <c r="AK26" s="100">
        <v>7233.6</v>
      </c>
      <c r="AL26" s="66">
        <v>7368</v>
      </c>
    </row>
    <row r="27" spans="1:38" ht="18.75" customHeight="1">
      <c r="A27" s="19">
        <v>24</v>
      </c>
      <c r="B27" s="14" t="s">
        <v>305</v>
      </c>
      <c r="C27" s="95">
        <v>443.8</v>
      </c>
      <c r="D27" s="101">
        <v>482.7</v>
      </c>
      <c r="E27" s="101">
        <v>490.3</v>
      </c>
      <c r="F27" s="101">
        <v>491.9</v>
      </c>
      <c r="G27" s="101">
        <v>547.9</v>
      </c>
      <c r="H27" s="96">
        <v>554.70000000000005</v>
      </c>
      <c r="I27" s="95">
        <v>620.1</v>
      </c>
      <c r="J27" s="101">
        <v>634.79999999999995</v>
      </c>
      <c r="K27" s="101">
        <v>645.29999999999995</v>
      </c>
      <c r="L27" s="96">
        <v>655.1</v>
      </c>
      <c r="M27" s="95">
        <v>761.7</v>
      </c>
      <c r="N27" s="101">
        <v>818.2</v>
      </c>
      <c r="O27" s="101">
        <v>819.7</v>
      </c>
      <c r="P27" s="101">
        <v>829.6</v>
      </c>
      <c r="Q27" s="101">
        <v>1043.0999999999999</v>
      </c>
      <c r="R27" s="96">
        <v>1109.8</v>
      </c>
      <c r="S27" s="95">
        <v>1472.1</v>
      </c>
      <c r="T27" s="19">
        <v>1583</v>
      </c>
      <c r="U27" s="101">
        <v>1611.5</v>
      </c>
      <c r="V27" s="96">
        <v>1645.7</v>
      </c>
      <c r="W27" s="95">
        <v>2074.1</v>
      </c>
      <c r="X27" s="19">
        <v>2140</v>
      </c>
      <c r="Y27" s="101">
        <v>2225.3000000000002</v>
      </c>
      <c r="Z27" s="101">
        <v>2329.1</v>
      </c>
      <c r="AA27" s="101">
        <v>2329.9</v>
      </c>
      <c r="AB27" s="96">
        <v>2436.1</v>
      </c>
      <c r="AC27" s="95">
        <v>2846.6</v>
      </c>
      <c r="AD27" s="101">
        <v>2905.3</v>
      </c>
      <c r="AE27" s="101">
        <v>3177.1</v>
      </c>
      <c r="AF27" s="96">
        <v>3216.3</v>
      </c>
      <c r="AG27" s="95">
        <v>3734.1</v>
      </c>
      <c r="AH27" s="101">
        <v>3854.1</v>
      </c>
      <c r="AI27" s="101">
        <v>4066.1</v>
      </c>
      <c r="AJ27" s="19">
        <v>4224</v>
      </c>
      <c r="AK27" s="101">
        <v>4360.8</v>
      </c>
      <c r="AL27" s="17">
        <v>4407</v>
      </c>
    </row>
    <row r="28" spans="1:38" ht="18.75" customHeight="1">
      <c r="A28" s="18">
        <v>25</v>
      </c>
      <c r="B28" s="12" t="s">
        <v>306</v>
      </c>
      <c r="C28" s="98">
        <v>788.7</v>
      </c>
      <c r="D28" s="18">
        <v>856</v>
      </c>
      <c r="E28" s="102">
        <v>893.7</v>
      </c>
      <c r="F28" s="102">
        <v>904.4</v>
      </c>
      <c r="G28" s="102">
        <v>922.4</v>
      </c>
      <c r="H28" s="97">
        <v>938.4</v>
      </c>
      <c r="I28" s="98">
        <v>1100.9000000000001</v>
      </c>
      <c r="J28" s="102">
        <v>1135.4000000000001</v>
      </c>
      <c r="K28" s="102">
        <v>1155.0999999999999</v>
      </c>
      <c r="L28" s="97">
        <v>1181.3</v>
      </c>
      <c r="M28" s="98">
        <v>1374.5</v>
      </c>
      <c r="N28" s="102">
        <v>1504.8</v>
      </c>
      <c r="O28" s="102">
        <v>1522.7</v>
      </c>
      <c r="P28" s="102">
        <v>1583.4</v>
      </c>
      <c r="Q28" s="102">
        <v>1793.7</v>
      </c>
      <c r="R28" s="97">
        <v>1897.9</v>
      </c>
      <c r="S28" s="98">
        <v>2433.4</v>
      </c>
      <c r="T28" s="102">
        <v>2610.5</v>
      </c>
      <c r="U28" s="102">
        <v>2674.6</v>
      </c>
      <c r="V28" s="97">
        <v>2727.9</v>
      </c>
      <c r="W28" s="13">
        <v>3458</v>
      </c>
      <c r="X28" s="102">
        <v>3605.4</v>
      </c>
      <c r="Y28" s="102">
        <v>3735.9</v>
      </c>
      <c r="Z28" s="18">
        <v>3956</v>
      </c>
      <c r="AA28" s="102">
        <v>3957.9</v>
      </c>
      <c r="AB28" s="97">
        <v>3963.7</v>
      </c>
      <c r="AC28" s="98">
        <v>4733.8999999999996</v>
      </c>
      <c r="AD28" s="18">
        <v>4883</v>
      </c>
      <c r="AE28" s="102">
        <v>5010.1000000000004</v>
      </c>
      <c r="AF28" s="97">
        <v>5134.2</v>
      </c>
      <c r="AG28" s="98">
        <v>6088.7</v>
      </c>
      <c r="AH28" s="102">
        <v>6375.7</v>
      </c>
      <c r="AI28" s="102">
        <v>6482.2</v>
      </c>
      <c r="AJ28" s="102">
        <v>6781.7</v>
      </c>
      <c r="AK28" s="102">
        <v>6900.5</v>
      </c>
      <c r="AL28" s="97">
        <v>6988.5</v>
      </c>
    </row>
    <row r="29" spans="1:38" ht="18.75" customHeight="1">
      <c r="A29" s="19">
        <v>26</v>
      </c>
      <c r="B29" s="14" t="s">
        <v>307</v>
      </c>
      <c r="C29" s="95">
        <v>753.4</v>
      </c>
      <c r="D29" s="101">
        <v>829.4</v>
      </c>
      <c r="E29" s="101">
        <v>891.6</v>
      </c>
      <c r="F29" s="101">
        <v>895.9</v>
      </c>
      <c r="G29" s="101">
        <v>938.1</v>
      </c>
      <c r="H29" s="96">
        <v>984.6</v>
      </c>
      <c r="I29" s="15">
        <v>1121</v>
      </c>
      <c r="J29" s="101">
        <v>1194.5999999999999</v>
      </c>
      <c r="K29" s="101">
        <v>1385.2</v>
      </c>
      <c r="L29" s="96">
        <v>1457.4</v>
      </c>
      <c r="M29" s="95">
        <v>1897.9</v>
      </c>
      <c r="N29" s="101">
        <v>2231.8000000000002</v>
      </c>
      <c r="O29" s="101">
        <v>2478.5</v>
      </c>
      <c r="P29" s="101">
        <v>2713.1</v>
      </c>
      <c r="Q29" s="101">
        <v>2698.9</v>
      </c>
      <c r="R29" s="96">
        <v>2777.9</v>
      </c>
      <c r="S29" s="95">
        <v>3490.1</v>
      </c>
      <c r="T29" s="101">
        <v>3793.8</v>
      </c>
      <c r="U29" s="101">
        <v>4058.1</v>
      </c>
      <c r="V29" s="96">
        <v>4198.2</v>
      </c>
      <c r="W29" s="95">
        <v>4861.3</v>
      </c>
      <c r="X29" s="101">
        <v>5108.1000000000004</v>
      </c>
      <c r="Y29" s="101">
        <v>5795.7</v>
      </c>
      <c r="Z29" s="101">
        <v>6219.7</v>
      </c>
      <c r="AA29" s="101">
        <v>6239.2</v>
      </c>
      <c r="AB29" s="96">
        <v>6401.7</v>
      </c>
      <c r="AC29" s="95">
        <v>7528.1</v>
      </c>
      <c r="AD29" s="19">
        <v>7898</v>
      </c>
      <c r="AE29" s="101">
        <v>8496.6</v>
      </c>
      <c r="AF29" s="96">
        <v>8619.4</v>
      </c>
      <c r="AG29" s="95">
        <v>10449.9</v>
      </c>
      <c r="AH29" s="101">
        <v>11265.9</v>
      </c>
      <c r="AI29" s="101">
        <v>11297.5</v>
      </c>
      <c r="AJ29" s="101">
        <v>11664.5</v>
      </c>
      <c r="AK29" s="101">
        <v>12000.2</v>
      </c>
      <c r="AL29" s="96">
        <v>12320.6</v>
      </c>
    </row>
    <row r="30" spans="1:38" ht="18.75" customHeight="1">
      <c r="A30" s="18">
        <v>27</v>
      </c>
      <c r="B30" s="12" t="s">
        <v>308</v>
      </c>
      <c r="C30" s="98">
        <v>1061.5</v>
      </c>
      <c r="D30" s="102">
        <v>1172.5</v>
      </c>
      <c r="E30" s="102">
        <v>1283.8</v>
      </c>
      <c r="F30" s="102">
        <v>1808.5</v>
      </c>
      <c r="G30" s="102">
        <v>1688.6</v>
      </c>
      <c r="H30" s="97">
        <v>1681.8</v>
      </c>
      <c r="I30" s="98">
        <v>1876.6</v>
      </c>
      <c r="J30" s="102">
        <v>1901.7</v>
      </c>
      <c r="K30" s="102">
        <v>1902.5</v>
      </c>
      <c r="L30" s="97">
        <v>1914.8</v>
      </c>
      <c r="M30" s="98">
        <v>2163.3000000000002</v>
      </c>
      <c r="N30" s="102">
        <v>2502.5</v>
      </c>
      <c r="O30" s="102">
        <v>2530.6</v>
      </c>
      <c r="P30" s="102">
        <v>2690.3</v>
      </c>
      <c r="Q30" s="102">
        <v>3013.6</v>
      </c>
      <c r="R30" s="97">
        <v>3149.1</v>
      </c>
      <c r="S30" s="98">
        <v>3742.4</v>
      </c>
      <c r="T30" s="102">
        <v>4106.1000000000004</v>
      </c>
      <c r="U30" s="102">
        <v>4458.6000000000004</v>
      </c>
      <c r="V30" s="97">
        <v>4597.3999999999996</v>
      </c>
      <c r="W30" s="98">
        <v>5375.5</v>
      </c>
      <c r="X30" s="102">
        <v>5302.1</v>
      </c>
      <c r="Y30" s="102">
        <v>5493.8</v>
      </c>
      <c r="Z30" s="102">
        <v>5886.2</v>
      </c>
      <c r="AA30" s="102">
        <v>6178.2</v>
      </c>
      <c r="AB30" s="97">
        <v>6978.4</v>
      </c>
      <c r="AC30" s="98">
        <v>7531.4</v>
      </c>
      <c r="AD30" s="102">
        <v>7636.9</v>
      </c>
      <c r="AE30" s="102">
        <v>7887.5</v>
      </c>
      <c r="AF30" s="97">
        <v>8115.2</v>
      </c>
      <c r="AG30" s="13">
        <v>9840</v>
      </c>
      <c r="AH30" s="102">
        <v>10278.200000000001</v>
      </c>
      <c r="AI30" s="102">
        <v>10419.299999999999</v>
      </c>
      <c r="AJ30" s="18">
        <v>10789</v>
      </c>
      <c r="AK30" s="18">
        <v>12026</v>
      </c>
      <c r="AL30" s="97">
        <v>12358.2</v>
      </c>
    </row>
    <row r="31" spans="1:38" ht="18.75" customHeight="1">
      <c r="A31" s="19">
        <v>28</v>
      </c>
      <c r="B31" s="14" t="s">
        <v>309</v>
      </c>
      <c r="C31" s="95">
        <v>824.6</v>
      </c>
      <c r="D31" s="101">
        <v>901.2</v>
      </c>
      <c r="E31" s="101">
        <v>992.6</v>
      </c>
      <c r="F31" s="101">
        <v>1006.7</v>
      </c>
      <c r="G31" s="101">
        <v>1055.0999999999999</v>
      </c>
      <c r="H31" s="96">
        <v>1148.5999999999999</v>
      </c>
      <c r="I31" s="95">
        <v>1295.3</v>
      </c>
      <c r="J31" s="101">
        <v>1363.1</v>
      </c>
      <c r="K31" s="101">
        <v>1592.1</v>
      </c>
      <c r="L31" s="17">
        <v>1658</v>
      </c>
      <c r="M31" s="95">
        <v>2094.1</v>
      </c>
      <c r="N31" s="101">
        <v>2553.4</v>
      </c>
      <c r="O31" s="101">
        <v>2619.6999999999998</v>
      </c>
      <c r="P31" s="101">
        <v>2818.7</v>
      </c>
      <c r="Q31" s="101">
        <v>2984.5</v>
      </c>
      <c r="R31" s="96">
        <v>3110.6</v>
      </c>
      <c r="S31" s="95">
        <v>3909.7</v>
      </c>
      <c r="T31" s="101">
        <v>4321.1000000000004</v>
      </c>
      <c r="U31" s="101">
        <v>4459.7</v>
      </c>
      <c r="V31" s="96">
        <v>4663.7</v>
      </c>
      <c r="W31" s="95">
        <v>5735.3</v>
      </c>
      <c r="X31" s="101">
        <v>5984.1</v>
      </c>
      <c r="Y31" s="101">
        <v>6492.7</v>
      </c>
      <c r="Z31" s="19">
        <v>6795</v>
      </c>
      <c r="AA31" s="101">
        <v>6858.7</v>
      </c>
      <c r="AB31" s="96">
        <v>6919.5</v>
      </c>
      <c r="AC31" s="15">
        <v>8205</v>
      </c>
      <c r="AD31" s="101">
        <v>8779.7999999999993</v>
      </c>
      <c r="AE31" s="101">
        <v>9333.7000000000007</v>
      </c>
      <c r="AF31" s="96">
        <v>9459.4</v>
      </c>
      <c r="AG31" s="95">
        <v>11527.7</v>
      </c>
      <c r="AH31" s="101">
        <v>12116.5</v>
      </c>
      <c r="AI31" s="101">
        <v>12373.2</v>
      </c>
      <c r="AJ31" s="101">
        <v>12655.3</v>
      </c>
      <c r="AK31" s="101">
        <v>13031.5</v>
      </c>
      <c r="AL31" s="96">
        <v>13243.1</v>
      </c>
    </row>
    <row r="32" spans="1:38" ht="18.75" customHeight="1">
      <c r="A32" s="18">
        <v>29</v>
      </c>
      <c r="B32" s="12" t="s">
        <v>280</v>
      </c>
      <c r="C32" s="98">
        <v>1015.2</v>
      </c>
      <c r="D32" s="102">
        <v>1061.2</v>
      </c>
      <c r="E32" s="102">
        <v>1070.9000000000001</v>
      </c>
      <c r="F32" s="102">
        <v>1080.2</v>
      </c>
      <c r="G32" s="102">
        <v>1097.3</v>
      </c>
      <c r="H32" s="97">
        <v>1125.5999999999999</v>
      </c>
      <c r="I32" s="98">
        <v>1371.5</v>
      </c>
      <c r="J32" s="102">
        <v>1432.8</v>
      </c>
      <c r="K32" s="102">
        <v>1459.2</v>
      </c>
      <c r="L32" s="97">
        <v>1493.5</v>
      </c>
      <c r="M32" s="98">
        <v>1823.6</v>
      </c>
      <c r="N32" s="102">
        <v>1992.3</v>
      </c>
      <c r="O32" s="102">
        <v>2005.8</v>
      </c>
      <c r="P32" s="102">
        <v>2035.6</v>
      </c>
      <c r="Q32" s="102">
        <v>2235.8000000000002</v>
      </c>
      <c r="R32" s="97">
        <v>2347.8000000000002</v>
      </c>
      <c r="S32" s="98">
        <v>3082.7</v>
      </c>
      <c r="T32" s="102">
        <v>3228.2</v>
      </c>
      <c r="U32" s="102">
        <v>3235.3</v>
      </c>
      <c r="V32" s="97">
        <v>3251.7</v>
      </c>
      <c r="W32" s="98">
        <v>4227.2</v>
      </c>
      <c r="X32" s="102">
        <v>4308.5</v>
      </c>
      <c r="Y32" s="102">
        <v>4578.3999999999996</v>
      </c>
      <c r="Z32" s="102">
        <v>4747.5</v>
      </c>
      <c r="AA32" s="102">
        <v>4747.5</v>
      </c>
      <c r="AB32" s="97">
        <v>4747.5</v>
      </c>
      <c r="AC32" s="98">
        <v>5867.9</v>
      </c>
      <c r="AD32" s="102">
        <v>6067.3</v>
      </c>
      <c r="AE32" s="18">
        <v>6224</v>
      </c>
      <c r="AF32" s="97">
        <v>6385.4</v>
      </c>
      <c r="AG32" s="98">
        <v>7949.8</v>
      </c>
      <c r="AH32" s="102">
        <v>8262.7000000000007</v>
      </c>
      <c r="AI32" s="102">
        <v>8275.5</v>
      </c>
      <c r="AJ32" s="102">
        <v>8620.2999999999993</v>
      </c>
      <c r="AK32" s="102">
        <v>8696.9</v>
      </c>
      <c r="AL32" s="97">
        <v>8773.5</v>
      </c>
    </row>
    <row r="33" spans="1:38" ht="18.75" customHeight="1">
      <c r="A33" s="14" t="s">
        <v>310</v>
      </c>
      <c r="B33" s="61"/>
      <c r="C33" s="95">
        <v>823.2</v>
      </c>
      <c r="D33" s="101">
        <v>918.5</v>
      </c>
      <c r="E33" s="101">
        <v>1054.8</v>
      </c>
      <c r="F33" s="101">
        <v>1088.3</v>
      </c>
      <c r="G33" s="101">
        <v>1089.9000000000001</v>
      </c>
      <c r="H33" s="96">
        <v>1105.5</v>
      </c>
      <c r="I33" s="95">
        <v>1294.3</v>
      </c>
      <c r="J33" s="101">
        <v>1272.8</v>
      </c>
      <c r="K33" s="101">
        <v>1327.5</v>
      </c>
      <c r="L33" s="96">
        <v>1521.5</v>
      </c>
      <c r="M33" s="95">
        <v>1770.9</v>
      </c>
      <c r="N33" s="101">
        <v>2276.5</v>
      </c>
      <c r="O33" s="101">
        <v>2425.8000000000002</v>
      </c>
      <c r="P33" s="101">
        <v>2553.3000000000002</v>
      </c>
      <c r="Q33" s="101">
        <v>2801.6</v>
      </c>
      <c r="R33" s="96">
        <v>2977.6</v>
      </c>
      <c r="S33" s="95">
        <v>3538.3</v>
      </c>
      <c r="T33" s="101">
        <v>3968.8</v>
      </c>
      <c r="U33" s="101">
        <v>3959.9</v>
      </c>
      <c r="V33" s="96">
        <v>3936.3</v>
      </c>
      <c r="W33" s="95">
        <v>4600.8999999999996</v>
      </c>
      <c r="X33" s="101">
        <v>4515.8</v>
      </c>
      <c r="Y33" s="101">
        <v>4705.8999999999996</v>
      </c>
      <c r="Z33" s="101">
        <v>5297.4</v>
      </c>
      <c r="AA33" s="101">
        <v>5625.9</v>
      </c>
      <c r="AB33" s="96">
        <v>6197.6</v>
      </c>
      <c r="AC33" s="95">
        <v>6608.7</v>
      </c>
      <c r="AD33" s="101">
        <v>6535.8</v>
      </c>
      <c r="AE33" s="101">
        <v>6665.9</v>
      </c>
      <c r="AF33" s="96">
        <v>6970.7</v>
      </c>
      <c r="AG33" s="95">
        <v>7917.3</v>
      </c>
      <c r="AH33" s="19">
        <v>8239</v>
      </c>
      <c r="AI33" s="101">
        <v>8463.5</v>
      </c>
      <c r="AJ33" s="101">
        <v>8913.6</v>
      </c>
      <c r="AK33" s="101">
        <v>9278.5</v>
      </c>
      <c r="AL33" s="96">
        <v>9744.7000000000007</v>
      </c>
    </row>
  </sheetData>
  <mergeCells count="7">
    <mergeCell ref="M2:R2"/>
    <mergeCell ref="C2:H2"/>
    <mergeCell ref="AG2:AL2"/>
    <mergeCell ref="S2:V2"/>
    <mergeCell ref="I2:L2"/>
    <mergeCell ref="AC2:AF2"/>
    <mergeCell ref="W2:AB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47"/>
  <sheetViews>
    <sheetView showGridLines="0" rightToLeft="1" zoomScaleNormal="100" workbookViewId="0">
      <pane ySplit="3" topLeftCell="A4" activePane="bottomLeft" state="frozen"/>
      <selection pane="bottomLeft" activeCell="B1" sqref="B1"/>
    </sheetView>
  </sheetViews>
  <sheetFormatPr defaultColWidth="8.625" defaultRowHeight="14.25" customHeight="1"/>
  <cols>
    <col min="1" max="1" width="10.375" bestFit="1" customWidth="1"/>
    <col min="2" max="2" width="25.125" bestFit="1" customWidth="1"/>
    <col min="3" max="25" width="5.625" bestFit="1" customWidth="1"/>
    <col min="26" max="38" width="6.5" bestFit="1" customWidth="1"/>
  </cols>
  <sheetData>
    <row r="1" spans="1:38" ht="6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</row>
    <row r="2" spans="1:38" ht="27.75" customHeight="1">
      <c r="A2" s="10" t="s">
        <v>72</v>
      </c>
      <c r="B2" s="10" t="s">
        <v>228</v>
      </c>
      <c r="C2" s="141">
        <v>1397</v>
      </c>
      <c r="D2" s="139"/>
      <c r="E2" s="139"/>
      <c r="F2" s="139"/>
      <c r="G2" s="139"/>
      <c r="H2" s="140"/>
      <c r="I2" s="141">
        <v>1398</v>
      </c>
      <c r="J2" s="139"/>
      <c r="K2" s="139"/>
      <c r="L2" s="140"/>
      <c r="M2" s="141">
        <v>1399</v>
      </c>
      <c r="N2" s="139"/>
      <c r="O2" s="139"/>
      <c r="P2" s="139"/>
      <c r="Q2" s="139"/>
      <c r="R2" s="140"/>
      <c r="S2" s="141">
        <v>1400</v>
      </c>
      <c r="T2" s="139"/>
      <c r="U2" s="139"/>
      <c r="V2" s="140"/>
      <c r="W2" s="141">
        <v>1401</v>
      </c>
      <c r="X2" s="139"/>
      <c r="Y2" s="139"/>
      <c r="Z2" s="139"/>
      <c r="AA2" s="139"/>
      <c r="AB2" s="140"/>
      <c r="AC2" s="141">
        <v>1402</v>
      </c>
      <c r="AD2" s="139"/>
      <c r="AE2" s="139"/>
      <c r="AF2" s="140"/>
      <c r="AG2" s="141">
        <v>1403</v>
      </c>
      <c r="AH2" s="139"/>
      <c r="AI2" s="139"/>
      <c r="AJ2" s="139"/>
      <c r="AK2" s="139"/>
      <c r="AL2" s="140"/>
    </row>
    <row r="3" spans="1:38" ht="24" customHeight="1">
      <c r="A3" s="11"/>
      <c r="B3" s="11"/>
      <c r="C3" s="54" t="s">
        <v>244</v>
      </c>
      <c r="D3" s="55" t="s">
        <v>230</v>
      </c>
      <c r="E3" s="55" t="s">
        <v>231</v>
      </c>
      <c r="F3" s="55" t="s">
        <v>232</v>
      </c>
      <c r="G3" s="55" t="s">
        <v>245</v>
      </c>
      <c r="H3" s="56" t="s">
        <v>246</v>
      </c>
      <c r="I3" s="54" t="s">
        <v>244</v>
      </c>
      <c r="J3" s="55" t="s">
        <v>247</v>
      </c>
      <c r="K3" s="55" t="s">
        <v>245</v>
      </c>
      <c r="L3" s="56" t="s">
        <v>246</v>
      </c>
      <c r="M3" s="54" t="s">
        <v>244</v>
      </c>
      <c r="N3" s="55" t="s">
        <v>230</v>
      </c>
      <c r="O3" s="55" t="s">
        <v>231</v>
      </c>
      <c r="P3" s="55" t="s">
        <v>232</v>
      </c>
      <c r="Q3" s="55" t="s">
        <v>245</v>
      </c>
      <c r="R3" s="56" t="s">
        <v>246</v>
      </c>
      <c r="S3" s="54" t="s">
        <v>244</v>
      </c>
      <c r="T3" s="55" t="s">
        <v>247</v>
      </c>
      <c r="U3" s="55" t="s">
        <v>245</v>
      </c>
      <c r="V3" s="56" t="s">
        <v>246</v>
      </c>
      <c r="W3" s="54" t="s">
        <v>244</v>
      </c>
      <c r="X3" s="55" t="s">
        <v>247</v>
      </c>
      <c r="Y3" s="55" t="s">
        <v>245</v>
      </c>
      <c r="Z3" s="55" t="s">
        <v>236</v>
      </c>
      <c r="AA3" s="55" t="s">
        <v>237</v>
      </c>
      <c r="AB3" s="56" t="s">
        <v>238</v>
      </c>
      <c r="AC3" s="54" t="s">
        <v>244</v>
      </c>
      <c r="AD3" s="55" t="s">
        <v>247</v>
      </c>
      <c r="AE3" s="55" t="s">
        <v>245</v>
      </c>
      <c r="AF3" s="56" t="s">
        <v>246</v>
      </c>
      <c r="AG3" s="54" t="s">
        <v>244</v>
      </c>
      <c r="AH3" s="55" t="s">
        <v>247</v>
      </c>
      <c r="AI3" s="55" t="s">
        <v>245</v>
      </c>
      <c r="AJ3" s="55" t="s">
        <v>236</v>
      </c>
      <c r="AK3" s="55" t="s">
        <v>237</v>
      </c>
      <c r="AL3" s="56" t="s">
        <v>238</v>
      </c>
    </row>
    <row r="4" spans="1:38" ht="18.75" customHeight="1">
      <c r="A4" s="18">
        <v>1</v>
      </c>
      <c r="B4" s="12" t="s">
        <v>311</v>
      </c>
      <c r="C4" s="98">
        <v>733.7</v>
      </c>
      <c r="D4" s="102">
        <v>760.6</v>
      </c>
      <c r="E4" s="102">
        <v>887.1</v>
      </c>
      <c r="F4" s="102">
        <v>924.4</v>
      </c>
      <c r="G4" s="102">
        <v>936.9</v>
      </c>
      <c r="H4" s="97">
        <v>992.5</v>
      </c>
      <c r="I4" s="98">
        <v>1082.5</v>
      </c>
      <c r="J4" s="102">
        <v>1150.0999999999999</v>
      </c>
      <c r="K4" s="18">
        <v>1163</v>
      </c>
      <c r="L4" s="97">
        <v>1192.3</v>
      </c>
      <c r="M4" s="98">
        <v>1400.6</v>
      </c>
      <c r="N4" s="102">
        <v>1604.3</v>
      </c>
      <c r="O4" s="102">
        <v>1668.2</v>
      </c>
      <c r="P4" s="102">
        <v>1849.3</v>
      </c>
      <c r="Q4" s="18">
        <v>1998</v>
      </c>
      <c r="R4" s="97">
        <v>2108.9</v>
      </c>
      <c r="S4" s="98">
        <v>2392.6999999999998</v>
      </c>
      <c r="T4" s="18">
        <v>2505</v>
      </c>
      <c r="U4" s="102">
        <v>2526.8000000000002</v>
      </c>
      <c r="V4" s="97">
        <v>2607.9</v>
      </c>
      <c r="W4" s="98">
        <v>2812.4</v>
      </c>
      <c r="X4" s="102">
        <v>2951.3</v>
      </c>
      <c r="Y4" s="102">
        <v>3292.7</v>
      </c>
      <c r="Z4" s="102">
        <v>3546.4</v>
      </c>
      <c r="AA4" s="102">
        <v>3781.8</v>
      </c>
      <c r="AB4" s="97">
        <v>4017.1</v>
      </c>
      <c r="AC4" s="98">
        <v>4336.3</v>
      </c>
      <c r="AD4" s="102">
        <v>4356.5</v>
      </c>
      <c r="AE4" s="102">
        <v>4571.7</v>
      </c>
      <c r="AF4" s="97">
        <v>4582.8</v>
      </c>
      <c r="AG4" s="98">
        <v>5125.3999999999996</v>
      </c>
      <c r="AH4" s="18">
        <v>5153</v>
      </c>
      <c r="AI4" s="102">
        <v>5627.7</v>
      </c>
      <c r="AJ4" s="102">
        <v>6114.8</v>
      </c>
      <c r="AK4" s="102">
        <v>6125.4</v>
      </c>
      <c r="AL4" s="97">
        <v>6644.9</v>
      </c>
    </row>
    <row r="5" spans="1:38" ht="18.75" customHeight="1">
      <c r="A5" s="19">
        <v>2</v>
      </c>
      <c r="B5" s="14" t="s">
        <v>312</v>
      </c>
      <c r="C5" s="95">
        <v>948.3</v>
      </c>
      <c r="D5" s="101">
        <v>984.1</v>
      </c>
      <c r="E5" s="101">
        <v>1104.4000000000001</v>
      </c>
      <c r="F5" s="101">
        <v>1140.9000000000001</v>
      </c>
      <c r="G5" s="101">
        <v>1156.9000000000001</v>
      </c>
      <c r="H5" s="96">
        <v>1214.8</v>
      </c>
      <c r="I5" s="95">
        <v>1366.1</v>
      </c>
      <c r="J5" s="101">
        <v>1462.2</v>
      </c>
      <c r="K5" s="101">
        <v>1467.1</v>
      </c>
      <c r="L5" s="96">
        <v>1491.6</v>
      </c>
      <c r="M5" s="95">
        <v>1731.9</v>
      </c>
      <c r="N5" s="101">
        <v>2002.5</v>
      </c>
      <c r="O5" s="101">
        <v>2159.5</v>
      </c>
      <c r="P5" s="101">
        <v>2338.4</v>
      </c>
      <c r="Q5" s="101">
        <v>2394.3000000000002</v>
      </c>
      <c r="R5" s="17">
        <v>2566</v>
      </c>
      <c r="S5" s="95">
        <v>2995.4</v>
      </c>
      <c r="T5" s="101">
        <v>3132.9</v>
      </c>
      <c r="U5" s="101">
        <v>3153.4</v>
      </c>
      <c r="V5" s="96">
        <v>3232.1</v>
      </c>
      <c r="W5" s="95">
        <v>3630.9</v>
      </c>
      <c r="X5" s="101">
        <v>3729.3</v>
      </c>
      <c r="Y5" s="101">
        <v>4188.3</v>
      </c>
      <c r="Z5" s="101">
        <v>4468.8</v>
      </c>
      <c r="AA5" s="101">
        <v>4695.8</v>
      </c>
      <c r="AB5" s="96">
        <v>4908.3</v>
      </c>
      <c r="AC5" s="15">
        <v>5461</v>
      </c>
      <c r="AD5" s="101">
        <v>5516.7</v>
      </c>
      <c r="AE5" s="101">
        <v>5669.3</v>
      </c>
      <c r="AF5" s="96">
        <v>5713.6</v>
      </c>
      <c r="AG5" s="95">
        <v>6525.5</v>
      </c>
      <c r="AH5" s="101">
        <v>6614.7</v>
      </c>
      <c r="AI5" s="101">
        <v>7036.6</v>
      </c>
      <c r="AJ5" s="101">
        <v>7615.9</v>
      </c>
      <c r="AK5" s="101">
        <v>7636.4</v>
      </c>
      <c r="AL5" s="17">
        <v>8325</v>
      </c>
    </row>
    <row r="6" spans="1:38" ht="18.75" customHeight="1">
      <c r="A6" s="18">
        <v>3</v>
      </c>
      <c r="B6" s="12" t="s">
        <v>313</v>
      </c>
      <c r="C6" s="98">
        <v>849.3</v>
      </c>
      <c r="D6" s="102">
        <v>934.2</v>
      </c>
      <c r="E6" s="102">
        <v>1044.8</v>
      </c>
      <c r="F6" s="18">
        <v>1091</v>
      </c>
      <c r="G6" s="102">
        <v>1162.5999999999999</v>
      </c>
      <c r="H6" s="97">
        <v>1280.8</v>
      </c>
      <c r="I6" s="98">
        <v>1376.6</v>
      </c>
      <c r="J6" s="102">
        <v>1486.7</v>
      </c>
      <c r="K6" s="102">
        <v>1490.6</v>
      </c>
      <c r="L6" s="97">
        <v>1516.5</v>
      </c>
      <c r="M6" s="98">
        <v>1753.4</v>
      </c>
      <c r="N6" s="102">
        <v>1965.9</v>
      </c>
      <c r="O6" s="102">
        <v>2044.2</v>
      </c>
      <c r="P6" s="102">
        <v>2304.9</v>
      </c>
      <c r="Q6" s="102">
        <v>2544.1999999999998</v>
      </c>
      <c r="R6" s="97">
        <v>2335.1999999999998</v>
      </c>
      <c r="S6" s="98">
        <v>2702.7</v>
      </c>
      <c r="T6" s="102">
        <v>2826.5</v>
      </c>
      <c r="U6" s="102">
        <v>2828.7</v>
      </c>
      <c r="V6" s="97">
        <v>2977.4</v>
      </c>
      <c r="W6" s="98">
        <v>3208.4</v>
      </c>
      <c r="X6" s="102">
        <v>3377.1</v>
      </c>
      <c r="Y6" s="102">
        <v>3766.6</v>
      </c>
      <c r="Z6" s="102">
        <v>4055.2</v>
      </c>
      <c r="AA6" s="102">
        <v>4317.1000000000004</v>
      </c>
      <c r="AB6" s="97">
        <v>4585.6000000000004</v>
      </c>
      <c r="AC6" s="98">
        <v>5155.7</v>
      </c>
      <c r="AD6" s="102">
        <v>5184.8</v>
      </c>
      <c r="AE6" s="102">
        <v>5368.5</v>
      </c>
      <c r="AF6" s="97">
        <v>5385.2</v>
      </c>
      <c r="AG6" s="98">
        <v>6001.3</v>
      </c>
      <c r="AH6" s="102">
        <v>6038.8</v>
      </c>
      <c r="AI6" s="102">
        <v>6572.9</v>
      </c>
      <c r="AJ6" s="102">
        <v>7116.3</v>
      </c>
      <c r="AK6" s="102">
        <v>7128.1</v>
      </c>
      <c r="AL6" s="97">
        <v>7981.6</v>
      </c>
    </row>
    <row r="7" spans="1:38" ht="18.75" customHeight="1">
      <c r="A7" s="19">
        <v>4</v>
      </c>
      <c r="B7" s="14" t="s">
        <v>314</v>
      </c>
      <c r="C7" s="95">
        <v>862.2</v>
      </c>
      <c r="D7" s="101">
        <v>943.7</v>
      </c>
      <c r="E7" s="19">
        <v>1008</v>
      </c>
      <c r="F7" s="101">
        <v>1076.5999999999999</v>
      </c>
      <c r="G7" s="101">
        <v>1091.0999999999999</v>
      </c>
      <c r="H7" s="96">
        <v>1157.7</v>
      </c>
      <c r="I7" s="95">
        <v>1254.4000000000001</v>
      </c>
      <c r="J7" s="101">
        <v>1324.5</v>
      </c>
      <c r="K7" s="101">
        <v>1334.6</v>
      </c>
      <c r="L7" s="96">
        <v>1372.9</v>
      </c>
      <c r="M7" s="95">
        <v>1554.9</v>
      </c>
      <c r="N7" s="101">
        <v>1748.3</v>
      </c>
      <c r="O7" s="101">
        <v>1857.3</v>
      </c>
      <c r="P7" s="101">
        <v>2077.1</v>
      </c>
      <c r="Q7" s="101">
        <v>2040.1</v>
      </c>
      <c r="R7" s="96">
        <v>2050.8000000000002</v>
      </c>
      <c r="S7" s="95">
        <v>2373.8000000000002</v>
      </c>
      <c r="T7" s="101">
        <v>2496.3000000000002</v>
      </c>
      <c r="U7" s="101">
        <v>2502.1999999999998</v>
      </c>
      <c r="V7" s="96">
        <v>2635.2</v>
      </c>
      <c r="W7" s="95">
        <v>2859.6</v>
      </c>
      <c r="X7" s="101">
        <v>3028.9</v>
      </c>
      <c r="Y7" s="101">
        <v>3361.4</v>
      </c>
      <c r="Z7" s="101">
        <v>3620.2</v>
      </c>
      <c r="AA7" s="101">
        <v>3781.7</v>
      </c>
      <c r="AB7" s="96">
        <v>4035.2</v>
      </c>
      <c r="AC7" s="95">
        <v>4448.8999999999996</v>
      </c>
      <c r="AD7" s="101">
        <v>4494.3</v>
      </c>
      <c r="AE7" s="101">
        <v>4646.8999999999996</v>
      </c>
      <c r="AF7" s="96">
        <v>4674.7</v>
      </c>
      <c r="AG7" s="95">
        <v>5280.4</v>
      </c>
      <c r="AH7" s="101">
        <v>5341.5</v>
      </c>
      <c r="AI7" s="101">
        <v>5761.3</v>
      </c>
      <c r="AJ7" s="19">
        <v>6248</v>
      </c>
      <c r="AK7" s="101">
        <v>6269.5</v>
      </c>
      <c r="AL7" s="96">
        <v>6731.1</v>
      </c>
    </row>
    <row r="8" spans="1:38" ht="18.75" customHeight="1">
      <c r="A8" s="18">
        <v>5</v>
      </c>
      <c r="B8" s="12" t="s">
        <v>315</v>
      </c>
      <c r="C8" s="98">
        <v>886.3</v>
      </c>
      <c r="D8" s="102">
        <v>965.4</v>
      </c>
      <c r="E8" s="102">
        <v>1042.5</v>
      </c>
      <c r="F8" s="102">
        <v>1118.5</v>
      </c>
      <c r="G8" s="102">
        <v>1201.4000000000001</v>
      </c>
      <c r="H8" s="97">
        <v>1329.5</v>
      </c>
      <c r="I8" s="13">
        <v>1444</v>
      </c>
      <c r="J8" s="102">
        <v>1548.5</v>
      </c>
      <c r="K8" s="102">
        <v>1552.9</v>
      </c>
      <c r="L8" s="97">
        <v>1593.4</v>
      </c>
      <c r="M8" s="98">
        <v>1781.4</v>
      </c>
      <c r="N8" s="102">
        <v>2056.3000000000002</v>
      </c>
      <c r="O8" s="102">
        <v>2159.4</v>
      </c>
      <c r="P8" s="102">
        <v>2524.9</v>
      </c>
      <c r="Q8" s="102">
        <v>2452.1</v>
      </c>
      <c r="R8" s="97">
        <v>2513.3000000000002</v>
      </c>
      <c r="S8" s="98">
        <v>2866.3</v>
      </c>
      <c r="T8" s="102">
        <v>2976.8</v>
      </c>
      <c r="U8" s="102">
        <v>3143.7</v>
      </c>
      <c r="V8" s="97">
        <v>3219.6</v>
      </c>
      <c r="W8" s="98">
        <v>3492.2</v>
      </c>
      <c r="X8" s="102">
        <v>3718.3</v>
      </c>
      <c r="Y8" s="102">
        <v>4055.4</v>
      </c>
      <c r="Z8" s="102">
        <v>4371.3</v>
      </c>
      <c r="AA8" s="18">
        <v>4580</v>
      </c>
      <c r="AB8" s="97">
        <v>4967.2</v>
      </c>
      <c r="AC8" s="98">
        <v>5684.4</v>
      </c>
      <c r="AD8" s="18">
        <v>5705</v>
      </c>
      <c r="AE8" s="102">
        <v>5588.5</v>
      </c>
      <c r="AF8" s="97">
        <v>5599.9</v>
      </c>
      <c r="AG8" s="98">
        <v>6323.5</v>
      </c>
      <c r="AH8" s="18">
        <v>6351</v>
      </c>
      <c r="AI8" s="102">
        <v>6765.4</v>
      </c>
      <c r="AJ8" s="102">
        <v>7504.5</v>
      </c>
      <c r="AK8" s="102">
        <v>7515.2</v>
      </c>
      <c r="AL8" s="97">
        <v>8291.2000000000007</v>
      </c>
    </row>
    <row r="9" spans="1:38" ht="18.75" customHeight="1">
      <c r="A9" s="19">
        <v>6</v>
      </c>
      <c r="B9" s="14" t="s">
        <v>316</v>
      </c>
      <c r="C9" s="95">
        <v>1388.9</v>
      </c>
      <c r="D9" s="101">
        <v>1424.9</v>
      </c>
      <c r="E9" s="101">
        <v>1656.3</v>
      </c>
      <c r="F9" s="101">
        <v>1882.5</v>
      </c>
      <c r="G9" s="19">
        <v>1806</v>
      </c>
      <c r="H9" s="96">
        <v>1633.4</v>
      </c>
      <c r="I9" s="95">
        <v>2102.1999999999998</v>
      </c>
      <c r="J9" s="101">
        <v>2084.1999999999998</v>
      </c>
      <c r="K9" s="101">
        <v>2066.3000000000002</v>
      </c>
      <c r="L9" s="96">
        <v>2142.6</v>
      </c>
      <c r="M9" s="95">
        <v>2417.8000000000002</v>
      </c>
      <c r="N9" s="19">
        <v>2997</v>
      </c>
      <c r="O9" s="101">
        <v>3231.6</v>
      </c>
      <c r="P9" s="101">
        <v>3529.2</v>
      </c>
      <c r="Q9" s="101">
        <v>3991.8</v>
      </c>
      <c r="R9" s="96">
        <v>4526.2</v>
      </c>
      <c r="S9" s="95">
        <v>4946.8999999999996</v>
      </c>
      <c r="T9" s="101">
        <v>4956.8</v>
      </c>
      <c r="U9" s="101">
        <v>5485.9</v>
      </c>
      <c r="V9" s="96">
        <v>5714.1</v>
      </c>
      <c r="W9" s="95">
        <v>6135.1</v>
      </c>
      <c r="X9" s="101">
        <v>6150.6</v>
      </c>
      <c r="Y9" s="101">
        <v>6752.8</v>
      </c>
      <c r="Z9" s="101">
        <v>7161.1</v>
      </c>
      <c r="AA9" s="19">
        <v>8384</v>
      </c>
      <c r="AB9" s="96">
        <v>8749.2000000000007</v>
      </c>
      <c r="AC9" s="95">
        <v>9033.4</v>
      </c>
      <c r="AD9" s="101">
        <v>9006.2999999999993</v>
      </c>
      <c r="AE9" s="101">
        <v>9382.7000000000007</v>
      </c>
      <c r="AF9" s="96">
        <v>10038.200000000001</v>
      </c>
      <c r="AG9" s="95">
        <v>11925.1</v>
      </c>
      <c r="AH9" s="101">
        <v>12028.3</v>
      </c>
      <c r="AI9" s="101">
        <v>12657.6</v>
      </c>
      <c r="AJ9" s="101">
        <v>14259.7</v>
      </c>
      <c r="AK9" s="101">
        <v>14282.4</v>
      </c>
      <c r="AL9" s="96">
        <v>15445.1</v>
      </c>
    </row>
    <row r="10" spans="1:38" ht="18.75" customHeight="1">
      <c r="A10" s="18">
        <v>7</v>
      </c>
      <c r="B10" s="12" t="s">
        <v>317</v>
      </c>
      <c r="C10" s="98">
        <v>1459.9</v>
      </c>
      <c r="D10" s="18">
        <v>1819</v>
      </c>
      <c r="E10" s="102">
        <v>1839.8</v>
      </c>
      <c r="F10" s="102">
        <v>2206.6999999999998</v>
      </c>
      <c r="G10" s="18">
        <v>2313</v>
      </c>
      <c r="H10" s="97">
        <v>2058.6</v>
      </c>
      <c r="I10" s="13">
        <v>2568</v>
      </c>
      <c r="J10" s="102">
        <v>2504.6</v>
      </c>
      <c r="K10" s="102">
        <v>2480.9</v>
      </c>
      <c r="L10" s="97">
        <v>2590.8000000000002</v>
      </c>
      <c r="M10" s="98">
        <v>2853.4</v>
      </c>
      <c r="N10" s="102">
        <v>3690.8</v>
      </c>
      <c r="O10" s="102">
        <v>4041.5</v>
      </c>
      <c r="P10" s="102">
        <v>4545.5</v>
      </c>
      <c r="Q10" s="102">
        <v>6138.6</v>
      </c>
      <c r="R10" s="16">
        <v>6841</v>
      </c>
      <c r="S10" s="13">
        <v>7216</v>
      </c>
      <c r="T10" s="18">
        <v>7227</v>
      </c>
      <c r="U10" s="102">
        <v>7898.9</v>
      </c>
      <c r="V10" s="97">
        <v>8505.4</v>
      </c>
      <c r="W10" s="98">
        <v>8719.7000000000007</v>
      </c>
      <c r="X10" s="102">
        <v>8773.4</v>
      </c>
      <c r="Y10" s="102">
        <v>9868.4</v>
      </c>
      <c r="Z10" s="102">
        <v>10109.9</v>
      </c>
      <c r="AA10" s="102">
        <v>12372.6</v>
      </c>
      <c r="AB10" s="97">
        <v>12481.5</v>
      </c>
      <c r="AC10" s="98">
        <v>12297.7</v>
      </c>
      <c r="AD10" s="102">
        <v>12145.4</v>
      </c>
      <c r="AE10" s="102">
        <v>12811.7</v>
      </c>
      <c r="AF10" s="16">
        <v>13798</v>
      </c>
      <c r="AG10" s="98">
        <v>16391.8</v>
      </c>
      <c r="AH10" s="18">
        <v>16412</v>
      </c>
      <c r="AI10" s="102">
        <v>17094.599999999999</v>
      </c>
      <c r="AJ10" s="18">
        <v>19595</v>
      </c>
      <c r="AK10" s="102">
        <v>19652.599999999999</v>
      </c>
      <c r="AL10" s="97">
        <v>21302.400000000001</v>
      </c>
    </row>
    <row r="11" spans="1:38" ht="18.75" customHeight="1">
      <c r="A11" s="19">
        <v>8</v>
      </c>
      <c r="B11" s="14" t="s">
        <v>318</v>
      </c>
      <c r="C11" s="95">
        <v>1202.8</v>
      </c>
      <c r="D11" s="101">
        <v>1286.3</v>
      </c>
      <c r="E11" s="101">
        <v>1347.1</v>
      </c>
      <c r="F11" s="101">
        <v>1438.2</v>
      </c>
      <c r="G11" s="101">
        <v>1409.7</v>
      </c>
      <c r="H11" s="96">
        <v>1428.3</v>
      </c>
      <c r="I11" s="95">
        <v>1817.6</v>
      </c>
      <c r="J11" s="101">
        <v>1865.2</v>
      </c>
      <c r="K11" s="101">
        <v>1812.1</v>
      </c>
      <c r="L11" s="96">
        <v>1876.5</v>
      </c>
      <c r="M11" s="95">
        <v>2268.6999999999998</v>
      </c>
      <c r="N11" s="101">
        <v>2525.6999999999998</v>
      </c>
      <c r="O11" s="101">
        <v>2613.4</v>
      </c>
      <c r="P11" s="19">
        <v>2690</v>
      </c>
      <c r="Q11" s="101">
        <v>3255.2</v>
      </c>
      <c r="R11" s="96">
        <v>3385.8</v>
      </c>
      <c r="S11" s="95">
        <v>4025.1</v>
      </c>
      <c r="T11" s="101">
        <v>4155.6000000000004</v>
      </c>
      <c r="U11" s="101">
        <v>4413.8999999999996</v>
      </c>
      <c r="V11" s="96">
        <v>4485.1000000000004</v>
      </c>
      <c r="W11" s="95">
        <v>5416.2</v>
      </c>
      <c r="X11" s="101">
        <v>5489.7</v>
      </c>
      <c r="Y11" s="101">
        <v>5784.8</v>
      </c>
      <c r="Z11" s="101">
        <v>6110.5</v>
      </c>
      <c r="AA11" s="19">
        <v>6249</v>
      </c>
      <c r="AB11" s="96">
        <v>6441.7</v>
      </c>
      <c r="AC11" s="95">
        <v>7276.3</v>
      </c>
      <c r="AD11" s="19">
        <v>7396</v>
      </c>
      <c r="AE11" s="101">
        <v>8010.9</v>
      </c>
      <c r="AF11" s="96">
        <v>8347.6</v>
      </c>
      <c r="AG11" s="95">
        <v>10636.8</v>
      </c>
      <c r="AH11" s="19">
        <v>10716</v>
      </c>
      <c r="AI11" s="101">
        <v>10824.8</v>
      </c>
      <c r="AJ11" s="101">
        <v>11571.9</v>
      </c>
      <c r="AK11" s="101">
        <v>11766.4</v>
      </c>
      <c r="AL11" s="96">
        <v>12292.7</v>
      </c>
    </row>
    <row r="12" spans="1:38" ht="18.75" customHeight="1">
      <c r="A12" s="18">
        <v>9</v>
      </c>
      <c r="B12" s="12" t="s">
        <v>319</v>
      </c>
      <c r="C12" s="98">
        <v>1187.2</v>
      </c>
      <c r="D12" s="102">
        <v>1232.2</v>
      </c>
      <c r="E12" s="102">
        <v>1349.7</v>
      </c>
      <c r="F12" s="102">
        <v>1582.5</v>
      </c>
      <c r="G12" s="102">
        <v>1498.6</v>
      </c>
      <c r="H12" s="97">
        <v>1338.7</v>
      </c>
      <c r="I12" s="98">
        <v>1614.9</v>
      </c>
      <c r="J12" s="102">
        <v>1569.3</v>
      </c>
      <c r="K12" s="102">
        <v>1597.6</v>
      </c>
      <c r="L12" s="97">
        <v>1734.5</v>
      </c>
      <c r="M12" s="98">
        <v>1868.3</v>
      </c>
      <c r="N12" s="102">
        <v>2425.6</v>
      </c>
      <c r="O12" s="102">
        <v>2708.1</v>
      </c>
      <c r="P12" s="102">
        <v>2923.7</v>
      </c>
      <c r="Q12" s="102">
        <v>3573.9</v>
      </c>
      <c r="R12" s="97">
        <v>3872.4</v>
      </c>
      <c r="S12" s="98">
        <v>4160.1000000000004</v>
      </c>
      <c r="T12" s="102">
        <v>4363.2</v>
      </c>
      <c r="U12" s="102">
        <v>4724.5</v>
      </c>
      <c r="V12" s="97">
        <v>4835.6000000000004</v>
      </c>
      <c r="W12" s="98">
        <v>5165.3</v>
      </c>
      <c r="X12" s="102">
        <v>5031.3</v>
      </c>
      <c r="Y12" s="102">
        <v>5541.6</v>
      </c>
      <c r="Z12" s="102">
        <v>6424.4</v>
      </c>
      <c r="AA12" s="102">
        <v>7597.9</v>
      </c>
      <c r="AB12" s="97">
        <v>8049.3</v>
      </c>
      <c r="AC12" s="98">
        <v>8083.7</v>
      </c>
      <c r="AD12" s="102">
        <v>8104.6</v>
      </c>
      <c r="AE12" s="102">
        <v>8881.1</v>
      </c>
      <c r="AF12" s="16">
        <v>9580</v>
      </c>
      <c r="AG12" s="98">
        <v>11826.9</v>
      </c>
      <c r="AH12" s="102">
        <v>12042.9</v>
      </c>
      <c r="AI12" s="102">
        <v>12043.6</v>
      </c>
      <c r="AJ12" s="18">
        <v>13645</v>
      </c>
      <c r="AK12" s="18">
        <v>14279</v>
      </c>
      <c r="AL12" s="97">
        <v>15181.1</v>
      </c>
    </row>
    <row r="13" spans="1:38" ht="18.75" customHeight="1">
      <c r="A13" s="19">
        <v>10</v>
      </c>
      <c r="B13" s="14" t="s">
        <v>320</v>
      </c>
      <c r="C13" s="95">
        <v>606.4</v>
      </c>
      <c r="D13" s="101">
        <v>686.7</v>
      </c>
      <c r="E13" s="101">
        <v>784.5</v>
      </c>
      <c r="F13" s="101">
        <v>913.7</v>
      </c>
      <c r="G13" s="101">
        <v>909.8</v>
      </c>
      <c r="H13" s="96">
        <v>917.1</v>
      </c>
      <c r="I13" s="95">
        <v>1204.7</v>
      </c>
      <c r="J13" s="101">
        <v>1225.0999999999999</v>
      </c>
      <c r="K13" s="101">
        <v>1113.9000000000001</v>
      </c>
      <c r="L13" s="96">
        <v>1122.4000000000001</v>
      </c>
      <c r="M13" s="95">
        <v>1340.4</v>
      </c>
      <c r="N13" s="101">
        <v>1518.5</v>
      </c>
      <c r="O13" s="101">
        <v>1596.5</v>
      </c>
      <c r="P13" s="101">
        <v>1660.3</v>
      </c>
      <c r="Q13" s="101">
        <v>1549.2</v>
      </c>
      <c r="R13" s="96">
        <v>1596.7</v>
      </c>
      <c r="S13" s="95">
        <v>1875.7</v>
      </c>
      <c r="T13" s="101">
        <v>1927.5</v>
      </c>
      <c r="U13" s="101">
        <v>2063.4</v>
      </c>
      <c r="V13" s="96">
        <v>2097.6999999999998</v>
      </c>
      <c r="W13" s="95">
        <v>2615.9</v>
      </c>
      <c r="X13" s="101">
        <v>2708.3</v>
      </c>
      <c r="Y13" s="101">
        <v>2720.9</v>
      </c>
      <c r="Z13" s="101">
        <v>2842.6</v>
      </c>
      <c r="AA13" s="101">
        <v>2862.4</v>
      </c>
      <c r="AB13" s="96">
        <v>3056.3</v>
      </c>
      <c r="AC13" s="15">
        <v>3588</v>
      </c>
      <c r="AD13" s="101">
        <v>3642.7</v>
      </c>
      <c r="AE13" s="101">
        <v>3885.4</v>
      </c>
      <c r="AF13" s="96">
        <v>3940.4</v>
      </c>
      <c r="AG13" s="95">
        <v>4676.3999999999996</v>
      </c>
      <c r="AH13" s="101">
        <v>4909.8999999999996</v>
      </c>
      <c r="AI13" s="101">
        <v>5035.8</v>
      </c>
      <c r="AJ13" s="101">
        <v>5513.3</v>
      </c>
      <c r="AK13" s="101">
        <v>5608.9</v>
      </c>
      <c r="AL13" s="96">
        <v>5719.4</v>
      </c>
    </row>
    <row r="14" spans="1:38" ht="18.75" customHeight="1">
      <c r="A14" s="18">
        <v>11</v>
      </c>
      <c r="B14" s="12" t="s">
        <v>321</v>
      </c>
      <c r="C14" s="98">
        <v>1029.0999999999999</v>
      </c>
      <c r="D14" s="102">
        <v>1073.3</v>
      </c>
      <c r="E14" s="102">
        <v>1110.0999999999999</v>
      </c>
      <c r="F14" s="102">
        <v>1297.0999999999999</v>
      </c>
      <c r="G14" s="102">
        <v>1228.4000000000001</v>
      </c>
      <c r="H14" s="97">
        <v>1237.5999999999999</v>
      </c>
      <c r="I14" s="98">
        <v>1489.5</v>
      </c>
      <c r="J14" s="102">
        <v>1516.6</v>
      </c>
      <c r="K14" s="102">
        <v>1578.8</v>
      </c>
      <c r="L14" s="97">
        <v>1608.9</v>
      </c>
      <c r="M14" s="98">
        <v>1826.8</v>
      </c>
      <c r="N14" s="102">
        <v>2059.8000000000002</v>
      </c>
      <c r="O14" s="102">
        <v>2201.5</v>
      </c>
      <c r="P14" s="102">
        <v>2335.1</v>
      </c>
      <c r="Q14" s="102">
        <v>2382.4</v>
      </c>
      <c r="R14" s="97">
        <v>2741.2</v>
      </c>
      <c r="S14" s="98">
        <v>3236.9</v>
      </c>
      <c r="T14" s="18">
        <v>3336</v>
      </c>
      <c r="U14" s="18">
        <v>3488</v>
      </c>
      <c r="V14" s="97">
        <v>3506.2</v>
      </c>
      <c r="W14" s="98">
        <v>4121.1000000000004</v>
      </c>
      <c r="X14" s="102">
        <v>4158.3</v>
      </c>
      <c r="Y14" s="102">
        <v>4454.8999999999996</v>
      </c>
      <c r="Z14" s="102">
        <v>4765.6000000000004</v>
      </c>
      <c r="AA14" s="102">
        <v>4774.6000000000004</v>
      </c>
      <c r="AB14" s="97">
        <v>4875.3</v>
      </c>
      <c r="AC14" s="98">
        <v>5911.7</v>
      </c>
      <c r="AD14" s="102">
        <v>5999.9</v>
      </c>
      <c r="AE14" s="102">
        <v>6310.9</v>
      </c>
      <c r="AF14" s="97">
        <v>6417.4</v>
      </c>
      <c r="AG14" s="98">
        <v>7904.5</v>
      </c>
      <c r="AH14" s="102">
        <v>8048.7</v>
      </c>
      <c r="AI14" s="102">
        <v>7847.9</v>
      </c>
      <c r="AJ14" s="102">
        <v>8501.9</v>
      </c>
      <c r="AK14" s="102">
        <v>8640.5</v>
      </c>
      <c r="AL14" s="97">
        <v>8965.7000000000007</v>
      </c>
    </row>
    <row r="15" spans="1:38" ht="18.75" customHeight="1">
      <c r="A15" s="19">
        <v>12</v>
      </c>
      <c r="B15" s="14" t="s">
        <v>322</v>
      </c>
      <c r="C15" s="95">
        <v>873.7</v>
      </c>
      <c r="D15" s="19">
        <v>902</v>
      </c>
      <c r="E15" s="101">
        <v>1077.4000000000001</v>
      </c>
      <c r="F15" s="101">
        <v>1205.3</v>
      </c>
      <c r="G15" s="19">
        <v>1228</v>
      </c>
      <c r="H15" s="96">
        <v>1216.5999999999999</v>
      </c>
      <c r="I15" s="95">
        <v>1268.5999999999999</v>
      </c>
      <c r="J15" s="101">
        <v>1262.8</v>
      </c>
      <c r="K15" s="101">
        <v>1373.7</v>
      </c>
      <c r="L15" s="96">
        <v>1435.8</v>
      </c>
      <c r="M15" s="95">
        <v>1810.3</v>
      </c>
      <c r="N15" s="101">
        <v>2101.4</v>
      </c>
      <c r="O15" s="101">
        <v>2236.6999999999998</v>
      </c>
      <c r="P15" s="101">
        <v>2361.1999999999998</v>
      </c>
      <c r="Q15" s="101">
        <v>2369.5</v>
      </c>
      <c r="R15" s="96">
        <v>2662.6</v>
      </c>
      <c r="S15" s="95">
        <v>3208.3</v>
      </c>
      <c r="T15" s="101">
        <v>3294.7</v>
      </c>
      <c r="U15" s="101">
        <v>3399.8</v>
      </c>
      <c r="V15" s="96">
        <v>3322.4</v>
      </c>
      <c r="W15" s="95">
        <v>3847.9</v>
      </c>
      <c r="X15" s="101">
        <v>3899.5</v>
      </c>
      <c r="Y15" s="101">
        <v>4076.8</v>
      </c>
      <c r="Z15" s="101">
        <v>4326.8999999999996</v>
      </c>
      <c r="AA15" s="101">
        <v>4680.8999999999996</v>
      </c>
      <c r="AB15" s="96">
        <v>4837.8</v>
      </c>
      <c r="AC15" s="95">
        <v>5369.9</v>
      </c>
      <c r="AD15" s="101">
        <v>5441.8</v>
      </c>
      <c r="AE15" s="101">
        <v>5859.1</v>
      </c>
      <c r="AF15" s="96">
        <v>5943.1</v>
      </c>
      <c r="AG15" s="95">
        <v>6836.9</v>
      </c>
      <c r="AH15" s="101">
        <v>6967.6</v>
      </c>
      <c r="AI15" s="101">
        <v>7225.3</v>
      </c>
      <c r="AJ15" s="101">
        <v>7573.6</v>
      </c>
      <c r="AK15" s="101">
        <v>7670.9</v>
      </c>
      <c r="AL15" s="96">
        <v>7769.3</v>
      </c>
    </row>
    <row r="16" spans="1:38" ht="18.75" customHeight="1">
      <c r="A16" s="18">
        <v>13</v>
      </c>
      <c r="B16" s="12" t="s">
        <v>323</v>
      </c>
      <c r="C16" s="98">
        <v>1000.9</v>
      </c>
      <c r="D16" s="102">
        <v>1047.2</v>
      </c>
      <c r="E16" s="102">
        <v>1139.3</v>
      </c>
      <c r="F16" s="102">
        <v>1270.8</v>
      </c>
      <c r="G16" s="102">
        <v>1198.7</v>
      </c>
      <c r="H16" s="97">
        <v>1213.7</v>
      </c>
      <c r="I16" s="13">
        <v>1456</v>
      </c>
      <c r="J16" s="102">
        <v>1509.1</v>
      </c>
      <c r="K16" s="102">
        <v>1517.9</v>
      </c>
      <c r="L16" s="97">
        <v>1542.6</v>
      </c>
      <c r="M16" s="98">
        <v>1915.7</v>
      </c>
      <c r="N16" s="102">
        <v>2142.6</v>
      </c>
      <c r="O16" s="102">
        <v>2143.9</v>
      </c>
      <c r="P16" s="102">
        <v>2183.8000000000002</v>
      </c>
      <c r="Q16" s="102">
        <v>2498.8000000000002</v>
      </c>
      <c r="R16" s="97">
        <v>2672.4</v>
      </c>
      <c r="S16" s="98">
        <v>3287.2</v>
      </c>
      <c r="T16" s="102">
        <v>3437.4</v>
      </c>
      <c r="U16" s="102">
        <v>3523.5</v>
      </c>
      <c r="V16" s="97">
        <v>3579.8</v>
      </c>
      <c r="W16" s="98">
        <v>4385.2</v>
      </c>
      <c r="X16" s="18">
        <v>4463</v>
      </c>
      <c r="Y16" s="102">
        <v>4555.8</v>
      </c>
      <c r="Z16" s="102">
        <v>4772.6000000000004</v>
      </c>
      <c r="AA16" s="102">
        <v>4773.3</v>
      </c>
      <c r="AB16" s="97">
        <v>4816.6000000000004</v>
      </c>
      <c r="AC16" s="98">
        <v>5739.5</v>
      </c>
      <c r="AD16" s="102">
        <v>5935.4</v>
      </c>
      <c r="AE16" s="102">
        <v>6077.1</v>
      </c>
      <c r="AF16" s="97">
        <v>6189.9</v>
      </c>
      <c r="AG16" s="98">
        <v>7469.3</v>
      </c>
      <c r="AH16" s="102">
        <v>7755.2</v>
      </c>
      <c r="AI16" s="102">
        <v>7783.8</v>
      </c>
      <c r="AJ16" s="102">
        <v>8321.2999999999993</v>
      </c>
      <c r="AK16" s="102">
        <v>8373.9</v>
      </c>
      <c r="AL16" s="97">
        <v>8701.2999999999993</v>
      </c>
    </row>
    <row r="17" spans="1:38" ht="18.75" customHeight="1">
      <c r="A17" s="19">
        <v>14</v>
      </c>
      <c r="B17" s="14" t="s">
        <v>324</v>
      </c>
      <c r="C17" s="95">
        <v>1218.7</v>
      </c>
      <c r="D17" s="101">
        <v>1388.6</v>
      </c>
      <c r="E17" s="101">
        <v>1678.3</v>
      </c>
      <c r="F17" s="101">
        <v>1831.5</v>
      </c>
      <c r="G17" s="101">
        <v>1849.7</v>
      </c>
      <c r="H17" s="96">
        <v>1946.2</v>
      </c>
      <c r="I17" s="95">
        <v>2311.1</v>
      </c>
      <c r="J17" s="101">
        <v>2212.6999999999998</v>
      </c>
      <c r="K17" s="101">
        <v>2348.8000000000002</v>
      </c>
      <c r="L17" s="96">
        <v>2449.6999999999998</v>
      </c>
      <c r="M17" s="95">
        <v>2867.6</v>
      </c>
      <c r="N17" s="101">
        <v>3455.9</v>
      </c>
      <c r="O17" s="101">
        <v>3967.6</v>
      </c>
      <c r="P17" s="101">
        <v>4376.1000000000004</v>
      </c>
      <c r="Q17" s="101">
        <v>4457.8</v>
      </c>
      <c r="R17" s="96">
        <v>4356.3999999999996</v>
      </c>
      <c r="S17" s="95">
        <v>4871.3</v>
      </c>
      <c r="T17" s="101">
        <v>5274.5</v>
      </c>
      <c r="U17" s="101">
        <v>5407.9</v>
      </c>
      <c r="V17" s="96">
        <v>5701.9</v>
      </c>
      <c r="W17" s="95">
        <v>6501.2</v>
      </c>
      <c r="X17" s="101">
        <v>6628.1</v>
      </c>
      <c r="Y17" s="101">
        <v>6917.5</v>
      </c>
      <c r="Z17" s="101">
        <v>8187.7</v>
      </c>
      <c r="AA17" s="101">
        <v>8516.9</v>
      </c>
      <c r="AB17" s="96">
        <v>8517.9</v>
      </c>
      <c r="AC17" s="15">
        <v>9148</v>
      </c>
      <c r="AD17" s="101">
        <v>9169.1</v>
      </c>
      <c r="AE17" s="101">
        <v>9463.1</v>
      </c>
      <c r="AF17" s="96">
        <v>10421.299999999999</v>
      </c>
      <c r="AG17" s="95">
        <v>11526.9</v>
      </c>
      <c r="AH17" s="101">
        <v>12213.7</v>
      </c>
      <c r="AI17" s="101">
        <v>12236.6</v>
      </c>
      <c r="AJ17" s="101">
        <v>12715.6</v>
      </c>
      <c r="AK17" s="101">
        <v>12740.6</v>
      </c>
      <c r="AL17" s="96">
        <v>14553.2</v>
      </c>
    </row>
    <row r="18" spans="1:38" ht="18.75" customHeight="1">
      <c r="A18" s="18">
        <v>15</v>
      </c>
      <c r="B18" s="12" t="s">
        <v>325</v>
      </c>
      <c r="C18" s="98">
        <v>833.1</v>
      </c>
      <c r="D18" s="102">
        <v>1013.4</v>
      </c>
      <c r="E18" s="102">
        <v>1240.8</v>
      </c>
      <c r="F18" s="102">
        <v>1534.9</v>
      </c>
      <c r="G18" s="102">
        <v>1346.4</v>
      </c>
      <c r="H18" s="97">
        <v>1363.4</v>
      </c>
      <c r="I18" s="98">
        <v>1515.5</v>
      </c>
      <c r="J18" s="102">
        <v>1502.4</v>
      </c>
      <c r="K18" s="102">
        <v>1649.7</v>
      </c>
      <c r="L18" s="97">
        <v>1714.4</v>
      </c>
      <c r="M18" s="98">
        <v>2053.4</v>
      </c>
      <c r="N18" s="102">
        <v>2454.5</v>
      </c>
      <c r="O18" s="102">
        <v>2624.7</v>
      </c>
      <c r="P18" s="102">
        <v>3089.4</v>
      </c>
      <c r="Q18" s="102">
        <v>2990.6</v>
      </c>
      <c r="R18" s="97">
        <v>3589.9</v>
      </c>
      <c r="S18" s="98">
        <v>3837.6</v>
      </c>
      <c r="T18" s="102">
        <v>3931.6</v>
      </c>
      <c r="U18" s="102">
        <v>4167.5</v>
      </c>
      <c r="V18" s="97">
        <v>4175.6000000000004</v>
      </c>
      <c r="W18" s="98">
        <v>4877.8</v>
      </c>
      <c r="X18" s="102">
        <v>5010.8999999999996</v>
      </c>
      <c r="Y18" s="102">
        <v>5275.3</v>
      </c>
      <c r="Z18" s="102">
        <v>5546.7</v>
      </c>
      <c r="AA18" s="102">
        <v>5680.2</v>
      </c>
      <c r="AB18" s="16">
        <v>5681</v>
      </c>
      <c r="AC18" s="98">
        <v>6365.9</v>
      </c>
      <c r="AD18" s="102">
        <v>6400.7</v>
      </c>
      <c r="AE18" s="102">
        <v>6386.8</v>
      </c>
      <c r="AF18" s="97">
        <v>6764.2</v>
      </c>
      <c r="AG18" s="98">
        <v>7720.7</v>
      </c>
      <c r="AH18" s="102">
        <v>8066.7</v>
      </c>
      <c r="AI18" s="102">
        <v>8347.9</v>
      </c>
      <c r="AJ18" s="102">
        <v>8540.2000000000007</v>
      </c>
      <c r="AK18" s="102">
        <v>8559.7000000000007</v>
      </c>
      <c r="AL18" s="97">
        <v>9364.7000000000007</v>
      </c>
    </row>
    <row r="19" spans="1:38" ht="18.75" customHeight="1">
      <c r="A19" s="19">
        <v>16</v>
      </c>
      <c r="B19" s="14" t="s">
        <v>326</v>
      </c>
      <c r="C19" s="95">
        <v>607.5</v>
      </c>
      <c r="D19" s="101">
        <v>665.1</v>
      </c>
      <c r="E19" s="101">
        <v>940.6</v>
      </c>
      <c r="F19" s="101">
        <v>1010.1</v>
      </c>
      <c r="G19" s="101">
        <v>1116.5</v>
      </c>
      <c r="H19" s="96">
        <v>1118.3</v>
      </c>
      <c r="I19" s="95">
        <v>1288.3</v>
      </c>
      <c r="J19" s="101">
        <v>1284.3</v>
      </c>
      <c r="K19" s="101">
        <v>1313.7</v>
      </c>
      <c r="L19" s="96">
        <v>1345.4</v>
      </c>
      <c r="M19" s="95">
        <v>1588.4</v>
      </c>
      <c r="N19" s="101">
        <v>1826.9</v>
      </c>
      <c r="O19" s="101">
        <v>2062.3000000000002</v>
      </c>
      <c r="P19" s="19">
        <v>2370</v>
      </c>
      <c r="Q19" s="101">
        <v>2508.3000000000002</v>
      </c>
      <c r="R19" s="96">
        <v>2631.8</v>
      </c>
      <c r="S19" s="95">
        <v>3008.5</v>
      </c>
      <c r="T19" s="101">
        <v>3297.6</v>
      </c>
      <c r="U19" s="101">
        <v>3041.6</v>
      </c>
      <c r="V19" s="96">
        <v>3069.5</v>
      </c>
      <c r="W19" s="95">
        <v>3298.1</v>
      </c>
      <c r="X19" s="101">
        <v>3368.3</v>
      </c>
      <c r="Y19" s="101">
        <v>3758.5</v>
      </c>
      <c r="Z19" s="101">
        <v>4450.8999999999996</v>
      </c>
      <c r="AA19" s="101">
        <v>5107.3999999999996</v>
      </c>
      <c r="AB19" s="96">
        <v>5197.1000000000004</v>
      </c>
      <c r="AC19" s="95">
        <v>5695.5</v>
      </c>
      <c r="AD19" s="19">
        <v>5703</v>
      </c>
      <c r="AE19" s="101">
        <v>6570.3</v>
      </c>
      <c r="AF19" s="96">
        <v>6769.5</v>
      </c>
      <c r="AG19" s="95">
        <v>7489.3</v>
      </c>
      <c r="AH19" s="101">
        <v>7766.3</v>
      </c>
      <c r="AI19" s="101">
        <v>8733.7999999999993</v>
      </c>
      <c r="AJ19" s="101">
        <v>9665.2000000000007</v>
      </c>
      <c r="AK19" s="101">
        <v>10131.299999999999</v>
      </c>
      <c r="AL19" s="96">
        <v>10793.8</v>
      </c>
    </row>
    <row r="20" spans="1:38" ht="18.75" customHeight="1">
      <c r="A20" s="18">
        <v>17</v>
      </c>
      <c r="B20" s="12" t="s">
        <v>327</v>
      </c>
      <c r="C20" s="13">
        <v>990</v>
      </c>
      <c r="D20" s="18">
        <v>1177</v>
      </c>
      <c r="E20" s="102">
        <v>1362.9</v>
      </c>
      <c r="F20" s="102">
        <v>1578.7</v>
      </c>
      <c r="G20" s="102">
        <v>1564.2</v>
      </c>
      <c r="H20" s="97">
        <v>1565.2</v>
      </c>
      <c r="I20" s="13">
        <v>1572</v>
      </c>
      <c r="J20" s="102">
        <v>1487.7</v>
      </c>
      <c r="K20" s="18">
        <v>1712</v>
      </c>
      <c r="L20" s="97">
        <v>1774.7</v>
      </c>
      <c r="M20" s="98">
        <v>2148.6</v>
      </c>
      <c r="N20" s="102">
        <v>2597.9</v>
      </c>
      <c r="O20" s="102">
        <v>2952.6</v>
      </c>
      <c r="P20" s="102">
        <v>3411.7</v>
      </c>
      <c r="Q20" s="18">
        <v>3771</v>
      </c>
      <c r="R20" s="16">
        <v>3370</v>
      </c>
      <c r="S20" s="98">
        <v>3681.7</v>
      </c>
      <c r="T20" s="102">
        <v>3687.3</v>
      </c>
      <c r="U20" s="102">
        <v>4155.6000000000004</v>
      </c>
      <c r="V20" s="97">
        <v>4091.2</v>
      </c>
      <c r="W20" s="98">
        <v>4397.8999999999996</v>
      </c>
      <c r="X20" s="102">
        <v>4680.8</v>
      </c>
      <c r="Y20" s="102">
        <v>5222.7</v>
      </c>
      <c r="Z20" s="102">
        <v>5649.9</v>
      </c>
      <c r="AA20" s="102">
        <v>6201.5</v>
      </c>
      <c r="AB20" s="97">
        <v>6201.5</v>
      </c>
      <c r="AC20" s="98">
        <v>6231.1</v>
      </c>
      <c r="AD20" s="18">
        <v>6238</v>
      </c>
      <c r="AE20" s="102">
        <v>6854.6</v>
      </c>
      <c r="AF20" s="97">
        <v>7092.2</v>
      </c>
      <c r="AG20" s="98">
        <v>7735.3</v>
      </c>
      <c r="AH20" s="102">
        <v>8381.5</v>
      </c>
      <c r="AI20" s="102">
        <v>9207.4</v>
      </c>
      <c r="AJ20" s="102">
        <v>10084.4</v>
      </c>
      <c r="AK20" s="102">
        <v>10811.2</v>
      </c>
      <c r="AL20" s="97">
        <v>13037.6</v>
      </c>
    </row>
    <row r="21" spans="1:38" ht="18.75" customHeight="1">
      <c r="A21" s="63">
        <v>18</v>
      </c>
      <c r="B21" s="64" t="s">
        <v>328</v>
      </c>
      <c r="C21" s="93">
        <v>760.7</v>
      </c>
      <c r="D21" s="63">
        <v>827</v>
      </c>
      <c r="E21" s="100">
        <v>985.2</v>
      </c>
      <c r="F21" s="100">
        <v>1090.4000000000001</v>
      </c>
      <c r="G21" s="100">
        <v>1153.7</v>
      </c>
      <c r="H21" s="94">
        <v>1164.5</v>
      </c>
      <c r="I21" s="93">
        <v>1421.9</v>
      </c>
      <c r="J21" s="100">
        <v>1426.5</v>
      </c>
      <c r="K21" s="100">
        <v>1539.2</v>
      </c>
      <c r="L21" s="94">
        <v>1541.7</v>
      </c>
      <c r="M21" s="93">
        <v>1852.3</v>
      </c>
      <c r="N21" s="100">
        <v>2024.4</v>
      </c>
      <c r="O21" s="100">
        <v>2408.1</v>
      </c>
      <c r="P21" s="100">
        <v>2739.5</v>
      </c>
      <c r="Q21" s="100">
        <v>2186.1999999999998</v>
      </c>
      <c r="R21" s="94">
        <v>2194.3000000000002</v>
      </c>
      <c r="S21" s="93">
        <v>2344.8000000000002</v>
      </c>
      <c r="T21" s="100">
        <v>2449.1</v>
      </c>
      <c r="U21" s="100">
        <v>2635.4</v>
      </c>
      <c r="V21" s="94">
        <v>2585.4</v>
      </c>
      <c r="W21" s="93">
        <v>2702.7</v>
      </c>
      <c r="X21" s="100">
        <v>2850.7</v>
      </c>
      <c r="Y21" s="100">
        <v>3202.2</v>
      </c>
      <c r="Z21" s="100">
        <v>3772.6</v>
      </c>
      <c r="AA21" s="100">
        <v>3934.6</v>
      </c>
      <c r="AB21" s="94">
        <v>4257.3999999999996</v>
      </c>
      <c r="AC21" s="93">
        <v>4843.8</v>
      </c>
      <c r="AD21" s="63">
        <v>4873</v>
      </c>
      <c r="AE21" s="100">
        <v>5150.8999999999996</v>
      </c>
      <c r="AF21" s="94">
        <v>5356.3</v>
      </c>
      <c r="AG21" s="93">
        <v>6065.3</v>
      </c>
      <c r="AH21" s="100">
        <v>6372.2</v>
      </c>
      <c r="AI21" s="100">
        <v>6584.1</v>
      </c>
      <c r="AJ21" s="100">
        <v>6887.8</v>
      </c>
      <c r="AK21" s="100">
        <v>7959.2</v>
      </c>
      <c r="AL21" s="94">
        <v>8207.5</v>
      </c>
    </row>
    <row r="22" spans="1:38" ht="18.75" customHeight="1">
      <c r="A22" s="18">
        <v>19</v>
      </c>
      <c r="B22" s="12" t="s">
        <v>329</v>
      </c>
      <c r="C22" s="13">
        <v>730</v>
      </c>
      <c r="D22" s="102">
        <v>857.8</v>
      </c>
      <c r="E22" s="102">
        <v>1205.5999999999999</v>
      </c>
      <c r="F22" s="102">
        <v>1558.8</v>
      </c>
      <c r="G22" s="102">
        <v>1556.6</v>
      </c>
      <c r="H22" s="97">
        <v>1557.8</v>
      </c>
      <c r="I22" s="98">
        <v>1763.3</v>
      </c>
      <c r="J22" s="18">
        <v>1765</v>
      </c>
      <c r="K22" s="102">
        <v>1842.3</v>
      </c>
      <c r="L22" s="97">
        <v>1843.3</v>
      </c>
      <c r="M22" s="98">
        <v>2150.6999999999998</v>
      </c>
      <c r="N22" s="102">
        <v>2521.9</v>
      </c>
      <c r="O22" s="102">
        <v>2795.9</v>
      </c>
      <c r="P22" s="102">
        <v>3107.7</v>
      </c>
      <c r="Q22" s="102">
        <v>3532.4</v>
      </c>
      <c r="R22" s="97">
        <v>3535.7</v>
      </c>
      <c r="S22" s="98">
        <v>3729.5</v>
      </c>
      <c r="T22" s="102">
        <v>3875.2</v>
      </c>
      <c r="U22" s="102">
        <v>4776.7</v>
      </c>
      <c r="V22" s="97">
        <v>4709.8</v>
      </c>
      <c r="W22" s="98">
        <v>5429.6</v>
      </c>
      <c r="X22" s="102">
        <v>5719.6</v>
      </c>
      <c r="Y22" s="102">
        <v>5716.9</v>
      </c>
      <c r="Z22" s="102">
        <v>6829.5</v>
      </c>
      <c r="AA22" s="102">
        <v>7842.8</v>
      </c>
      <c r="AB22" s="97">
        <v>7981.2</v>
      </c>
      <c r="AC22" s="98">
        <v>8453.2000000000007</v>
      </c>
      <c r="AD22" s="102">
        <v>8751.7000000000007</v>
      </c>
      <c r="AE22" s="102">
        <v>9049.2000000000007</v>
      </c>
      <c r="AF22" s="97">
        <v>9758.2000000000007</v>
      </c>
      <c r="AG22" s="98">
        <v>12098.6</v>
      </c>
      <c r="AH22" s="102">
        <v>12014.7</v>
      </c>
      <c r="AI22" s="102">
        <v>12017.1</v>
      </c>
      <c r="AJ22" s="102">
        <v>12885.2</v>
      </c>
      <c r="AK22" s="102">
        <v>13558.6</v>
      </c>
      <c r="AL22" s="97">
        <v>13752.7</v>
      </c>
    </row>
    <row r="23" spans="1:38" ht="18.75" customHeight="1">
      <c r="A23" s="19">
        <v>20</v>
      </c>
      <c r="B23" s="14" t="s">
        <v>330</v>
      </c>
      <c r="C23" s="95">
        <v>1875.4</v>
      </c>
      <c r="D23" s="101">
        <v>2059.9</v>
      </c>
      <c r="E23" s="19">
        <v>2232</v>
      </c>
      <c r="F23" s="101">
        <v>2368.9</v>
      </c>
      <c r="G23" s="101">
        <v>2793.7</v>
      </c>
      <c r="H23" s="96">
        <v>2586.1</v>
      </c>
      <c r="I23" s="95">
        <v>3247.6</v>
      </c>
      <c r="J23" s="101">
        <v>3193.7</v>
      </c>
      <c r="K23" s="101">
        <v>3206.7</v>
      </c>
      <c r="L23" s="96">
        <v>3298.4</v>
      </c>
      <c r="M23" s="95">
        <v>3574.4</v>
      </c>
      <c r="N23" s="101">
        <v>4621.5</v>
      </c>
      <c r="O23" s="101">
        <v>5035.3</v>
      </c>
      <c r="P23" s="19">
        <v>5579</v>
      </c>
      <c r="Q23" s="101">
        <v>6333.7</v>
      </c>
      <c r="R23" s="96">
        <v>7127.5</v>
      </c>
      <c r="S23" s="95">
        <v>7817.8</v>
      </c>
      <c r="T23" s="101">
        <v>7974.6</v>
      </c>
      <c r="U23" s="101">
        <v>8513.9</v>
      </c>
      <c r="V23" s="96">
        <v>8847.4</v>
      </c>
      <c r="W23" s="95">
        <v>9594.7000000000007</v>
      </c>
      <c r="X23" s="101">
        <v>9498.2999999999993</v>
      </c>
      <c r="Y23" s="19">
        <v>10416</v>
      </c>
      <c r="Z23" s="101">
        <v>11378.1</v>
      </c>
      <c r="AA23" s="101">
        <v>13408.4</v>
      </c>
      <c r="AB23" s="96">
        <v>14599.1</v>
      </c>
      <c r="AC23" s="95">
        <v>14956.3</v>
      </c>
      <c r="AD23" s="19">
        <v>14806</v>
      </c>
      <c r="AE23" s="19">
        <v>16447</v>
      </c>
      <c r="AF23" s="96">
        <v>17593.400000000001</v>
      </c>
      <c r="AG23" s="95">
        <v>22075.599999999999</v>
      </c>
      <c r="AH23" s="19">
        <v>22236</v>
      </c>
      <c r="AI23" s="101">
        <v>22515.9</v>
      </c>
      <c r="AJ23" s="19">
        <v>24651</v>
      </c>
      <c r="AK23" s="101">
        <v>25736.400000000001</v>
      </c>
      <c r="AL23" s="96">
        <v>27924.2</v>
      </c>
    </row>
    <row r="24" spans="1:38" ht="18.75" customHeight="1">
      <c r="A24" s="18">
        <v>21</v>
      </c>
      <c r="B24" s="12" t="s">
        <v>331</v>
      </c>
      <c r="C24" s="98">
        <v>978.6</v>
      </c>
      <c r="D24" s="102">
        <v>987.2</v>
      </c>
      <c r="E24" s="102">
        <v>1160.9000000000001</v>
      </c>
      <c r="F24" s="102">
        <v>1319.4</v>
      </c>
      <c r="G24" s="102">
        <v>1383.9</v>
      </c>
      <c r="H24" s="97">
        <v>1236.2</v>
      </c>
      <c r="I24" s="98">
        <v>1558.5</v>
      </c>
      <c r="J24" s="102">
        <v>1531.9</v>
      </c>
      <c r="K24" s="102">
        <v>1520.6</v>
      </c>
      <c r="L24" s="97">
        <v>1613.3</v>
      </c>
      <c r="M24" s="98">
        <v>1877.3</v>
      </c>
      <c r="N24" s="102">
        <v>2254.9</v>
      </c>
      <c r="O24" s="102">
        <v>2392.8000000000002</v>
      </c>
      <c r="P24" s="102">
        <v>2532.9</v>
      </c>
      <c r="Q24" s="102">
        <v>3411.5</v>
      </c>
      <c r="R24" s="97">
        <v>3439.3</v>
      </c>
      <c r="S24" s="13">
        <v>3701</v>
      </c>
      <c r="T24" s="102">
        <v>3717.1</v>
      </c>
      <c r="U24" s="102">
        <v>4035.1</v>
      </c>
      <c r="V24" s="97">
        <v>4214.3999999999996</v>
      </c>
      <c r="W24" s="98">
        <v>4539.8</v>
      </c>
      <c r="X24" s="102">
        <v>4530.6000000000004</v>
      </c>
      <c r="Y24" s="18">
        <v>4862</v>
      </c>
      <c r="Z24" s="102">
        <v>5260.7</v>
      </c>
      <c r="AA24" s="102">
        <v>6284.5</v>
      </c>
      <c r="AB24" s="97">
        <v>6284.9</v>
      </c>
      <c r="AC24" s="98">
        <v>6509.9</v>
      </c>
      <c r="AD24" s="18">
        <v>6465</v>
      </c>
      <c r="AE24" s="18">
        <v>6767</v>
      </c>
      <c r="AF24" s="97">
        <v>7375.7</v>
      </c>
      <c r="AG24" s="98">
        <v>8815.7999999999993</v>
      </c>
      <c r="AH24" s="102">
        <v>8901.7999999999993</v>
      </c>
      <c r="AI24" s="102">
        <v>9154.2000000000007</v>
      </c>
      <c r="AJ24" s="102">
        <v>10580.9</v>
      </c>
      <c r="AK24" s="18">
        <v>10604</v>
      </c>
      <c r="AL24" s="97">
        <v>11071.2</v>
      </c>
    </row>
    <row r="25" spans="1:38" ht="18.75" customHeight="1">
      <c r="A25" s="19">
        <v>22</v>
      </c>
      <c r="B25" s="14" t="s">
        <v>332</v>
      </c>
      <c r="C25" s="95">
        <v>353.5</v>
      </c>
      <c r="D25" s="101">
        <v>370.4</v>
      </c>
      <c r="E25" s="101">
        <v>418.4</v>
      </c>
      <c r="F25" s="101">
        <v>443.9</v>
      </c>
      <c r="G25" s="101">
        <v>483.6</v>
      </c>
      <c r="H25" s="96">
        <v>484.2</v>
      </c>
      <c r="I25" s="95">
        <v>547.70000000000005</v>
      </c>
      <c r="J25" s="101">
        <v>548.29999999999995</v>
      </c>
      <c r="K25" s="101">
        <v>581.20000000000005</v>
      </c>
      <c r="L25" s="96">
        <v>599.6</v>
      </c>
      <c r="M25" s="95">
        <v>785.8</v>
      </c>
      <c r="N25" s="101">
        <v>865.4</v>
      </c>
      <c r="O25" s="101">
        <v>934.7</v>
      </c>
      <c r="P25" s="101">
        <v>1018.7</v>
      </c>
      <c r="Q25" s="19">
        <v>1047</v>
      </c>
      <c r="R25" s="96">
        <v>1407.1</v>
      </c>
      <c r="S25" s="95">
        <v>1682.3</v>
      </c>
      <c r="T25" s="101">
        <v>1731.7</v>
      </c>
      <c r="U25" s="101">
        <v>1792.2</v>
      </c>
      <c r="V25" s="96">
        <v>1738.3</v>
      </c>
      <c r="W25" s="95">
        <v>1890.7</v>
      </c>
      <c r="X25" s="101">
        <v>1900.3</v>
      </c>
      <c r="Y25" s="101">
        <v>1942.7</v>
      </c>
      <c r="Z25" s="101">
        <v>2165.6999999999998</v>
      </c>
      <c r="AA25" s="101">
        <v>2591.1</v>
      </c>
      <c r="AB25" s="17">
        <v>2697</v>
      </c>
      <c r="AC25" s="95">
        <v>2947.5</v>
      </c>
      <c r="AD25" s="101">
        <v>2969.7</v>
      </c>
      <c r="AE25" s="101">
        <v>3092.5</v>
      </c>
      <c r="AF25" s="96">
        <v>3210.7</v>
      </c>
      <c r="AG25" s="15">
        <v>3672</v>
      </c>
      <c r="AH25" s="101">
        <v>3705.1</v>
      </c>
      <c r="AI25" s="101">
        <v>3677.6</v>
      </c>
      <c r="AJ25" s="101">
        <v>3822.7</v>
      </c>
      <c r="AK25" s="101">
        <v>3832.7</v>
      </c>
      <c r="AL25" s="96">
        <v>3986.9</v>
      </c>
    </row>
    <row r="26" spans="1:38" ht="18.75" customHeight="1">
      <c r="A26" s="18">
        <v>23</v>
      </c>
      <c r="B26" s="12" t="s">
        <v>333</v>
      </c>
      <c r="C26" s="98">
        <v>1083.2</v>
      </c>
      <c r="D26" s="102">
        <v>1095.7</v>
      </c>
      <c r="E26" s="102">
        <v>1352.5</v>
      </c>
      <c r="F26" s="102">
        <v>1361.6</v>
      </c>
      <c r="G26" s="102">
        <v>1168.2</v>
      </c>
      <c r="H26" s="97">
        <v>1170.8</v>
      </c>
      <c r="I26" s="98">
        <v>1425.8</v>
      </c>
      <c r="J26" s="102">
        <v>1432.9</v>
      </c>
      <c r="K26" s="102">
        <v>1438.1</v>
      </c>
      <c r="L26" s="97">
        <v>1454.4</v>
      </c>
      <c r="M26" s="98">
        <v>1737.1</v>
      </c>
      <c r="N26" s="102">
        <v>2024.2</v>
      </c>
      <c r="O26" s="102">
        <v>2176.1999999999998</v>
      </c>
      <c r="P26" s="102">
        <v>2497.8000000000002</v>
      </c>
      <c r="Q26" s="102">
        <v>2343.9</v>
      </c>
      <c r="R26" s="97">
        <v>2394.4</v>
      </c>
      <c r="S26" s="13">
        <v>2544</v>
      </c>
      <c r="T26" s="102">
        <v>2604.6999999999998</v>
      </c>
      <c r="U26" s="102">
        <v>2943.5</v>
      </c>
      <c r="V26" s="97">
        <v>3092.5</v>
      </c>
      <c r="W26" s="98">
        <v>3272.1</v>
      </c>
      <c r="X26" s="102">
        <v>3309.2</v>
      </c>
      <c r="Y26" s="102">
        <v>3526.7</v>
      </c>
      <c r="Z26" s="102">
        <v>3858.3</v>
      </c>
      <c r="AA26" s="18">
        <v>4188</v>
      </c>
      <c r="AB26" s="97">
        <v>4188.2</v>
      </c>
      <c r="AC26" s="98">
        <v>4527.3999999999996</v>
      </c>
      <c r="AD26" s="102">
        <v>4733.5</v>
      </c>
      <c r="AE26" s="102">
        <v>4718.1000000000004</v>
      </c>
      <c r="AF26" s="97">
        <v>4857.2</v>
      </c>
      <c r="AG26" s="98">
        <v>5339.6</v>
      </c>
      <c r="AH26" s="102">
        <v>5429.4</v>
      </c>
      <c r="AI26" s="18">
        <v>5646</v>
      </c>
      <c r="AJ26" s="102">
        <v>6946.1</v>
      </c>
      <c r="AK26" s="102">
        <v>6955.4</v>
      </c>
      <c r="AL26" s="97">
        <v>7386.2</v>
      </c>
    </row>
    <row r="27" spans="1:38" ht="18.75" customHeight="1">
      <c r="A27" s="63">
        <v>24</v>
      </c>
      <c r="B27" s="64" t="s">
        <v>334</v>
      </c>
      <c r="C27" s="93">
        <v>742.6</v>
      </c>
      <c r="D27" s="100">
        <v>797.8</v>
      </c>
      <c r="E27" s="100">
        <v>857.7</v>
      </c>
      <c r="F27" s="100">
        <v>947.5</v>
      </c>
      <c r="G27" s="100">
        <v>812.1</v>
      </c>
      <c r="H27" s="94">
        <v>816.5</v>
      </c>
      <c r="I27" s="93">
        <v>968.8</v>
      </c>
      <c r="J27" s="100">
        <v>984.5</v>
      </c>
      <c r="K27" s="100">
        <v>1008.7</v>
      </c>
      <c r="L27" s="94">
        <v>1038.7</v>
      </c>
      <c r="M27" s="93">
        <v>1223.2</v>
      </c>
      <c r="N27" s="100">
        <v>1393.6</v>
      </c>
      <c r="O27" s="100">
        <v>1471.1</v>
      </c>
      <c r="P27" s="100">
        <v>1578.7</v>
      </c>
      <c r="Q27" s="63">
        <v>1905</v>
      </c>
      <c r="R27" s="94">
        <v>2044.8</v>
      </c>
      <c r="S27" s="65">
        <v>2332</v>
      </c>
      <c r="T27" s="100">
        <v>2419.6</v>
      </c>
      <c r="U27" s="100">
        <v>2506.6</v>
      </c>
      <c r="V27" s="94">
        <v>2533.6</v>
      </c>
      <c r="W27" s="93">
        <v>2920.7</v>
      </c>
      <c r="X27" s="100">
        <v>2886.9</v>
      </c>
      <c r="Y27" s="100">
        <v>3214.5</v>
      </c>
      <c r="Z27" s="100">
        <v>3479.1</v>
      </c>
      <c r="AA27" s="63">
        <v>3861</v>
      </c>
      <c r="AB27" s="66">
        <v>3974</v>
      </c>
      <c r="AC27" s="93">
        <v>4284.5</v>
      </c>
      <c r="AD27" s="63">
        <v>4342</v>
      </c>
      <c r="AE27" s="100">
        <v>4483.5</v>
      </c>
      <c r="AF27" s="94">
        <v>4793.6000000000004</v>
      </c>
      <c r="AG27" s="93">
        <v>5576.7</v>
      </c>
      <c r="AH27" s="100">
        <v>5671.7</v>
      </c>
      <c r="AI27" s="100">
        <v>5857.9</v>
      </c>
      <c r="AJ27" s="63">
        <v>6237</v>
      </c>
      <c r="AK27" s="100">
        <v>6256.3</v>
      </c>
      <c r="AL27" s="94">
        <v>6478.4</v>
      </c>
    </row>
    <row r="28" spans="1:38" ht="18.75" customHeight="1">
      <c r="A28" s="18">
        <v>25</v>
      </c>
      <c r="B28" s="12" t="s">
        <v>335</v>
      </c>
      <c r="C28" s="13">
        <v>2301</v>
      </c>
      <c r="D28" s="18">
        <v>2427</v>
      </c>
      <c r="E28" s="102">
        <v>2594.1999999999998</v>
      </c>
      <c r="F28" s="102">
        <v>3401.3</v>
      </c>
      <c r="G28" s="102">
        <v>2803.4</v>
      </c>
      <c r="H28" s="97">
        <v>2803.9</v>
      </c>
      <c r="I28" s="98">
        <v>3253.4</v>
      </c>
      <c r="J28" s="102">
        <v>3365.8</v>
      </c>
      <c r="K28" s="18">
        <v>3283</v>
      </c>
      <c r="L28" s="16">
        <v>3367</v>
      </c>
      <c r="M28" s="98">
        <v>3809.9</v>
      </c>
      <c r="N28" s="102">
        <v>4677.3</v>
      </c>
      <c r="O28" s="102">
        <v>5285.6</v>
      </c>
      <c r="P28" s="102">
        <v>6150.3</v>
      </c>
      <c r="Q28" s="102">
        <v>6121.7</v>
      </c>
      <c r="R28" s="97">
        <v>6123.6</v>
      </c>
      <c r="S28" s="98">
        <v>6318.5</v>
      </c>
      <c r="T28" s="102">
        <v>6443.6</v>
      </c>
      <c r="U28" s="102">
        <v>6869.7</v>
      </c>
      <c r="V28" s="97">
        <v>6566.4</v>
      </c>
      <c r="W28" s="98">
        <v>6910.4</v>
      </c>
      <c r="X28" s="102">
        <v>7055.5</v>
      </c>
      <c r="Y28" s="18">
        <v>7760</v>
      </c>
      <c r="Z28" s="102">
        <v>8024.7</v>
      </c>
      <c r="AA28" s="102">
        <v>8870.6</v>
      </c>
      <c r="AB28" s="97">
        <v>9065.9</v>
      </c>
      <c r="AC28" s="98">
        <v>9983.7999999999993</v>
      </c>
      <c r="AD28" s="102">
        <v>9988.2999999999993</v>
      </c>
      <c r="AE28" s="102">
        <v>9992.6</v>
      </c>
      <c r="AF28" s="97">
        <v>10444.299999999999</v>
      </c>
      <c r="AG28" s="57" t="s">
        <v>22</v>
      </c>
      <c r="AH28" s="58" t="s">
        <v>22</v>
      </c>
      <c r="AI28" s="58" t="s">
        <v>22</v>
      </c>
      <c r="AJ28" s="58" t="s">
        <v>22</v>
      </c>
      <c r="AK28" s="58" t="s">
        <v>22</v>
      </c>
      <c r="AL28" s="59" t="s">
        <v>22</v>
      </c>
    </row>
    <row r="29" spans="1:38" ht="18.75" customHeight="1">
      <c r="A29" s="19">
        <v>26</v>
      </c>
      <c r="B29" s="14" t="s">
        <v>336</v>
      </c>
      <c r="C29" s="15">
        <v>935</v>
      </c>
      <c r="D29" s="101">
        <v>1432.5</v>
      </c>
      <c r="E29" s="101">
        <v>1511.1</v>
      </c>
      <c r="F29" s="101">
        <v>1555.6</v>
      </c>
      <c r="G29" s="101">
        <v>1720.7</v>
      </c>
      <c r="H29" s="96">
        <v>1844.1</v>
      </c>
      <c r="I29" s="95">
        <v>2191.5</v>
      </c>
      <c r="J29" s="101">
        <v>1935.2</v>
      </c>
      <c r="K29" s="101">
        <v>2174.1</v>
      </c>
      <c r="L29" s="96">
        <v>2287.3000000000002</v>
      </c>
      <c r="M29" s="95">
        <v>2701.1</v>
      </c>
      <c r="N29" s="101">
        <v>3282.5</v>
      </c>
      <c r="O29" s="101">
        <v>3695.6</v>
      </c>
      <c r="P29" s="101">
        <v>4246.1000000000004</v>
      </c>
      <c r="Q29" s="101">
        <v>4260.8</v>
      </c>
      <c r="R29" s="96">
        <v>4273.8999999999996</v>
      </c>
      <c r="S29" s="15">
        <v>4480</v>
      </c>
      <c r="T29" s="101">
        <v>4578.3999999999996</v>
      </c>
      <c r="U29" s="101">
        <v>4738.8</v>
      </c>
      <c r="V29" s="17">
        <v>4740</v>
      </c>
      <c r="W29" s="95">
        <v>4935.8999999999996</v>
      </c>
      <c r="X29" s="101">
        <v>4946.3</v>
      </c>
      <c r="Y29" s="101">
        <v>5620.8</v>
      </c>
      <c r="Z29" s="101">
        <v>6022.9</v>
      </c>
      <c r="AA29" s="101">
        <v>6395.3</v>
      </c>
      <c r="AB29" s="96">
        <v>6395.4</v>
      </c>
      <c r="AC29" s="95">
        <v>6659.2</v>
      </c>
      <c r="AD29" s="101">
        <v>7109.8</v>
      </c>
      <c r="AE29" s="101">
        <v>7210.7</v>
      </c>
      <c r="AF29" s="17">
        <v>7487</v>
      </c>
      <c r="AG29" s="95">
        <v>8698.1</v>
      </c>
      <c r="AH29" s="101">
        <v>8470.7000000000007</v>
      </c>
      <c r="AI29" s="101">
        <v>8665.2999999999993</v>
      </c>
      <c r="AJ29" s="19">
        <v>9853</v>
      </c>
      <c r="AK29" s="101">
        <v>9862.2999999999993</v>
      </c>
      <c r="AL29" s="96">
        <v>11126.9</v>
      </c>
    </row>
    <row r="30" spans="1:38" ht="18.75" customHeight="1">
      <c r="A30" s="18">
        <v>27</v>
      </c>
      <c r="B30" s="12" t="s">
        <v>337</v>
      </c>
      <c r="C30" s="13">
        <v>872</v>
      </c>
      <c r="D30" s="102">
        <v>1134.0999999999999</v>
      </c>
      <c r="E30" s="102">
        <v>1444.1</v>
      </c>
      <c r="F30" s="102">
        <v>1491.6</v>
      </c>
      <c r="G30" s="102">
        <v>1373.3</v>
      </c>
      <c r="H30" s="16">
        <v>1380</v>
      </c>
      <c r="I30" s="98">
        <v>1607.6</v>
      </c>
      <c r="J30" s="102">
        <v>1618.8</v>
      </c>
      <c r="K30" s="102">
        <v>1625.5</v>
      </c>
      <c r="L30" s="97">
        <v>1656.7</v>
      </c>
      <c r="M30" s="98">
        <v>1918.4</v>
      </c>
      <c r="N30" s="102">
        <v>2341.6</v>
      </c>
      <c r="O30" s="102">
        <v>2638.6</v>
      </c>
      <c r="P30" s="102">
        <v>3037.6</v>
      </c>
      <c r="Q30" s="102">
        <v>3084.8</v>
      </c>
      <c r="R30" s="97">
        <v>3124.9</v>
      </c>
      <c r="S30" s="98">
        <v>3355.4</v>
      </c>
      <c r="T30" s="102">
        <v>3433.4</v>
      </c>
      <c r="U30" s="102">
        <v>3531.5</v>
      </c>
      <c r="V30" s="97">
        <v>3862.3</v>
      </c>
      <c r="W30" s="13">
        <v>4319</v>
      </c>
      <c r="X30" s="102">
        <v>4346.8</v>
      </c>
      <c r="Y30" s="102">
        <v>5165.3</v>
      </c>
      <c r="Z30" s="102">
        <v>5415.8</v>
      </c>
      <c r="AA30" s="18">
        <v>5735</v>
      </c>
      <c r="AB30" s="97">
        <v>5739.8</v>
      </c>
      <c r="AC30" s="98">
        <v>6300.3</v>
      </c>
      <c r="AD30" s="102">
        <v>6738.8</v>
      </c>
      <c r="AE30" s="102">
        <v>6749.8</v>
      </c>
      <c r="AF30" s="97">
        <v>6917.7</v>
      </c>
      <c r="AG30" s="98">
        <v>7304.7</v>
      </c>
      <c r="AH30" s="102">
        <v>7612.2</v>
      </c>
      <c r="AI30" s="102">
        <v>7584.2</v>
      </c>
      <c r="AJ30" s="102">
        <v>9665.2000000000007</v>
      </c>
      <c r="AK30" s="102">
        <v>9669.6</v>
      </c>
      <c r="AL30" s="97">
        <v>10331.299999999999</v>
      </c>
    </row>
    <row r="31" spans="1:38" ht="18.75" customHeight="1">
      <c r="A31" s="19">
        <v>28</v>
      </c>
      <c r="B31" s="14" t="s">
        <v>338</v>
      </c>
      <c r="C31" s="95">
        <v>615.6</v>
      </c>
      <c r="D31" s="101">
        <v>668.6</v>
      </c>
      <c r="E31" s="101">
        <v>770.7</v>
      </c>
      <c r="F31" s="101">
        <v>816.4</v>
      </c>
      <c r="G31" s="19">
        <v>866</v>
      </c>
      <c r="H31" s="96">
        <v>875.4</v>
      </c>
      <c r="I31" s="95">
        <v>992.8</v>
      </c>
      <c r="J31" s="101">
        <v>988.3</v>
      </c>
      <c r="K31" s="19">
        <v>1054</v>
      </c>
      <c r="L31" s="96">
        <v>1084.8</v>
      </c>
      <c r="M31" s="95">
        <v>1528.7</v>
      </c>
      <c r="N31" s="101">
        <v>1645.8</v>
      </c>
      <c r="O31" s="101">
        <v>1764.4</v>
      </c>
      <c r="P31" s="101">
        <v>1922.2</v>
      </c>
      <c r="Q31" s="101">
        <v>1983.9</v>
      </c>
      <c r="R31" s="96">
        <v>2165.3000000000002</v>
      </c>
      <c r="S31" s="95">
        <v>2673.8</v>
      </c>
      <c r="T31" s="101">
        <v>2743.5</v>
      </c>
      <c r="U31" s="101">
        <v>2821.2</v>
      </c>
      <c r="V31" s="96">
        <v>2706.3</v>
      </c>
      <c r="W31" s="95">
        <v>3045.5</v>
      </c>
      <c r="X31" s="101">
        <v>3067.5</v>
      </c>
      <c r="Y31" s="101">
        <v>3325.6</v>
      </c>
      <c r="Z31" s="101">
        <v>3541.9</v>
      </c>
      <c r="AA31" s="101">
        <v>3760.8</v>
      </c>
      <c r="AB31" s="96">
        <v>3809.3</v>
      </c>
      <c r="AC31" s="15">
        <v>4002</v>
      </c>
      <c r="AD31" s="101">
        <v>4059.4</v>
      </c>
      <c r="AE31" s="101">
        <v>4557.7</v>
      </c>
      <c r="AF31" s="17">
        <v>4599</v>
      </c>
      <c r="AG31" s="95">
        <v>5335.7</v>
      </c>
      <c r="AH31" s="101">
        <v>5284.5</v>
      </c>
      <c r="AI31" s="101">
        <v>5237.3999999999996</v>
      </c>
      <c r="AJ31" s="101">
        <v>5434.2</v>
      </c>
      <c r="AK31" s="101">
        <v>5542.5</v>
      </c>
      <c r="AL31" s="96">
        <v>5648.5</v>
      </c>
    </row>
    <row r="32" spans="1:38" ht="18.75" customHeight="1">
      <c r="A32" s="18">
        <v>29</v>
      </c>
      <c r="B32" s="12" t="s">
        <v>339</v>
      </c>
      <c r="C32" s="98">
        <v>849.1</v>
      </c>
      <c r="D32" s="102">
        <v>919.3</v>
      </c>
      <c r="E32" s="102">
        <v>986.1</v>
      </c>
      <c r="F32" s="102">
        <v>1052.5</v>
      </c>
      <c r="G32" s="102">
        <v>1187.4000000000001</v>
      </c>
      <c r="H32" s="97">
        <v>1189.8</v>
      </c>
      <c r="I32" s="98">
        <v>1490.3</v>
      </c>
      <c r="J32" s="102">
        <v>1462.5</v>
      </c>
      <c r="K32" s="102">
        <v>1438.5</v>
      </c>
      <c r="L32" s="16">
        <v>1473</v>
      </c>
      <c r="M32" s="98">
        <v>1734.4</v>
      </c>
      <c r="N32" s="18">
        <v>2092</v>
      </c>
      <c r="O32" s="18">
        <v>2357</v>
      </c>
      <c r="P32" s="102">
        <v>2682.9</v>
      </c>
      <c r="Q32" s="102">
        <v>2913.3</v>
      </c>
      <c r="R32" s="97">
        <v>3293.6</v>
      </c>
      <c r="S32" s="98">
        <v>3516.7</v>
      </c>
      <c r="T32" s="18">
        <v>3633</v>
      </c>
      <c r="U32" s="102">
        <v>3732.8</v>
      </c>
      <c r="V32" s="97">
        <v>3942.8</v>
      </c>
      <c r="W32" s="98">
        <v>4195.3999999999996</v>
      </c>
      <c r="X32" s="18">
        <v>4205</v>
      </c>
      <c r="Y32" s="102">
        <v>4526.3999999999996</v>
      </c>
      <c r="Z32" s="102">
        <v>4652.7</v>
      </c>
      <c r="AA32" s="102">
        <v>5335.4</v>
      </c>
      <c r="AB32" s="97">
        <v>5550.1</v>
      </c>
      <c r="AC32" s="98">
        <v>5784.6</v>
      </c>
      <c r="AD32" s="102">
        <v>5922.1</v>
      </c>
      <c r="AE32" s="102">
        <v>6248.5</v>
      </c>
      <c r="AF32" s="97">
        <v>6462.6</v>
      </c>
      <c r="AG32" s="98">
        <v>7619.5</v>
      </c>
      <c r="AH32" s="102">
        <v>7654.9</v>
      </c>
      <c r="AI32" s="102">
        <v>7987.1</v>
      </c>
      <c r="AJ32" s="102">
        <v>8659.2999999999993</v>
      </c>
      <c r="AK32" s="102">
        <v>8713.2999999999993</v>
      </c>
      <c r="AL32" s="97">
        <v>9283.7000000000007</v>
      </c>
    </row>
    <row r="33" spans="1:38" ht="18.75" customHeight="1">
      <c r="A33" s="19">
        <v>30</v>
      </c>
      <c r="B33" s="14" t="s">
        <v>340</v>
      </c>
      <c r="C33" s="60" t="s">
        <v>22</v>
      </c>
      <c r="D33" s="61" t="s">
        <v>22</v>
      </c>
      <c r="E33" s="61" t="s">
        <v>22</v>
      </c>
      <c r="F33" s="61" t="s">
        <v>22</v>
      </c>
      <c r="G33" s="61" t="s">
        <v>22</v>
      </c>
      <c r="H33" s="62" t="s">
        <v>22</v>
      </c>
      <c r="I33" s="60" t="s">
        <v>22</v>
      </c>
      <c r="J33" s="61" t="s">
        <v>22</v>
      </c>
      <c r="K33" s="61" t="s">
        <v>22</v>
      </c>
      <c r="L33" s="62" t="s">
        <v>22</v>
      </c>
      <c r="M33" s="60" t="s">
        <v>22</v>
      </c>
      <c r="N33" s="61" t="s">
        <v>22</v>
      </c>
      <c r="O33" s="61" t="s">
        <v>22</v>
      </c>
      <c r="P33" s="61" t="s">
        <v>22</v>
      </c>
      <c r="Q33" s="61" t="s">
        <v>22</v>
      </c>
      <c r="R33" s="62" t="s">
        <v>22</v>
      </c>
      <c r="S33" s="60" t="s">
        <v>22</v>
      </c>
      <c r="T33" s="61" t="s">
        <v>22</v>
      </c>
      <c r="U33" s="61" t="s">
        <v>22</v>
      </c>
      <c r="V33" s="62" t="s">
        <v>22</v>
      </c>
      <c r="W33" s="60" t="s">
        <v>22</v>
      </c>
      <c r="X33" s="61" t="s">
        <v>22</v>
      </c>
      <c r="Y33" s="61" t="s">
        <v>22</v>
      </c>
      <c r="Z33" s="61" t="s">
        <v>22</v>
      </c>
      <c r="AA33" s="61" t="s">
        <v>22</v>
      </c>
      <c r="AB33" s="62" t="s">
        <v>22</v>
      </c>
      <c r="AC33" s="60" t="s">
        <v>22</v>
      </c>
      <c r="AD33" s="61" t="s">
        <v>22</v>
      </c>
      <c r="AE33" s="61" t="s">
        <v>22</v>
      </c>
      <c r="AF33" s="62" t="s">
        <v>22</v>
      </c>
      <c r="AG33" s="15">
        <v>8320</v>
      </c>
      <c r="AH33" s="19">
        <v>9040</v>
      </c>
      <c r="AI33" s="19">
        <v>9016</v>
      </c>
      <c r="AJ33" s="19">
        <v>9064</v>
      </c>
      <c r="AK33" s="19">
        <v>9088</v>
      </c>
      <c r="AL33" s="17">
        <v>9232</v>
      </c>
    </row>
    <row r="34" spans="1:38" ht="18.75" customHeight="1">
      <c r="A34" s="18">
        <v>34</v>
      </c>
      <c r="B34" s="12" t="s">
        <v>341</v>
      </c>
      <c r="C34" s="57" t="s">
        <v>22</v>
      </c>
      <c r="D34" s="58" t="s">
        <v>22</v>
      </c>
      <c r="E34" s="58" t="s">
        <v>22</v>
      </c>
      <c r="F34" s="58" t="s">
        <v>22</v>
      </c>
      <c r="G34" s="58" t="s">
        <v>22</v>
      </c>
      <c r="H34" s="59" t="s">
        <v>22</v>
      </c>
      <c r="I34" s="57" t="s">
        <v>22</v>
      </c>
      <c r="J34" s="58" t="s">
        <v>22</v>
      </c>
      <c r="K34" s="58" t="s">
        <v>22</v>
      </c>
      <c r="L34" s="16">
        <v>2000</v>
      </c>
      <c r="M34" s="13">
        <v>2288</v>
      </c>
      <c r="N34" s="18">
        <v>2612</v>
      </c>
      <c r="O34" s="18">
        <v>2864</v>
      </c>
      <c r="P34" s="18">
        <v>3170</v>
      </c>
      <c r="Q34" s="18">
        <v>3800</v>
      </c>
      <c r="R34" s="16">
        <v>3560</v>
      </c>
      <c r="S34" s="98">
        <v>4343.2</v>
      </c>
      <c r="T34" s="102">
        <v>4343.2</v>
      </c>
      <c r="U34" s="102">
        <v>4378.8</v>
      </c>
      <c r="V34" s="16">
        <v>5340</v>
      </c>
      <c r="W34" s="98">
        <v>5425.4</v>
      </c>
      <c r="X34" s="102">
        <v>5799.2</v>
      </c>
      <c r="Y34" s="18">
        <v>6675</v>
      </c>
      <c r="Z34" s="102">
        <v>8597.4</v>
      </c>
      <c r="AA34" s="102">
        <v>8650.7999999999993</v>
      </c>
      <c r="AB34" s="97">
        <v>8490.6</v>
      </c>
      <c r="AC34" s="98">
        <v>9084.9</v>
      </c>
      <c r="AD34" s="102">
        <v>9254.7999999999993</v>
      </c>
      <c r="AE34" s="102">
        <v>10018.9</v>
      </c>
      <c r="AF34" s="97">
        <v>10443.4</v>
      </c>
      <c r="AG34" s="98">
        <v>12323.2</v>
      </c>
      <c r="AH34" s="102">
        <v>11487.7</v>
      </c>
      <c r="AI34" s="18">
        <v>12595</v>
      </c>
      <c r="AJ34" s="18">
        <v>12866</v>
      </c>
      <c r="AK34" s="18">
        <v>12981</v>
      </c>
      <c r="AL34" s="16">
        <v>13753</v>
      </c>
    </row>
    <row r="35" spans="1:38" ht="18.75" customHeight="1">
      <c r="A35" s="19">
        <v>35</v>
      </c>
      <c r="B35" s="14" t="s">
        <v>342</v>
      </c>
      <c r="C35" s="60" t="s">
        <v>22</v>
      </c>
      <c r="D35" s="61" t="s">
        <v>22</v>
      </c>
      <c r="E35" s="61" t="s">
        <v>22</v>
      </c>
      <c r="F35" s="61" t="s">
        <v>22</v>
      </c>
      <c r="G35" s="61" t="s">
        <v>22</v>
      </c>
      <c r="H35" s="62" t="s">
        <v>22</v>
      </c>
      <c r="I35" s="60" t="s">
        <v>22</v>
      </c>
      <c r="J35" s="61" t="s">
        <v>22</v>
      </c>
      <c r="K35" s="61" t="s">
        <v>22</v>
      </c>
      <c r="L35" s="17">
        <v>2000</v>
      </c>
      <c r="M35" s="15">
        <v>2270</v>
      </c>
      <c r="N35" s="19">
        <v>2600</v>
      </c>
      <c r="O35" s="19">
        <v>2860</v>
      </c>
      <c r="P35" s="19">
        <v>3160</v>
      </c>
      <c r="Q35" s="19">
        <v>3840</v>
      </c>
      <c r="R35" s="17">
        <v>3700</v>
      </c>
      <c r="S35" s="15">
        <v>3774</v>
      </c>
      <c r="T35" s="19">
        <v>3811</v>
      </c>
      <c r="U35" s="19">
        <v>3885</v>
      </c>
      <c r="V35" s="17">
        <v>3885</v>
      </c>
      <c r="W35" s="95">
        <v>3947.2</v>
      </c>
      <c r="X35" s="101">
        <v>4219.1000000000004</v>
      </c>
      <c r="Y35" s="101">
        <v>4933.8999999999996</v>
      </c>
      <c r="Z35" s="101">
        <v>4895.1000000000004</v>
      </c>
      <c r="AA35" s="101">
        <v>4972.8</v>
      </c>
      <c r="AB35" s="96">
        <v>6060.6</v>
      </c>
      <c r="AC35" s="95">
        <v>6484.8</v>
      </c>
      <c r="AD35" s="101">
        <v>6181.8</v>
      </c>
      <c r="AE35" s="101">
        <v>6181.8</v>
      </c>
      <c r="AF35" s="96">
        <v>6242.4</v>
      </c>
      <c r="AG35" s="95">
        <v>6367.2</v>
      </c>
      <c r="AH35" s="101">
        <v>6679.4</v>
      </c>
      <c r="AI35" s="101">
        <v>7291.1</v>
      </c>
      <c r="AJ35" s="101">
        <v>7440.9</v>
      </c>
      <c r="AK35" s="101">
        <v>7097.6</v>
      </c>
      <c r="AL35" s="96">
        <v>7166.2</v>
      </c>
    </row>
    <row r="36" spans="1:38" ht="18.75" customHeight="1">
      <c r="A36" s="18">
        <v>36</v>
      </c>
      <c r="B36" s="12" t="s">
        <v>343</v>
      </c>
      <c r="C36" s="57" t="s">
        <v>22</v>
      </c>
      <c r="D36" s="58" t="s">
        <v>22</v>
      </c>
      <c r="E36" s="58" t="s">
        <v>22</v>
      </c>
      <c r="F36" s="58" t="s">
        <v>22</v>
      </c>
      <c r="G36" s="58" t="s">
        <v>22</v>
      </c>
      <c r="H36" s="59" t="s">
        <v>22</v>
      </c>
      <c r="I36" s="57" t="s">
        <v>22</v>
      </c>
      <c r="J36" s="58" t="s">
        <v>22</v>
      </c>
      <c r="K36" s="58" t="s">
        <v>22</v>
      </c>
      <c r="L36" s="16">
        <v>2000</v>
      </c>
      <c r="M36" s="13">
        <v>2224</v>
      </c>
      <c r="N36" s="18">
        <v>3040</v>
      </c>
      <c r="O36" s="18">
        <v>3440</v>
      </c>
      <c r="P36" s="18">
        <v>3504</v>
      </c>
      <c r="Q36" s="18">
        <v>3960</v>
      </c>
      <c r="R36" s="16">
        <v>4100</v>
      </c>
      <c r="S36" s="13">
        <v>4756</v>
      </c>
      <c r="T36" s="18">
        <v>5002</v>
      </c>
      <c r="U36" s="18">
        <v>4797</v>
      </c>
      <c r="V36" s="16">
        <v>4715</v>
      </c>
      <c r="W36" s="98">
        <v>5092.2</v>
      </c>
      <c r="X36" s="102">
        <v>5233.7</v>
      </c>
      <c r="Y36" s="102">
        <v>5469.4</v>
      </c>
      <c r="Z36" s="102">
        <v>6176.7</v>
      </c>
      <c r="AA36" s="102">
        <v>6789.6</v>
      </c>
      <c r="AB36" s="97">
        <v>7355.4</v>
      </c>
      <c r="AC36" s="98">
        <v>7649.6</v>
      </c>
      <c r="AD36" s="102">
        <v>8164.5</v>
      </c>
      <c r="AE36" s="102">
        <v>9341.2999999999993</v>
      </c>
      <c r="AF36" s="97">
        <v>9341.2999999999993</v>
      </c>
      <c r="AG36" s="98">
        <v>10088.6</v>
      </c>
      <c r="AH36" s="102">
        <v>10462.299999999999</v>
      </c>
      <c r="AI36" s="18">
        <v>12097</v>
      </c>
      <c r="AJ36" s="18">
        <v>12564</v>
      </c>
      <c r="AK36" s="18">
        <v>12611</v>
      </c>
      <c r="AL36" s="97">
        <v>12704.1</v>
      </c>
    </row>
    <row r="37" spans="1:38" ht="18.75" customHeight="1">
      <c r="A37" s="19">
        <v>37</v>
      </c>
      <c r="B37" s="14" t="s">
        <v>344</v>
      </c>
      <c r="C37" s="60" t="s">
        <v>22</v>
      </c>
      <c r="D37" s="61" t="s">
        <v>22</v>
      </c>
      <c r="E37" s="61" t="s">
        <v>22</v>
      </c>
      <c r="F37" s="61" t="s">
        <v>22</v>
      </c>
      <c r="G37" s="61" t="s">
        <v>22</v>
      </c>
      <c r="H37" s="62" t="s">
        <v>22</v>
      </c>
      <c r="I37" s="60" t="s">
        <v>22</v>
      </c>
      <c r="J37" s="61" t="s">
        <v>22</v>
      </c>
      <c r="K37" s="61" t="s">
        <v>22</v>
      </c>
      <c r="L37" s="17">
        <v>2000</v>
      </c>
      <c r="M37" s="15">
        <v>2288</v>
      </c>
      <c r="N37" s="19">
        <v>2600</v>
      </c>
      <c r="O37" s="19">
        <v>2860</v>
      </c>
      <c r="P37" s="19">
        <v>3160</v>
      </c>
      <c r="Q37" s="19">
        <v>3600</v>
      </c>
      <c r="R37" s="17">
        <v>3480</v>
      </c>
      <c r="S37" s="95">
        <v>4245.6000000000004</v>
      </c>
      <c r="T37" s="101">
        <v>4245.6000000000004</v>
      </c>
      <c r="U37" s="19">
        <v>4350</v>
      </c>
      <c r="V37" s="17">
        <v>4176</v>
      </c>
      <c r="W37" s="95">
        <v>4259.5</v>
      </c>
      <c r="X37" s="101">
        <v>4568.5</v>
      </c>
      <c r="Y37" s="101">
        <v>5470.6</v>
      </c>
      <c r="Z37" s="101">
        <v>5888.2</v>
      </c>
      <c r="AA37" s="101">
        <v>6013.4</v>
      </c>
      <c r="AB37" s="96">
        <v>5888.2</v>
      </c>
      <c r="AC37" s="95">
        <v>6889.2</v>
      </c>
      <c r="AD37" s="101">
        <v>6948.1</v>
      </c>
      <c r="AE37" s="19">
        <v>6948</v>
      </c>
      <c r="AF37" s="96">
        <v>7242.4</v>
      </c>
      <c r="AG37" s="95">
        <v>8111.5</v>
      </c>
      <c r="AH37" s="101">
        <v>8256.4</v>
      </c>
      <c r="AI37" s="101">
        <v>9400.6</v>
      </c>
      <c r="AJ37" s="101">
        <v>9407.7999999999993</v>
      </c>
      <c r="AK37" s="101">
        <v>9777.2000000000007</v>
      </c>
      <c r="AL37" s="96">
        <v>9849.6</v>
      </c>
    </row>
    <row r="38" spans="1:38" ht="18.75" customHeight="1">
      <c r="A38" s="18">
        <v>38</v>
      </c>
      <c r="B38" s="12" t="s">
        <v>345</v>
      </c>
      <c r="C38" s="57" t="s">
        <v>22</v>
      </c>
      <c r="D38" s="58" t="s">
        <v>22</v>
      </c>
      <c r="E38" s="58" t="s">
        <v>22</v>
      </c>
      <c r="F38" s="58" t="s">
        <v>22</v>
      </c>
      <c r="G38" s="58" t="s">
        <v>22</v>
      </c>
      <c r="H38" s="59" t="s">
        <v>22</v>
      </c>
      <c r="I38" s="57" t="s">
        <v>22</v>
      </c>
      <c r="J38" s="58" t="s">
        <v>22</v>
      </c>
      <c r="K38" s="58" t="s">
        <v>22</v>
      </c>
      <c r="L38" s="16">
        <v>2000</v>
      </c>
      <c r="M38" s="13">
        <v>2198</v>
      </c>
      <c r="N38" s="18">
        <v>2720</v>
      </c>
      <c r="O38" s="18">
        <v>3026</v>
      </c>
      <c r="P38" s="18">
        <v>3422</v>
      </c>
      <c r="Q38" s="18">
        <v>3600</v>
      </c>
      <c r="R38" s="16">
        <v>3500</v>
      </c>
      <c r="S38" s="13">
        <v>4025</v>
      </c>
      <c r="T38" s="18">
        <v>4270</v>
      </c>
      <c r="U38" s="18">
        <v>4445</v>
      </c>
      <c r="V38" s="16">
        <v>4235</v>
      </c>
      <c r="W38" s="98">
        <v>4658.5</v>
      </c>
      <c r="X38" s="102">
        <v>4870.3</v>
      </c>
      <c r="Y38" s="102">
        <v>5336.1</v>
      </c>
      <c r="Z38" s="102">
        <v>6733.6</v>
      </c>
      <c r="AA38" s="18">
        <v>6776</v>
      </c>
      <c r="AB38" s="16">
        <v>6776</v>
      </c>
      <c r="AC38" s="98">
        <v>8266.7000000000007</v>
      </c>
      <c r="AD38" s="102">
        <v>8334.5</v>
      </c>
      <c r="AE38" s="102">
        <v>7995.6</v>
      </c>
      <c r="AF38" s="97">
        <v>8334.4</v>
      </c>
      <c r="AG38" s="98">
        <v>8751.1</v>
      </c>
      <c r="AH38" s="102">
        <v>9251.2000000000007</v>
      </c>
      <c r="AI38" s="18">
        <v>10268</v>
      </c>
      <c r="AJ38" s="102">
        <v>9704.7999999999993</v>
      </c>
      <c r="AK38" s="18">
        <v>12377</v>
      </c>
      <c r="AL38" s="16">
        <v>12668</v>
      </c>
    </row>
    <row r="39" spans="1:38" ht="18.75" customHeight="1">
      <c r="A39" s="19">
        <v>39</v>
      </c>
      <c r="B39" s="14" t="s">
        <v>280</v>
      </c>
      <c r="C39" s="95">
        <v>1029.0999999999999</v>
      </c>
      <c r="D39" s="101">
        <v>1075.7</v>
      </c>
      <c r="E39" s="101">
        <v>1085.5</v>
      </c>
      <c r="F39" s="19">
        <v>1095</v>
      </c>
      <c r="G39" s="101">
        <v>1112.3</v>
      </c>
      <c r="H39" s="17">
        <v>1141</v>
      </c>
      <c r="I39" s="95">
        <v>1390.2</v>
      </c>
      <c r="J39" s="101">
        <v>1452.4</v>
      </c>
      <c r="K39" s="101">
        <v>1479.2</v>
      </c>
      <c r="L39" s="17">
        <v>1514</v>
      </c>
      <c r="M39" s="95">
        <v>1848.6</v>
      </c>
      <c r="N39" s="101">
        <v>2019.7</v>
      </c>
      <c r="O39" s="101">
        <v>2033.3</v>
      </c>
      <c r="P39" s="101">
        <v>2063.6</v>
      </c>
      <c r="Q39" s="101">
        <v>2266.5</v>
      </c>
      <c r="R39" s="17">
        <v>2380</v>
      </c>
      <c r="S39" s="95">
        <v>3124.9</v>
      </c>
      <c r="T39" s="101">
        <v>3272.5</v>
      </c>
      <c r="U39" s="101">
        <v>3279.6</v>
      </c>
      <c r="V39" s="96">
        <v>3296.3</v>
      </c>
      <c r="W39" s="95">
        <v>4285.2</v>
      </c>
      <c r="X39" s="101">
        <v>4367.6000000000004</v>
      </c>
      <c r="Y39" s="101">
        <v>4641.2</v>
      </c>
      <c r="Z39" s="101">
        <v>4812.6000000000004</v>
      </c>
      <c r="AA39" s="101">
        <v>4812.6000000000004</v>
      </c>
      <c r="AB39" s="96">
        <v>4812.6000000000004</v>
      </c>
      <c r="AC39" s="95">
        <v>5948.4</v>
      </c>
      <c r="AD39" s="101">
        <v>6150.5</v>
      </c>
      <c r="AE39" s="101">
        <v>6309.3</v>
      </c>
      <c r="AF39" s="96">
        <v>6472.9</v>
      </c>
      <c r="AG39" s="95">
        <v>8058.8</v>
      </c>
      <c r="AH39" s="101">
        <v>8375.9</v>
      </c>
      <c r="AI39" s="101">
        <v>8388.9</v>
      </c>
      <c r="AJ39" s="101">
        <v>8738.4</v>
      </c>
      <c r="AK39" s="101">
        <v>8816.1</v>
      </c>
      <c r="AL39" s="96">
        <v>8893.7999999999993</v>
      </c>
    </row>
    <row r="40" spans="1:38" ht="18.75" customHeight="1">
      <c r="A40" s="12" t="s">
        <v>346</v>
      </c>
      <c r="B40" s="58"/>
      <c r="C40" s="98">
        <v>1065.2</v>
      </c>
      <c r="D40" s="102">
        <v>1216.5999999999999</v>
      </c>
      <c r="E40" s="102">
        <v>1378.1</v>
      </c>
      <c r="F40" s="102">
        <v>1544.4</v>
      </c>
      <c r="G40" s="102">
        <v>1570.6</v>
      </c>
      <c r="H40" s="97">
        <v>1555.5</v>
      </c>
      <c r="I40" s="98">
        <v>1776.1</v>
      </c>
      <c r="J40" s="102">
        <v>1741.5</v>
      </c>
      <c r="K40" s="102">
        <v>1833.8</v>
      </c>
      <c r="L40" s="97">
        <v>1898.7</v>
      </c>
      <c r="M40" s="98">
        <v>2252.9</v>
      </c>
      <c r="N40" s="102">
        <v>2698.6</v>
      </c>
      <c r="O40" s="102">
        <v>2968.5</v>
      </c>
      <c r="P40" s="102">
        <v>3307.6</v>
      </c>
      <c r="Q40" s="102">
        <v>3686.8</v>
      </c>
      <c r="R40" s="97">
        <v>3772.1</v>
      </c>
      <c r="S40" s="98">
        <v>4190.7</v>
      </c>
      <c r="T40" s="102">
        <v>4298.8999999999996</v>
      </c>
      <c r="U40" s="18">
        <v>4598</v>
      </c>
      <c r="V40" s="97">
        <v>4710.3999999999996</v>
      </c>
      <c r="W40" s="98">
        <v>5151.8999999999996</v>
      </c>
      <c r="X40" s="102">
        <v>5281.6</v>
      </c>
      <c r="Y40" s="102">
        <v>5758.7</v>
      </c>
      <c r="Z40" s="102">
        <v>6227.9</v>
      </c>
      <c r="AA40" s="102">
        <v>6884.9</v>
      </c>
      <c r="AB40" s="97">
        <v>6992.7</v>
      </c>
      <c r="AC40" s="98">
        <v>7317.8</v>
      </c>
      <c r="AD40" s="102">
        <v>7362.8</v>
      </c>
      <c r="AE40" s="102">
        <v>7796.2</v>
      </c>
      <c r="AF40" s="97">
        <v>8194.1</v>
      </c>
      <c r="AG40" s="98">
        <v>9365.6</v>
      </c>
      <c r="AH40" s="102">
        <v>9648.2999999999993</v>
      </c>
      <c r="AI40" s="102">
        <v>10094.299999999999</v>
      </c>
      <c r="AJ40" s="18">
        <v>11047</v>
      </c>
      <c r="AK40" s="102">
        <v>11289.5</v>
      </c>
      <c r="AL40" s="97">
        <v>12516.6</v>
      </c>
    </row>
    <row r="41" spans="1:38" ht="18.75" customHeight="1">
      <c r="A41" s="61"/>
      <c r="B41" s="61"/>
      <c r="C41" s="60"/>
      <c r="D41" s="61"/>
      <c r="E41" s="61"/>
      <c r="F41" s="61"/>
      <c r="G41" s="61"/>
      <c r="H41" s="62"/>
      <c r="I41" s="60"/>
      <c r="J41" s="61"/>
      <c r="K41" s="61"/>
      <c r="L41" s="62"/>
      <c r="M41" s="60"/>
      <c r="N41" s="61"/>
      <c r="O41" s="61"/>
      <c r="P41" s="61"/>
      <c r="Q41" s="61"/>
      <c r="R41" s="62"/>
      <c r="S41" s="60"/>
      <c r="T41" s="61"/>
      <c r="U41" s="61"/>
      <c r="V41" s="62"/>
      <c r="W41" s="60"/>
      <c r="X41" s="61"/>
      <c r="Y41" s="61"/>
      <c r="Z41" s="61"/>
      <c r="AA41" s="61"/>
      <c r="AB41" s="62"/>
      <c r="AC41" s="60"/>
      <c r="AD41" s="61"/>
      <c r="AE41" s="61"/>
      <c r="AF41" s="62"/>
      <c r="AG41" s="60"/>
      <c r="AH41" s="61"/>
      <c r="AI41" s="61"/>
      <c r="AJ41" s="61"/>
      <c r="AK41" s="61"/>
      <c r="AL41" s="62"/>
    </row>
    <row r="42" spans="1:38" ht="18.75" customHeight="1">
      <c r="A42" s="58"/>
      <c r="B42" s="58"/>
      <c r="C42" s="57"/>
      <c r="D42" s="58"/>
      <c r="E42" s="58"/>
      <c r="F42" s="58"/>
      <c r="G42" s="58"/>
      <c r="H42" s="59"/>
      <c r="I42" s="57"/>
      <c r="J42" s="58"/>
      <c r="K42" s="58"/>
      <c r="L42" s="59"/>
      <c r="M42" s="57"/>
      <c r="N42" s="58"/>
      <c r="O42" s="58"/>
      <c r="P42" s="58"/>
      <c r="Q42" s="58"/>
      <c r="R42" s="59"/>
      <c r="S42" s="57"/>
      <c r="T42" s="58"/>
      <c r="U42" s="58"/>
      <c r="V42" s="59"/>
      <c r="W42" s="57"/>
      <c r="X42" s="58"/>
      <c r="Y42" s="58"/>
      <c r="Z42" s="58"/>
      <c r="AA42" s="58"/>
      <c r="AB42" s="59"/>
      <c r="AC42" s="98">
        <v>12323.2</v>
      </c>
      <c r="AD42" s="58"/>
      <c r="AE42" s="58"/>
      <c r="AF42" s="59"/>
      <c r="AG42" s="57"/>
      <c r="AH42" s="58"/>
      <c r="AI42" s="58"/>
      <c r="AJ42" s="58"/>
      <c r="AK42" s="58"/>
      <c r="AL42" s="59"/>
    </row>
    <row r="43" spans="1:38" ht="18.75" customHeight="1">
      <c r="A43" s="61"/>
      <c r="B43" s="61"/>
      <c r="C43" s="60"/>
      <c r="D43" s="61"/>
      <c r="E43" s="61"/>
      <c r="F43" s="61"/>
      <c r="G43" s="61"/>
      <c r="H43" s="62"/>
      <c r="I43" s="60"/>
      <c r="J43" s="61"/>
      <c r="K43" s="61"/>
      <c r="L43" s="62"/>
      <c r="M43" s="60"/>
      <c r="N43" s="61"/>
      <c r="O43" s="61"/>
      <c r="P43" s="61"/>
      <c r="Q43" s="61"/>
      <c r="R43" s="62"/>
      <c r="S43" s="60"/>
      <c r="T43" s="61"/>
      <c r="U43" s="61"/>
      <c r="V43" s="62"/>
      <c r="W43" s="60"/>
      <c r="X43" s="61"/>
      <c r="Y43" s="61"/>
      <c r="Z43" s="61"/>
      <c r="AA43" s="61"/>
      <c r="AB43" s="62"/>
      <c r="AC43" s="95">
        <v>6367.2</v>
      </c>
      <c r="AD43" s="61"/>
      <c r="AE43" s="61"/>
      <c r="AF43" s="62"/>
      <c r="AG43" s="60"/>
      <c r="AH43" s="61"/>
      <c r="AI43" s="61"/>
      <c r="AJ43" s="61"/>
      <c r="AK43" s="61"/>
      <c r="AL43" s="62"/>
    </row>
    <row r="44" spans="1:38" ht="18.75" customHeight="1">
      <c r="A44" s="58"/>
      <c r="B44" s="58"/>
      <c r="C44" s="57"/>
      <c r="D44" s="58"/>
      <c r="E44" s="58"/>
      <c r="F44" s="58"/>
      <c r="G44" s="58"/>
      <c r="H44" s="59"/>
      <c r="I44" s="57"/>
      <c r="J44" s="58"/>
      <c r="K44" s="58"/>
      <c r="L44" s="59"/>
      <c r="M44" s="57"/>
      <c r="N44" s="58"/>
      <c r="O44" s="58"/>
      <c r="P44" s="58"/>
      <c r="Q44" s="58"/>
      <c r="R44" s="59"/>
      <c r="S44" s="57"/>
      <c r="T44" s="58"/>
      <c r="U44" s="58"/>
      <c r="V44" s="59"/>
      <c r="W44" s="57"/>
      <c r="X44" s="58"/>
      <c r="Y44" s="58"/>
      <c r="Z44" s="58"/>
      <c r="AA44" s="58"/>
      <c r="AB44" s="59"/>
      <c r="AC44" s="98">
        <v>10088.6</v>
      </c>
      <c r="AD44" s="58"/>
      <c r="AE44" s="58"/>
      <c r="AF44" s="59"/>
      <c r="AG44" s="57"/>
      <c r="AH44" s="58"/>
      <c r="AI44" s="58"/>
      <c r="AJ44" s="58"/>
      <c r="AK44" s="58"/>
      <c r="AL44" s="59"/>
    </row>
    <row r="45" spans="1:38" ht="18.75" customHeight="1">
      <c r="A45" s="61"/>
      <c r="B45" s="61"/>
      <c r="C45" s="60"/>
      <c r="D45" s="61"/>
      <c r="E45" s="61"/>
      <c r="F45" s="61"/>
      <c r="G45" s="61"/>
      <c r="H45" s="62"/>
      <c r="I45" s="60"/>
      <c r="J45" s="61"/>
      <c r="K45" s="61"/>
      <c r="L45" s="62"/>
      <c r="M45" s="60"/>
      <c r="N45" s="61"/>
      <c r="O45" s="61"/>
      <c r="P45" s="61"/>
      <c r="Q45" s="61"/>
      <c r="R45" s="62"/>
      <c r="S45" s="60"/>
      <c r="T45" s="61"/>
      <c r="U45" s="61"/>
      <c r="V45" s="62"/>
      <c r="W45" s="60"/>
      <c r="X45" s="61"/>
      <c r="Y45" s="61"/>
      <c r="Z45" s="61"/>
      <c r="AA45" s="61"/>
      <c r="AB45" s="62"/>
      <c r="AC45" s="95">
        <v>8111.5</v>
      </c>
      <c r="AD45" s="61"/>
      <c r="AE45" s="61"/>
      <c r="AF45" s="62"/>
      <c r="AG45" s="60"/>
      <c r="AH45" s="61"/>
      <c r="AI45" s="61"/>
      <c r="AJ45" s="61"/>
      <c r="AK45" s="61"/>
      <c r="AL45" s="62"/>
    </row>
    <row r="46" spans="1:38" ht="18.75" customHeight="1">
      <c r="A46" s="58"/>
      <c r="B46" s="58"/>
      <c r="C46" s="57"/>
      <c r="D46" s="58"/>
      <c r="E46" s="58"/>
      <c r="F46" s="58"/>
      <c r="G46" s="58"/>
      <c r="H46" s="59"/>
      <c r="I46" s="57"/>
      <c r="J46" s="58"/>
      <c r="K46" s="58"/>
      <c r="L46" s="59"/>
      <c r="M46" s="57"/>
      <c r="N46" s="58"/>
      <c r="O46" s="58"/>
      <c r="P46" s="58"/>
      <c r="Q46" s="58"/>
      <c r="R46" s="59"/>
      <c r="S46" s="57"/>
      <c r="T46" s="58"/>
      <c r="U46" s="58"/>
      <c r="V46" s="59"/>
      <c r="W46" s="57"/>
      <c r="X46" s="58"/>
      <c r="Y46" s="58"/>
      <c r="Z46" s="58"/>
      <c r="AA46" s="58"/>
      <c r="AB46" s="59"/>
      <c r="AC46" s="98">
        <v>8751.1</v>
      </c>
      <c r="AD46" s="58"/>
      <c r="AE46" s="58"/>
      <c r="AF46" s="59"/>
      <c r="AG46" s="57"/>
      <c r="AH46" s="58"/>
      <c r="AI46" s="58"/>
      <c r="AJ46" s="58"/>
      <c r="AK46" s="58"/>
      <c r="AL46" s="59"/>
    </row>
    <row r="47" spans="1:38" ht="18.75" customHeight="1">
      <c r="A47" s="61"/>
      <c r="B47" s="61"/>
      <c r="C47" s="60"/>
      <c r="D47" s="61"/>
      <c r="E47" s="61"/>
      <c r="F47" s="61"/>
      <c r="G47" s="61"/>
      <c r="H47" s="62"/>
      <c r="I47" s="60"/>
      <c r="J47" s="61"/>
      <c r="K47" s="61"/>
      <c r="L47" s="62"/>
      <c r="M47" s="60"/>
      <c r="N47" s="61"/>
      <c r="O47" s="61"/>
      <c r="P47" s="61"/>
      <c r="Q47" s="61"/>
      <c r="R47" s="62"/>
      <c r="S47" s="60"/>
      <c r="T47" s="61"/>
      <c r="U47" s="61"/>
      <c r="V47" s="62"/>
      <c r="W47" s="60"/>
      <c r="X47" s="61"/>
      <c r="Y47" s="61"/>
      <c r="Z47" s="61"/>
      <c r="AA47" s="61"/>
      <c r="AB47" s="62"/>
      <c r="AC47" s="95">
        <v>8058.8</v>
      </c>
      <c r="AD47" s="61"/>
      <c r="AE47" s="61"/>
      <c r="AF47" s="62"/>
      <c r="AG47" s="60"/>
      <c r="AH47" s="61"/>
      <c r="AI47" s="61"/>
      <c r="AJ47" s="61"/>
      <c r="AK47" s="61"/>
      <c r="AL47" s="62"/>
    </row>
  </sheetData>
  <mergeCells count="7">
    <mergeCell ref="M2:R2"/>
    <mergeCell ref="C2:H2"/>
    <mergeCell ref="AG2:AL2"/>
    <mergeCell ref="S2:V2"/>
    <mergeCell ref="I2:L2"/>
    <mergeCell ref="AC2:AF2"/>
    <mergeCell ref="W2:AB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"/>
  <sheetViews>
    <sheetView showGridLines="0" rightToLeft="1" zoomScaleNormal="100" workbookViewId="0">
      <pane ySplit="3" topLeftCell="A16" activePane="bottomLeft" state="frozen"/>
      <selection pane="bottomLeft" activeCell="B1" sqref="B1"/>
    </sheetView>
  </sheetViews>
  <sheetFormatPr defaultColWidth="8.625" defaultRowHeight="14.25" customHeight="1"/>
  <cols>
    <col min="1" max="1" width="9.75" bestFit="1" customWidth="1"/>
    <col min="2" max="2" width="27.25" bestFit="1" customWidth="1"/>
    <col min="3" max="22" width="5.625" bestFit="1" customWidth="1"/>
    <col min="23" max="24" width="6.5" bestFit="1" customWidth="1"/>
    <col min="25" max="28" width="5.625" bestFit="1" customWidth="1"/>
    <col min="29" max="38" width="6.5" bestFit="1" customWidth="1"/>
  </cols>
  <sheetData>
    <row r="1" spans="1:38" ht="6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</row>
    <row r="2" spans="1:38" ht="27.75" customHeight="1">
      <c r="A2" s="10" t="s">
        <v>72</v>
      </c>
      <c r="B2" s="10" t="s">
        <v>228</v>
      </c>
      <c r="C2" s="141">
        <v>1397</v>
      </c>
      <c r="D2" s="139"/>
      <c r="E2" s="139"/>
      <c r="F2" s="139"/>
      <c r="G2" s="139"/>
      <c r="H2" s="140"/>
      <c r="I2" s="141">
        <v>1398</v>
      </c>
      <c r="J2" s="139"/>
      <c r="K2" s="139"/>
      <c r="L2" s="140"/>
      <c r="M2" s="141">
        <v>1399</v>
      </c>
      <c r="N2" s="139"/>
      <c r="O2" s="139"/>
      <c r="P2" s="139"/>
      <c r="Q2" s="139"/>
      <c r="R2" s="140"/>
      <c r="S2" s="141">
        <v>1400</v>
      </c>
      <c r="T2" s="139"/>
      <c r="U2" s="139"/>
      <c r="V2" s="140"/>
      <c r="W2" s="141">
        <v>1401</v>
      </c>
      <c r="X2" s="139"/>
      <c r="Y2" s="139"/>
      <c r="Z2" s="139"/>
      <c r="AA2" s="139"/>
      <c r="AB2" s="140"/>
      <c r="AC2" s="141">
        <v>1402</v>
      </c>
      <c r="AD2" s="139"/>
      <c r="AE2" s="139"/>
      <c r="AF2" s="140"/>
      <c r="AG2" s="141">
        <v>1403</v>
      </c>
      <c r="AH2" s="139"/>
      <c r="AI2" s="139"/>
      <c r="AJ2" s="139"/>
      <c r="AK2" s="139"/>
      <c r="AL2" s="140"/>
    </row>
    <row r="3" spans="1:38" ht="24" customHeight="1">
      <c r="A3" s="11"/>
      <c r="B3" s="11"/>
      <c r="C3" s="54" t="s">
        <v>244</v>
      </c>
      <c r="D3" s="55" t="s">
        <v>230</v>
      </c>
      <c r="E3" s="55" t="s">
        <v>231</v>
      </c>
      <c r="F3" s="55" t="s">
        <v>232</v>
      </c>
      <c r="G3" s="55" t="s">
        <v>245</v>
      </c>
      <c r="H3" s="56" t="s">
        <v>246</v>
      </c>
      <c r="I3" s="54" t="s">
        <v>244</v>
      </c>
      <c r="J3" s="55" t="s">
        <v>247</v>
      </c>
      <c r="K3" s="55" t="s">
        <v>245</v>
      </c>
      <c r="L3" s="56" t="s">
        <v>246</v>
      </c>
      <c r="M3" s="54" t="s">
        <v>244</v>
      </c>
      <c r="N3" s="55" t="s">
        <v>230</v>
      </c>
      <c r="O3" s="55" t="s">
        <v>231</v>
      </c>
      <c r="P3" s="55" t="s">
        <v>232</v>
      </c>
      <c r="Q3" s="55" t="s">
        <v>245</v>
      </c>
      <c r="R3" s="56" t="s">
        <v>246</v>
      </c>
      <c r="S3" s="54" t="s">
        <v>244</v>
      </c>
      <c r="T3" s="55" t="s">
        <v>247</v>
      </c>
      <c r="U3" s="55" t="s">
        <v>245</v>
      </c>
      <c r="V3" s="56" t="s">
        <v>246</v>
      </c>
      <c r="W3" s="54" t="s">
        <v>244</v>
      </c>
      <c r="X3" s="55" t="s">
        <v>247</v>
      </c>
      <c r="Y3" s="55" t="s">
        <v>245</v>
      </c>
      <c r="Z3" s="55" t="s">
        <v>236</v>
      </c>
      <c r="AA3" s="55" t="s">
        <v>237</v>
      </c>
      <c r="AB3" s="56" t="s">
        <v>238</v>
      </c>
      <c r="AC3" s="54" t="s">
        <v>244</v>
      </c>
      <c r="AD3" s="55" t="s">
        <v>247</v>
      </c>
      <c r="AE3" s="55" t="s">
        <v>245</v>
      </c>
      <c r="AF3" s="56" t="s">
        <v>246</v>
      </c>
      <c r="AG3" s="54" t="s">
        <v>244</v>
      </c>
      <c r="AH3" s="55" t="s">
        <v>247</v>
      </c>
      <c r="AI3" s="55" t="s">
        <v>245</v>
      </c>
      <c r="AJ3" s="55" t="s">
        <v>236</v>
      </c>
      <c r="AK3" s="55" t="s">
        <v>237</v>
      </c>
      <c r="AL3" s="56" t="s">
        <v>238</v>
      </c>
    </row>
    <row r="4" spans="1:38" ht="18.75" customHeight="1">
      <c r="A4" s="18">
        <v>1</v>
      </c>
      <c r="B4" s="12" t="s">
        <v>347</v>
      </c>
      <c r="C4" s="98">
        <v>1036.5</v>
      </c>
      <c r="D4" s="102">
        <v>1103.0999999999999</v>
      </c>
      <c r="E4" s="102">
        <v>1125.4000000000001</v>
      </c>
      <c r="F4" s="102">
        <v>1146.4000000000001</v>
      </c>
      <c r="G4" s="18">
        <v>1164</v>
      </c>
      <c r="H4" s="97">
        <v>1205.5</v>
      </c>
      <c r="I4" s="98">
        <v>1449.1</v>
      </c>
      <c r="J4" s="102">
        <v>1522.7</v>
      </c>
      <c r="K4" s="102">
        <v>1567.5</v>
      </c>
      <c r="L4" s="97">
        <v>1622.4</v>
      </c>
      <c r="M4" s="98">
        <v>1971.2</v>
      </c>
      <c r="N4" s="102">
        <v>2198.1</v>
      </c>
      <c r="O4" s="102">
        <v>2237.6999999999998</v>
      </c>
      <c r="P4" s="18">
        <v>2321</v>
      </c>
      <c r="Q4" s="18">
        <v>2552</v>
      </c>
      <c r="R4" s="97">
        <v>2684.2</v>
      </c>
      <c r="S4" s="98">
        <v>3507.3</v>
      </c>
      <c r="T4" s="102">
        <v>3712.1</v>
      </c>
      <c r="U4" s="102">
        <v>3729.6</v>
      </c>
      <c r="V4" s="97">
        <v>3788.6</v>
      </c>
      <c r="W4" s="98">
        <v>4819.8999999999996</v>
      </c>
      <c r="X4" s="102">
        <v>4931.1000000000004</v>
      </c>
      <c r="Y4" s="102">
        <v>5270.8</v>
      </c>
      <c r="Z4" s="102">
        <v>5541.3</v>
      </c>
      <c r="AA4" s="102">
        <v>5541.5</v>
      </c>
      <c r="AB4" s="97">
        <v>5541.7</v>
      </c>
      <c r="AC4" s="98">
        <v>6776.2</v>
      </c>
      <c r="AD4" s="102">
        <v>7045.3</v>
      </c>
      <c r="AE4" s="102">
        <v>7184.7</v>
      </c>
      <c r="AF4" s="97">
        <v>7385.9</v>
      </c>
      <c r="AG4" s="98">
        <v>9083.2999999999993</v>
      </c>
      <c r="AH4" s="102">
        <v>9474.7999999999993</v>
      </c>
      <c r="AI4" s="102">
        <v>9493.2000000000007</v>
      </c>
      <c r="AJ4" s="102">
        <v>9995.4</v>
      </c>
      <c r="AK4" s="102">
        <v>10099.700000000001</v>
      </c>
      <c r="AL4" s="97">
        <v>10222.4</v>
      </c>
    </row>
    <row r="5" spans="1:38" ht="18.75" customHeight="1">
      <c r="A5" s="19">
        <v>2</v>
      </c>
      <c r="B5" s="14" t="s">
        <v>283</v>
      </c>
      <c r="C5" s="95">
        <v>1001.8</v>
      </c>
      <c r="D5" s="101">
        <v>1054.2</v>
      </c>
      <c r="E5" s="101">
        <v>1065.5</v>
      </c>
      <c r="F5" s="101">
        <v>1076.4000000000001</v>
      </c>
      <c r="G5" s="101">
        <v>1102.0999999999999</v>
      </c>
      <c r="H5" s="96">
        <v>1134.9000000000001</v>
      </c>
      <c r="I5" s="95">
        <v>1374.9</v>
      </c>
      <c r="J5" s="101">
        <v>1435.8</v>
      </c>
      <c r="K5" s="101">
        <v>1465.5</v>
      </c>
      <c r="L5" s="96">
        <v>1505.8</v>
      </c>
      <c r="M5" s="95">
        <v>1853.7</v>
      </c>
      <c r="N5" s="101">
        <v>2035.8</v>
      </c>
      <c r="O5" s="101">
        <v>2056.4</v>
      </c>
      <c r="P5" s="101">
        <v>2099.6</v>
      </c>
      <c r="Q5" s="101">
        <v>2296.9</v>
      </c>
      <c r="R5" s="96">
        <v>2462.5</v>
      </c>
      <c r="S5" s="95">
        <v>3227.1</v>
      </c>
      <c r="T5" s="101">
        <v>3410.3</v>
      </c>
      <c r="U5" s="101">
        <v>3431.2</v>
      </c>
      <c r="V5" s="96">
        <v>3492.7</v>
      </c>
      <c r="W5" s="95">
        <v>4398.5</v>
      </c>
      <c r="X5" s="101">
        <v>4479.3999999999996</v>
      </c>
      <c r="Y5" s="101">
        <v>4865.8999999999996</v>
      </c>
      <c r="Z5" s="101">
        <v>5071.6000000000004</v>
      </c>
      <c r="AA5" s="101">
        <v>5071.6000000000004</v>
      </c>
      <c r="AB5" s="96">
        <v>5071.7</v>
      </c>
      <c r="AC5" s="95">
        <v>6188.8</v>
      </c>
      <c r="AD5" s="101">
        <v>6393.5</v>
      </c>
      <c r="AE5" s="19">
        <v>6614</v>
      </c>
      <c r="AF5" s="17">
        <v>6774</v>
      </c>
      <c r="AG5" s="95">
        <v>8338.2000000000007</v>
      </c>
      <c r="AH5" s="19">
        <v>8677</v>
      </c>
      <c r="AI5" s="101">
        <v>8850.6</v>
      </c>
      <c r="AJ5" s="101">
        <v>9231.6</v>
      </c>
      <c r="AK5" s="101">
        <v>9310.9</v>
      </c>
      <c r="AL5" s="96">
        <v>9403.7999999999993</v>
      </c>
    </row>
    <row r="6" spans="1:38" ht="18.75" customHeight="1">
      <c r="A6" s="18">
        <v>3</v>
      </c>
      <c r="B6" s="12" t="s">
        <v>284</v>
      </c>
      <c r="C6" s="98">
        <v>1068.8</v>
      </c>
      <c r="D6" s="102">
        <v>1210.3</v>
      </c>
      <c r="E6" s="102">
        <v>1276.9000000000001</v>
      </c>
      <c r="F6" s="102">
        <v>1341.7</v>
      </c>
      <c r="G6" s="102">
        <v>1348.5</v>
      </c>
      <c r="H6" s="97">
        <v>1364.8</v>
      </c>
      <c r="I6" s="98">
        <v>1570.9</v>
      </c>
      <c r="J6" s="102">
        <v>1661.8</v>
      </c>
      <c r="K6" s="102">
        <v>1769.7</v>
      </c>
      <c r="L6" s="97">
        <v>1875.3</v>
      </c>
      <c r="M6" s="98">
        <v>2247.1</v>
      </c>
      <c r="N6" s="102">
        <v>2628.9</v>
      </c>
      <c r="O6" s="102">
        <v>2743.1</v>
      </c>
      <c r="P6" s="102">
        <v>2982.5</v>
      </c>
      <c r="Q6" s="102">
        <v>3243.6</v>
      </c>
      <c r="R6" s="97">
        <v>3447.1</v>
      </c>
      <c r="S6" s="98">
        <v>4446.8999999999996</v>
      </c>
      <c r="T6" s="102">
        <v>4829.2</v>
      </c>
      <c r="U6" s="102">
        <v>4880.5</v>
      </c>
      <c r="V6" s="97">
        <v>5058.5</v>
      </c>
      <c r="W6" s="98">
        <v>6273.6</v>
      </c>
      <c r="X6" s="102">
        <v>6470.5</v>
      </c>
      <c r="Y6" s="102">
        <v>6919.2</v>
      </c>
      <c r="Z6" s="102">
        <v>7353.5</v>
      </c>
      <c r="AA6" s="102">
        <v>7353.5</v>
      </c>
      <c r="AB6" s="97">
        <v>7353.4</v>
      </c>
      <c r="AC6" s="98">
        <v>8729.6</v>
      </c>
      <c r="AD6" s="102">
        <v>9244.7000000000007</v>
      </c>
      <c r="AE6" s="102">
        <v>9380.9</v>
      </c>
      <c r="AF6" s="97">
        <v>9690.2000000000007</v>
      </c>
      <c r="AG6" s="98">
        <v>11364.7</v>
      </c>
      <c r="AH6" s="102">
        <v>11867.4</v>
      </c>
      <c r="AI6" s="102">
        <v>12146.7</v>
      </c>
      <c r="AJ6" s="102">
        <v>13150.1</v>
      </c>
      <c r="AK6" s="102">
        <v>13320.4</v>
      </c>
      <c r="AL6" s="97">
        <v>13537.5</v>
      </c>
    </row>
    <row r="7" spans="1:38" ht="18.75" customHeight="1">
      <c r="A7" s="19">
        <v>4</v>
      </c>
      <c r="B7" s="14" t="s">
        <v>348</v>
      </c>
      <c r="C7" s="95">
        <v>886.4</v>
      </c>
      <c r="D7" s="101">
        <v>984.1</v>
      </c>
      <c r="E7" s="101">
        <v>1016.8</v>
      </c>
      <c r="F7" s="101">
        <v>1048.4000000000001</v>
      </c>
      <c r="G7" s="101">
        <v>1095.9000000000001</v>
      </c>
      <c r="H7" s="96">
        <v>1103.3</v>
      </c>
      <c r="I7" s="95">
        <v>1263.3</v>
      </c>
      <c r="J7" s="101">
        <v>1321.7</v>
      </c>
      <c r="K7" s="101">
        <v>1368.1</v>
      </c>
      <c r="L7" s="96">
        <v>1423.2</v>
      </c>
      <c r="M7" s="95">
        <v>1743.4</v>
      </c>
      <c r="N7" s="101">
        <v>1955.5</v>
      </c>
      <c r="O7" s="101">
        <v>1986.8</v>
      </c>
      <c r="P7" s="101">
        <v>2127.6999999999998</v>
      </c>
      <c r="Q7" s="19">
        <v>2297</v>
      </c>
      <c r="R7" s="96">
        <v>2658.5</v>
      </c>
      <c r="S7" s="95">
        <v>3428.9</v>
      </c>
      <c r="T7" s="101">
        <v>3798.2</v>
      </c>
      <c r="U7" s="101">
        <v>3870.8</v>
      </c>
      <c r="V7" s="17">
        <v>4110</v>
      </c>
      <c r="W7" s="95">
        <v>4866.2</v>
      </c>
      <c r="X7" s="19">
        <v>4969</v>
      </c>
      <c r="Y7" s="101">
        <v>5532.1</v>
      </c>
      <c r="Z7" s="101">
        <v>5762.2</v>
      </c>
      <c r="AA7" s="101">
        <v>5762.2</v>
      </c>
      <c r="AB7" s="96">
        <v>5762.2</v>
      </c>
      <c r="AC7" s="95">
        <v>6741.8</v>
      </c>
      <c r="AD7" s="101">
        <v>6972.2</v>
      </c>
      <c r="AE7" s="19">
        <v>7462</v>
      </c>
      <c r="AF7" s="96">
        <v>7629.2</v>
      </c>
      <c r="AG7" s="95">
        <v>8956.7000000000007</v>
      </c>
      <c r="AH7" s="101">
        <v>9391.5</v>
      </c>
      <c r="AI7" s="101">
        <v>10177.4</v>
      </c>
      <c r="AJ7" s="101">
        <v>10642.7</v>
      </c>
      <c r="AK7" s="101">
        <v>10726.7</v>
      </c>
      <c r="AL7" s="96">
        <v>10841.1</v>
      </c>
    </row>
    <row r="8" spans="1:38" ht="18.75" customHeight="1">
      <c r="A8" s="18">
        <v>5</v>
      </c>
      <c r="B8" s="12" t="s">
        <v>349</v>
      </c>
      <c r="C8" s="98">
        <v>1028.7</v>
      </c>
      <c r="D8" s="102">
        <v>1158.2</v>
      </c>
      <c r="E8" s="18">
        <v>1219</v>
      </c>
      <c r="F8" s="102">
        <v>1278.0999999999999</v>
      </c>
      <c r="G8" s="102">
        <v>1296.5</v>
      </c>
      <c r="H8" s="97">
        <v>1382.2</v>
      </c>
      <c r="I8" s="98">
        <v>1597.3</v>
      </c>
      <c r="J8" s="18">
        <v>1705</v>
      </c>
      <c r="K8" s="18">
        <v>1796</v>
      </c>
      <c r="L8" s="97">
        <v>1900.9</v>
      </c>
      <c r="M8" s="98">
        <v>2248.9</v>
      </c>
      <c r="N8" s="102">
        <v>2615.5</v>
      </c>
      <c r="O8" s="18">
        <v>2727</v>
      </c>
      <c r="P8" s="102">
        <v>2960.6</v>
      </c>
      <c r="Q8" s="102">
        <v>3269.7</v>
      </c>
      <c r="R8" s="97">
        <v>3455.9</v>
      </c>
      <c r="S8" s="98">
        <v>4463.2</v>
      </c>
      <c r="T8" s="102">
        <v>4832.2</v>
      </c>
      <c r="U8" s="102">
        <v>4877.8</v>
      </c>
      <c r="V8" s="97">
        <v>5040.7</v>
      </c>
      <c r="W8" s="98">
        <v>6284.9</v>
      </c>
      <c r="X8" s="102">
        <v>6481.7</v>
      </c>
      <c r="Y8" s="18">
        <v>6907</v>
      </c>
      <c r="Z8" s="102">
        <v>7344.7</v>
      </c>
      <c r="AA8" s="102">
        <v>7344.7</v>
      </c>
      <c r="AB8" s="97">
        <v>7344.8</v>
      </c>
      <c r="AC8" s="98">
        <v>8830.7000000000007</v>
      </c>
      <c r="AD8" s="102">
        <v>9263.1</v>
      </c>
      <c r="AE8" s="102">
        <v>9374.7999999999993</v>
      </c>
      <c r="AF8" s="97">
        <v>9686.6</v>
      </c>
      <c r="AG8" s="98">
        <v>11643.5</v>
      </c>
      <c r="AH8" s="102">
        <v>12245.5</v>
      </c>
      <c r="AI8" s="102">
        <v>12246.2</v>
      </c>
      <c r="AJ8" s="102">
        <v>13121.8</v>
      </c>
      <c r="AK8" s="18">
        <v>13292</v>
      </c>
      <c r="AL8" s="97">
        <v>13508.4</v>
      </c>
    </row>
    <row r="9" spans="1:38" ht="18.75" customHeight="1">
      <c r="A9" s="19">
        <v>6</v>
      </c>
      <c r="B9" s="14" t="s">
        <v>350</v>
      </c>
      <c r="C9" s="95">
        <v>905.4</v>
      </c>
      <c r="D9" s="101">
        <v>942.6</v>
      </c>
      <c r="E9" s="19">
        <v>968</v>
      </c>
      <c r="F9" s="101">
        <v>982.8</v>
      </c>
      <c r="G9" s="101">
        <v>1022.8</v>
      </c>
      <c r="H9" s="17">
        <v>1042</v>
      </c>
      <c r="I9" s="15">
        <v>1237</v>
      </c>
      <c r="J9" s="101">
        <v>1312.2</v>
      </c>
      <c r="K9" s="101">
        <v>1346.1</v>
      </c>
      <c r="L9" s="96">
        <v>1388.3</v>
      </c>
      <c r="M9" s="15">
        <v>1692</v>
      </c>
      <c r="N9" s="101">
        <v>1862.8</v>
      </c>
      <c r="O9" s="101">
        <v>1872.4</v>
      </c>
      <c r="P9" s="101">
        <v>1923.6</v>
      </c>
      <c r="Q9" s="101">
        <v>2120.5</v>
      </c>
      <c r="R9" s="96">
        <v>2256.5</v>
      </c>
      <c r="S9" s="95">
        <v>2897.1</v>
      </c>
      <c r="T9" s="101">
        <v>3192.8</v>
      </c>
      <c r="U9" s="101">
        <v>3150.6</v>
      </c>
      <c r="V9" s="96">
        <v>3203.7</v>
      </c>
      <c r="W9" s="95">
        <v>3983.3</v>
      </c>
      <c r="X9" s="101">
        <v>4099.1000000000004</v>
      </c>
      <c r="Y9" s="101">
        <v>4363.3</v>
      </c>
      <c r="Z9" s="101">
        <v>4596.3999999999996</v>
      </c>
      <c r="AA9" s="101">
        <v>4612.8</v>
      </c>
      <c r="AB9" s="96">
        <v>4835.6000000000004</v>
      </c>
      <c r="AC9" s="95">
        <v>5669.7</v>
      </c>
      <c r="AD9" s="101">
        <v>5908.8</v>
      </c>
      <c r="AE9" s="101">
        <v>6160.7</v>
      </c>
      <c r="AF9" s="96">
        <v>6274.4</v>
      </c>
      <c r="AG9" s="95">
        <v>7618.8</v>
      </c>
      <c r="AH9" s="101">
        <v>7895.1</v>
      </c>
      <c r="AI9" s="19">
        <v>8183</v>
      </c>
      <c r="AJ9" s="101">
        <v>8516.6</v>
      </c>
      <c r="AK9" s="101">
        <v>8722.7000000000007</v>
      </c>
      <c r="AL9" s="96">
        <v>8884.9</v>
      </c>
    </row>
    <row r="10" spans="1:38" ht="18.75" customHeight="1">
      <c r="A10" s="18">
        <v>7</v>
      </c>
      <c r="B10" s="12" t="s">
        <v>299</v>
      </c>
      <c r="C10" s="98">
        <v>883.6</v>
      </c>
      <c r="D10" s="102">
        <v>914.9</v>
      </c>
      <c r="E10" s="102">
        <v>947.1</v>
      </c>
      <c r="F10" s="102">
        <v>954.5</v>
      </c>
      <c r="G10" s="102">
        <v>978.8</v>
      </c>
      <c r="H10" s="97">
        <v>995.1</v>
      </c>
      <c r="I10" s="98">
        <v>1153.0999999999999</v>
      </c>
      <c r="J10" s="102">
        <v>1263.9000000000001</v>
      </c>
      <c r="K10" s="102">
        <v>1306.3</v>
      </c>
      <c r="L10" s="97">
        <v>1331.6</v>
      </c>
      <c r="M10" s="98">
        <v>1552.3</v>
      </c>
      <c r="N10" s="102">
        <v>1723.8</v>
      </c>
      <c r="O10" s="102">
        <v>1733.2</v>
      </c>
      <c r="P10" s="102">
        <v>1766.7</v>
      </c>
      <c r="Q10" s="102">
        <v>1973.2</v>
      </c>
      <c r="R10" s="16">
        <v>2052</v>
      </c>
      <c r="S10" s="98">
        <v>2673.4</v>
      </c>
      <c r="T10" s="102">
        <v>3075.7</v>
      </c>
      <c r="U10" s="102">
        <v>2948.5</v>
      </c>
      <c r="V10" s="97">
        <v>3010.7</v>
      </c>
      <c r="W10" s="98">
        <v>3788.5</v>
      </c>
      <c r="X10" s="18">
        <v>3965</v>
      </c>
      <c r="Y10" s="18">
        <v>4057</v>
      </c>
      <c r="Z10" s="102">
        <v>4231.1000000000004</v>
      </c>
      <c r="AA10" s="102">
        <v>4246.7</v>
      </c>
      <c r="AB10" s="97">
        <v>4504.6000000000004</v>
      </c>
      <c r="AC10" s="98">
        <v>5327.7</v>
      </c>
      <c r="AD10" s="102">
        <v>5687.8</v>
      </c>
      <c r="AE10" s="102">
        <v>5929.6</v>
      </c>
      <c r="AF10" s="97">
        <v>6038.9</v>
      </c>
      <c r="AG10" s="13">
        <v>7224</v>
      </c>
      <c r="AH10" s="102">
        <v>8029.4</v>
      </c>
      <c r="AI10" s="102">
        <v>8106.8</v>
      </c>
      <c r="AJ10" s="18">
        <v>8427</v>
      </c>
      <c r="AK10" s="102">
        <v>8657.4</v>
      </c>
      <c r="AL10" s="97">
        <v>8909.4</v>
      </c>
    </row>
    <row r="11" spans="1:38" ht="18.75" customHeight="1">
      <c r="A11" s="19">
        <v>8</v>
      </c>
      <c r="B11" s="14" t="s">
        <v>351</v>
      </c>
      <c r="C11" s="95">
        <v>781.9</v>
      </c>
      <c r="D11" s="101">
        <v>852.3</v>
      </c>
      <c r="E11" s="101">
        <v>876.6</v>
      </c>
      <c r="F11" s="101">
        <v>893.1</v>
      </c>
      <c r="G11" s="101">
        <v>931.8</v>
      </c>
      <c r="H11" s="96">
        <v>989.2</v>
      </c>
      <c r="I11" s="95">
        <v>1139.8</v>
      </c>
      <c r="J11" s="101">
        <v>1128.0999999999999</v>
      </c>
      <c r="K11" s="101">
        <v>1147.3</v>
      </c>
      <c r="L11" s="96">
        <v>1277.8</v>
      </c>
      <c r="M11" s="95">
        <v>1549.4</v>
      </c>
      <c r="N11" s="101">
        <v>1869.4</v>
      </c>
      <c r="O11" s="101">
        <v>1912.9</v>
      </c>
      <c r="P11" s="101">
        <v>1994.6</v>
      </c>
      <c r="Q11" s="101">
        <v>2204.1999999999998</v>
      </c>
      <c r="R11" s="96">
        <v>2280.9</v>
      </c>
      <c r="S11" s="95">
        <v>2791.8</v>
      </c>
      <c r="T11" s="101">
        <v>2989.3</v>
      </c>
      <c r="U11" s="19">
        <v>3067</v>
      </c>
      <c r="V11" s="96">
        <v>3033.8</v>
      </c>
      <c r="W11" s="95">
        <v>3707.3</v>
      </c>
      <c r="X11" s="101">
        <v>3755.8</v>
      </c>
      <c r="Y11" s="101">
        <v>3931.8</v>
      </c>
      <c r="Z11" s="101">
        <v>4207.8999999999996</v>
      </c>
      <c r="AA11" s="101">
        <v>4277.7</v>
      </c>
      <c r="AB11" s="96">
        <v>4517.3</v>
      </c>
      <c r="AC11" s="95">
        <v>5149.7</v>
      </c>
      <c r="AD11" s="101">
        <v>5276.2</v>
      </c>
      <c r="AE11" s="101">
        <v>5140.7</v>
      </c>
      <c r="AF11" s="96">
        <v>5380.1</v>
      </c>
      <c r="AG11" s="95">
        <v>6278.6</v>
      </c>
      <c r="AH11" s="101">
        <v>6628.3</v>
      </c>
      <c r="AI11" s="101">
        <v>6633.7</v>
      </c>
      <c r="AJ11" s="101">
        <v>6870.4</v>
      </c>
      <c r="AK11" s="101">
        <v>6929.6</v>
      </c>
      <c r="AL11" s="96">
        <v>7015.7</v>
      </c>
    </row>
    <row r="12" spans="1:38" ht="18.75" customHeight="1">
      <c r="A12" s="18">
        <v>9</v>
      </c>
      <c r="B12" s="12" t="s">
        <v>288</v>
      </c>
      <c r="C12" s="98">
        <v>885.2</v>
      </c>
      <c r="D12" s="102">
        <v>1036.0999999999999</v>
      </c>
      <c r="E12" s="102">
        <v>1317.4</v>
      </c>
      <c r="F12" s="18">
        <v>1366</v>
      </c>
      <c r="G12" s="102">
        <v>1270.4000000000001</v>
      </c>
      <c r="H12" s="97">
        <v>1249.4000000000001</v>
      </c>
      <c r="I12" s="98">
        <v>1473.1</v>
      </c>
      <c r="J12" s="102">
        <v>1300.3</v>
      </c>
      <c r="K12" s="18">
        <v>1353</v>
      </c>
      <c r="L12" s="97">
        <v>1703.9</v>
      </c>
      <c r="M12" s="98">
        <v>1923.7</v>
      </c>
      <c r="N12" s="18">
        <v>2925</v>
      </c>
      <c r="O12" s="102">
        <v>3165.4</v>
      </c>
      <c r="P12" s="102">
        <v>3345.7</v>
      </c>
      <c r="Q12" s="18">
        <v>3533</v>
      </c>
      <c r="R12" s="97">
        <v>3753.3</v>
      </c>
      <c r="S12" s="98">
        <v>4145.7</v>
      </c>
      <c r="T12" s="102">
        <v>4809.5</v>
      </c>
      <c r="U12" s="102">
        <v>4670.8</v>
      </c>
      <c r="V12" s="97">
        <v>4586.7</v>
      </c>
      <c r="W12" s="98">
        <v>5317.8</v>
      </c>
      <c r="X12" s="102">
        <v>4872.3</v>
      </c>
      <c r="Y12" s="18">
        <v>4877</v>
      </c>
      <c r="Z12" s="102">
        <v>5789.1</v>
      </c>
      <c r="AA12" s="102">
        <v>6482.3</v>
      </c>
      <c r="AB12" s="97">
        <v>7640.8</v>
      </c>
      <c r="AC12" s="98">
        <v>7690.4</v>
      </c>
      <c r="AD12" s="102">
        <v>7289.7</v>
      </c>
      <c r="AE12" s="102">
        <v>7007.7</v>
      </c>
      <c r="AF12" s="97">
        <v>7340.6</v>
      </c>
      <c r="AG12" s="98">
        <v>8196.2999999999993</v>
      </c>
      <c r="AH12" s="102">
        <v>8590.1</v>
      </c>
      <c r="AI12" s="102">
        <v>8869.7000000000007</v>
      </c>
      <c r="AJ12" s="102">
        <v>9316.1</v>
      </c>
      <c r="AK12" s="18">
        <v>9868</v>
      </c>
      <c r="AL12" s="97">
        <v>10790.7</v>
      </c>
    </row>
    <row r="13" spans="1:38" ht="18.75" customHeight="1">
      <c r="A13" s="19">
        <v>10</v>
      </c>
      <c r="B13" s="14" t="s">
        <v>290</v>
      </c>
      <c r="C13" s="95">
        <v>873.6</v>
      </c>
      <c r="D13" s="101">
        <v>989.1</v>
      </c>
      <c r="E13" s="101">
        <v>1144.2</v>
      </c>
      <c r="F13" s="101">
        <v>1181.2</v>
      </c>
      <c r="G13" s="19">
        <v>1207</v>
      </c>
      <c r="H13" s="96">
        <v>1287.2</v>
      </c>
      <c r="I13" s="95">
        <v>1580.9</v>
      </c>
      <c r="J13" s="101">
        <v>1470.5</v>
      </c>
      <c r="K13" s="101">
        <v>1618.3</v>
      </c>
      <c r="L13" s="96">
        <v>2006.9</v>
      </c>
      <c r="M13" s="95">
        <v>2297.1999999999998</v>
      </c>
      <c r="N13" s="101">
        <v>3031.7</v>
      </c>
      <c r="O13" s="101">
        <v>3251.3</v>
      </c>
      <c r="P13" s="101">
        <v>3323.8</v>
      </c>
      <c r="Q13" s="101">
        <v>3853.2</v>
      </c>
      <c r="R13" s="96">
        <v>4214.5</v>
      </c>
      <c r="S13" s="15">
        <v>5173</v>
      </c>
      <c r="T13" s="101">
        <v>5764.1</v>
      </c>
      <c r="U13" s="101">
        <v>5884.5</v>
      </c>
      <c r="V13" s="96">
        <v>5829.5</v>
      </c>
      <c r="W13" s="15">
        <v>6665</v>
      </c>
      <c r="X13" s="19">
        <v>6328</v>
      </c>
      <c r="Y13" s="19">
        <v>6487</v>
      </c>
      <c r="Z13" s="19">
        <v>7559</v>
      </c>
      <c r="AA13" s="101">
        <v>7989.3</v>
      </c>
      <c r="AB13" s="96">
        <v>8919.1</v>
      </c>
      <c r="AC13" s="95">
        <v>8795.2000000000007</v>
      </c>
      <c r="AD13" s="101">
        <v>8459.1</v>
      </c>
      <c r="AE13" s="101">
        <v>8616.1</v>
      </c>
      <c r="AF13" s="17">
        <v>9520</v>
      </c>
      <c r="AG13" s="95">
        <v>10107.700000000001</v>
      </c>
      <c r="AH13" s="101">
        <v>9809.2999999999993</v>
      </c>
      <c r="AI13" s="19">
        <v>10223</v>
      </c>
      <c r="AJ13" s="101">
        <v>10965.8</v>
      </c>
      <c r="AK13" s="101">
        <v>11638.9</v>
      </c>
      <c r="AL13" s="96">
        <v>12407.2</v>
      </c>
    </row>
    <row r="14" spans="1:38" ht="18.75" customHeight="1">
      <c r="A14" s="18">
        <v>11</v>
      </c>
      <c r="B14" s="12" t="s">
        <v>297</v>
      </c>
      <c r="C14" s="98">
        <v>874.2</v>
      </c>
      <c r="D14" s="102">
        <v>951.6</v>
      </c>
      <c r="E14" s="102">
        <v>1201.0999999999999</v>
      </c>
      <c r="F14" s="18">
        <v>1238</v>
      </c>
      <c r="G14" s="102">
        <v>1405.5</v>
      </c>
      <c r="H14" s="97">
        <v>1402.6</v>
      </c>
      <c r="I14" s="98">
        <v>1637.5</v>
      </c>
      <c r="J14" s="102">
        <v>1502.9</v>
      </c>
      <c r="K14" s="102">
        <v>1469.2</v>
      </c>
      <c r="L14" s="97">
        <v>1890.9</v>
      </c>
      <c r="M14" s="98">
        <v>2318.6</v>
      </c>
      <c r="N14" s="102">
        <v>3204.9</v>
      </c>
      <c r="O14" s="102">
        <v>3324.8</v>
      </c>
      <c r="P14" s="18">
        <v>3422</v>
      </c>
      <c r="Q14" s="102">
        <v>3817.6</v>
      </c>
      <c r="R14" s="97">
        <v>3976.1</v>
      </c>
      <c r="S14" s="98">
        <v>4519.6000000000004</v>
      </c>
      <c r="T14" s="102">
        <v>5001.2</v>
      </c>
      <c r="U14" s="102">
        <v>4971.3999999999996</v>
      </c>
      <c r="V14" s="97">
        <v>4841.1000000000004</v>
      </c>
      <c r="W14" s="98">
        <v>5321.1</v>
      </c>
      <c r="X14" s="102">
        <v>5430.7</v>
      </c>
      <c r="Y14" s="102">
        <v>5545.1</v>
      </c>
      <c r="Z14" s="102">
        <v>6360.2</v>
      </c>
      <c r="AA14" s="18">
        <v>7508</v>
      </c>
      <c r="AB14" s="97">
        <v>8560.6</v>
      </c>
      <c r="AC14" s="98">
        <v>8790.9</v>
      </c>
      <c r="AD14" s="102">
        <v>8688.7999999999993</v>
      </c>
      <c r="AE14" s="102">
        <v>8319.6</v>
      </c>
      <c r="AF14" s="97">
        <v>9245.1</v>
      </c>
      <c r="AG14" s="98">
        <v>9813.1</v>
      </c>
      <c r="AH14" s="102">
        <v>9716.9</v>
      </c>
      <c r="AI14" s="102">
        <v>11077.9</v>
      </c>
      <c r="AJ14" s="102">
        <v>11981.5</v>
      </c>
      <c r="AK14" s="102">
        <v>12151.4</v>
      </c>
      <c r="AL14" s="16">
        <v>12394</v>
      </c>
    </row>
    <row r="15" spans="1:38" ht="18.75" customHeight="1">
      <c r="A15" s="19">
        <v>12</v>
      </c>
      <c r="B15" s="14" t="s">
        <v>289</v>
      </c>
      <c r="C15" s="95">
        <v>815.7</v>
      </c>
      <c r="D15" s="19">
        <v>870</v>
      </c>
      <c r="E15" s="101">
        <v>930.7</v>
      </c>
      <c r="F15" s="101">
        <v>952.3</v>
      </c>
      <c r="G15" s="101">
        <v>958.9</v>
      </c>
      <c r="H15" s="96">
        <v>977.5</v>
      </c>
      <c r="I15" s="95">
        <v>1071.2</v>
      </c>
      <c r="J15" s="101">
        <v>1227.7</v>
      </c>
      <c r="K15" s="101">
        <v>1292.8</v>
      </c>
      <c r="L15" s="96">
        <v>1334.2</v>
      </c>
      <c r="M15" s="95">
        <v>1518.8</v>
      </c>
      <c r="N15" s="101">
        <v>1735.3</v>
      </c>
      <c r="O15" s="101">
        <v>1759.9</v>
      </c>
      <c r="P15" s="19">
        <v>1848</v>
      </c>
      <c r="Q15" s="101">
        <v>2140.6999999999998</v>
      </c>
      <c r="R15" s="96">
        <v>2222.4</v>
      </c>
      <c r="S15" s="95">
        <v>2871.1</v>
      </c>
      <c r="T15" s="101">
        <v>3403.8</v>
      </c>
      <c r="U15" s="101">
        <v>3304.5</v>
      </c>
      <c r="V15" s="96">
        <v>3430.1</v>
      </c>
      <c r="W15" s="95">
        <v>4150.1000000000004</v>
      </c>
      <c r="X15" s="101">
        <v>4382.2</v>
      </c>
      <c r="Y15" s="101">
        <v>4627.8999999999996</v>
      </c>
      <c r="Z15" s="101">
        <v>4866.8999999999996</v>
      </c>
      <c r="AA15" s="101">
        <v>4882.6000000000004</v>
      </c>
      <c r="AB15" s="96">
        <v>5255.2</v>
      </c>
      <c r="AC15" s="95">
        <v>6008.8</v>
      </c>
      <c r="AD15" s="101">
        <v>6472.8</v>
      </c>
      <c r="AE15" s="101">
        <v>6714.3</v>
      </c>
      <c r="AF15" s="17">
        <v>6766</v>
      </c>
      <c r="AG15" s="95">
        <v>7833.9</v>
      </c>
      <c r="AH15" s="101">
        <v>8810.2999999999993</v>
      </c>
      <c r="AI15" s="101">
        <v>9018.1</v>
      </c>
      <c r="AJ15" s="101">
        <v>9442.2999999999993</v>
      </c>
      <c r="AK15" s="19">
        <v>9824</v>
      </c>
      <c r="AL15" s="96">
        <v>10330.9</v>
      </c>
    </row>
    <row r="16" spans="1:38" ht="18.75" customHeight="1">
      <c r="A16" s="18">
        <v>13</v>
      </c>
      <c r="B16" s="12" t="s">
        <v>352</v>
      </c>
      <c r="C16" s="98">
        <v>913.2</v>
      </c>
      <c r="D16" s="102">
        <v>978.1</v>
      </c>
      <c r="E16" s="102">
        <v>1021.7</v>
      </c>
      <c r="F16" s="102">
        <v>1046.5</v>
      </c>
      <c r="G16" s="102">
        <v>1065.5</v>
      </c>
      <c r="H16" s="97">
        <v>1105.8</v>
      </c>
      <c r="I16" s="98">
        <v>1273.5999999999999</v>
      </c>
      <c r="J16" s="102">
        <v>1387.5</v>
      </c>
      <c r="K16" s="102">
        <v>1449.9</v>
      </c>
      <c r="L16" s="97">
        <v>1505.7</v>
      </c>
      <c r="M16" s="98">
        <v>1777.3</v>
      </c>
      <c r="N16" s="102">
        <v>2016.1</v>
      </c>
      <c r="O16" s="102">
        <v>2057.6</v>
      </c>
      <c r="P16" s="102">
        <v>2160.9</v>
      </c>
      <c r="Q16" s="102">
        <v>2420.5</v>
      </c>
      <c r="R16" s="97">
        <v>2532.4</v>
      </c>
      <c r="S16" s="13">
        <v>3276</v>
      </c>
      <c r="T16" s="102">
        <v>3676.3</v>
      </c>
      <c r="U16" s="102">
        <v>3609.7</v>
      </c>
      <c r="V16" s="97">
        <v>3708.3</v>
      </c>
      <c r="W16" s="13">
        <v>4602</v>
      </c>
      <c r="X16" s="102">
        <v>4786.1000000000004</v>
      </c>
      <c r="Y16" s="102">
        <v>5042.7</v>
      </c>
      <c r="Z16" s="102">
        <v>5294.6</v>
      </c>
      <c r="AA16" s="102">
        <v>5309.6</v>
      </c>
      <c r="AB16" s="97">
        <v>5506.5</v>
      </c>
      <c r="AC16" s="98">
        <v>6528.7</v>
      </c>
      <c r="AD16" s="102">
        <v>6917.9</v>
      </c>
      <c r="AE16" s="102">
        <v>7120.1</v>
      </c>
      <c r="AF16" s="97">
        <v>7290.3</v>
      </c>
      <c r="AG16" s="98">
        <v>8718.5</v>
      </c>
      <c r="AH16" s="102">
        <v>9460.1</v>
      </c>
      <c r="AI16" s="102">
        <v>9542.6</v>
      </c>
      <c r="AJ16" s="102">
        <v>10033.4</v>
      </c>
      <c r="AK16" s="102">
        <v>10261.700000000001</v>
      </c>
      <c r="AL16" s="97">
        <v>10512.5</v>
      </c>
    </row>
    <row r="17" spans="1:38" ht="18.75" customHeight="1">
      <c r="A17" s="19">
        <v>14</v>
      </c>
      <c r="B17" s="14" t="s">
        <v>353</v>
      </c>
      <c r="C17" s="95">
        <v>946.2</v>
      </c>
      <c r="D17" s="101">
        <v>1060.0999999999999</v>
      </c>
      <c r="E17" s="101">
        <v>1113.9000000000001</v>
      </c>
      <c r="F17" s="101">
        <v>1166.3</v>
      </c>
      <c r="G17" s="101">
        <v>1176.5999999999999</v>
      </c>
      <c r="H17" s="96">
        <v>1225.3</v>
      </c>
      <c r="I17" s="95">
        <v>1405.1</v>
      </c>
      <c r="J17" s="101">
        <v>1492.1</v>
      </c>
      <c r="K17" s="101">
        <v>1597.6</v>
      </c>
      <c r="L17" s="96">
        <v>1692.6</v>
      </c>
      <c r="M17" s="95">
        <v>2019.7</v>
      </c>
      <c r="N17" s="101">
        <v>2262.9</v>
      </c>
      <c r="O17" s="101">
        <v>2308.8000000000002</v>
      </c>
      <c r="P17" s="101">
        <v>2508.1</v>
      </c>
      <c r="Q17" s="101">
        <v>3038.8</v>
      </c>
      <c r="R17" s="96">
        <v>3204.8</v>
      </c>
      <c r="S17" s="15">
        <v>4101</v>
      </c>
      <c r="T17" s="19">
        <v>4423</v>
      </c>
      <c r="U17" s="101">
        <v>4537.3</v>
      </c>
      <c r="V17" s="17">
        <v>4691</v>
      </c>
      <c r="W17" s="95">
        <v>5807.8</v>
      </c>
      <c r="X17" s="101">
        <v>5996.1</v>
      </c>
      <c r="Y17" s="101">
        <v>6509.4</v>
      </c>
      <c r="Z17" s="19">
        <v>6930</v>
      </c>
      <c r="AA17" s="19">
        <v>6930</v>
      </c>
      <c r="AB17" s="96">
        <v>6947.8</v>
      </c>
      <c r="AC17" s="95">
        <v>8303.1</v>
      </c>
      <c r="AD17" s="101">
        <v>8513.1</v>
      </c>
      <c r="AE17" s="101">
        <v>8764.7000000000007</v>
      </c>
      <c r="AF17" s="96">
        <v>8907.7999999999993</v>
      </c>
      <c r="AG17" s="95">
        <v>10827.7</v>
      </c>
      <c r="AH17" s="19">
        <v>11323</v>
      </c>
      <c r="AI17" s="101">
        <v>11357.2</v>
      </c>
      <c r="AJ17" s="101">
        <v>12022.2</v>
      </c>
      <c r="AK17" s="101">
        <v>12233.6</v>
      </c>
      <c r="AL17" s="96">
        <v>12382.3</v>
      </c>
    </row>
    <row r="18" spans="1:38" ht="18.75" customHeight="1">
      <c r="A18" s="58" t="s">
        <v>354</v>
      </c>
      <c r="B18" s="12" t="s">
        <v>355</v>
      </c>
      <c r="C18" s="98">
        <v>420.1</v>
      </c>
      <c r="D18" s="102">
        <v>434.8</v>
      </c>
      <c r="E18" s="102">
        <v>441.7</v>
      </c>
      <c r="F18" s="102">
        <v>448.7</v>
      </c>
      <c r="G18" s="102">
        <v>449.1</v>
      </c>
      <c r="H18" s="97">
        <v>451.9</v>
      </c>
      <c r="I18" s="13">
        <v>470</v>
      </c>
      <c r="J18" s="102">
        <v>501.7</v>
      </c>
      <c r="K18" s="102">
        <v>506.1</v>
      </c>
      <c r="L18" s="97">
        <v>510.6</v>
      </c>
      <c r="M18" s="98">
        <v>537.20000000000005</v>
      </c>
      <c r="N18" s="102">
        <v>565.20000000000005</v>
      </c>
      <c r="O18" s="102">
        <v>573.9</v>
      </c>
      <c r="P18" s="102">
        <v>591.29999999999995</v>
      </c>
      <c r="Q18" s="102">
        <v>612.70000000000005</v>
      </c>
      <c r="R18" s="16">
        <v>628</v>
      </c>
      <c r="S18" s="98">
        <v>695.2</v>
      </c>
      <c r="T18" s="102">
        <v>737.9</v>
      </c>
      <c r="U18" s="102">
        <v>739.1</v>
      </c>
      <c r="V18" s="16">
        <v>741</v>
      </c>
      <c r="W18" s="98">
        <v>795.6</v>
      </c>
      <c r="X18" s="102">
        <v>804.2</v>
      </c>
      <c r="Y18" s="102">
        <v>807.7</v>
      </c>
      <c r="Z18" s="102">
        <v>822.5</v>
      </c>
      <c r="AA18" s="102">
        <v>822.5</v>
      </c>
      <c r="AB18" s="97">
        <v>822.5</v>
      </c>
      <c r="AC18" s="98">
        <v>867.7</v>
      </c>
      <c r="AD18" s="102">
        <v>880.1</v>
      </c>
      <c r="AE18" s="102">
        <v>884.5</v>
      </c>
      <c r="AF18" s="97">
        <v>893.9</v>
      </c>
      <c r="AG18" s="98">
        <v>955.9</v>
      </c>
      <c r="AH18" s="102">
        <v>973.4</v>
      </c>
      <c r="AI18" s="18">
        <v>974</v>
      </c>
      <c r="AJ18" s="102">
        <v>1004.7</v>
      </c>
      <c r="AK18" s="102">
        <v>1010.1</v>
      </c>
      <c r="AL18" s="97">
        <v>1017.2</v>
      </c>
    </row>
    <row r="19" spans="1:38" ht="18.75" customHeight="1">
      <c r="A19" s="19">
        <v>16</v>
      </c>
      <c r="B19" s="14" t="s">
        <v>356</v>
      </c>
      <c r="C19" s="95">
        <v>1202.3</v>
      </c>
      <c r="D19" s="101">
        <v>1379.9</v>
      </c>
      <c r="E19" s="101">
        <v>1469.2</v>
      </c>
      <c r="F19" s="101">
        <v>1882.9</v>
      </c>
      <c r="G19" s="101">
        <v>1942.4</v>
      </c>
      <c r="H19" s="96">
        <v>1729.9</v>
      </c>
      <c r="I19" s="95">
        <v>1957.8</v>
      </c>
      <c r="J19" s="101">
        <v>1752.9</v>
      </c>
      <c r="K19" s="101">
        <v>1682.3</v>
      </c>
      <c r="L19" s="96">
        <v>1691.1</v>
      </c>
      <c r="M19" s="95">
        <v>1730.9</v>
      </c>
      <c r="N19" s="101">
        <v>2211.6999999999998</v>
      </c>
      <c r="O19" s="101">
        <v>2359.6999999999998</v>
      </c>
      <c r="P19" s="101">
        <v>2508.3000000000002</v>
      </c>
      <c r="Q19" s="101">
        <v>2906.1</v>
      </c>
      <c r="R19" s="96">
        <v>3477.7</v>
      </c>
      <c r="S19" s="95">
        <v>3820.8</v>
      </c>
      <c r="T19" s="101">
        <v>4011.7</v>
      </c>
      <c r="U19" s="101">
        <v>4714.1000000000004</v>
      </c>
      <c r="V19" s="96">
        <v>5109.2</v>
      </c>
      <c r="W19" s="95">
        <v>6090.9</v>
      </c>
      <c r="X19" s="101">
        <v>5470.6</v>
      </c>
      <c r="Y19" s="101">
        <v>5913.3</v>
      </c>
      <c r="Z19" s="101">
        <v>6315.9</v>
      </c>
      <c r="AA19" s="101">
        <v>6780.3</v>
      </c>
      <c r="AB19" s="17">
        <v>7890</v>
      </c>
      <c r="AC19" s="95">
        <v>8062.6</v>
      </c>
      <c r="AD19" s="101">
        <v>8074.1</v>
      </c>
      <c r="AE19" s="101">
        <v>7862.8</v>
      </c>
      <c r="AF19" s="96">
        <v>7568.3</v>
      </c>
      <c r="AG19" s="95">
        <v>8669.4</v>
      </c>
      <c r="AH19" s="101">
        <v>9327.4</v>
      </c>
      <c r="AI19" s="101">
        <v>10565.6</v>
      </c>
      <c r="AJ19" s="19">
        <v>11837</v>
      </c>
      <c r="AK19" s="101">
        <v>12838.1</v>
      </c>
      <c r="AL19" s="17">
        <v>13428</v>
      </c>
    </row>
    <row r="20" spans="1:38" ht="18.75" customHeight="1">
      <c r="A20" s="18">
        <v>17</v>
      </c>
      <c r="B20" s="12" t="s">
        <v>357</v>
      </c>
      <c r="C20" s="13">
        <v>934</v>
      </c>
      <c r="D20" s="102">
        <v>1027.2</v>
      </c>
      <c r="E20" s="102">
        <v>1092.9000000000001</v>
      </c>
      <c r="F20" s="102">
        <v>1149.5</v>
      </c>
      <c r="G20" s="102">
        <v>1192.4000000000001</v>
      </c>
      <c r="H20" s="16">
        <v>1235</v>
      </c>
      <c r="I20" s="98">
        <v>1428.2</v>
      </c>
      <c r="J20" s="102">
        <v>1489.2</v>
      </c>
      <c r="K20" s="102">
        <v>1566.5</v>
      </c>
      <c r="L20" s="97">
        <v>1675.1</v>
      </c>
      <c r="M20" s="98">
        <v>1982.8</v>
      </c>
      <c r="N20" s="102">
        <v>2353.5</v>
      </c>
      <c r="O20" s="102">
        <v>2432.6999999999998</v>
      </c>
      <c r="P20" s="18">
        <v>2607</v>
      </c>
      <c r="Q20" s="102">
        <v>2839.8</v>
      </c>
      <c r="R20" s="97">
        <v>3035.5</v>
      </c>
      <c r="S20" s="98">
        <v>3776.9</v>
      </c>
      <c r="T20" s="102">
        <v>4035.4</v>
      </c>
      <c r="U20" s="102">
        <v>4080.8</v>
      </c>
      <c r="V20" s="97">
        <v>4180.6000000000004</v>
      </c>
      <c r="W20" s="98">
        <v>5221.5</v>
      </c>
      <c r="X20" s="102">
        <v>5357.9</v>
      </c>
      <c r="Y20" s="102">
        <v>5507.4</v>
      </c>
      <c r="Z20" s="102">
        <v>5955.2</v>
      </c>
      <c r="AA20" s="102">
        <v>6086.6</v>
      </c>
      <c r="AB20" s="97">
        <v>6236.4</v>
      </c>
      <c r="AC20" s="98">
        <v>7349.2</v>
      </c>
      <c r="AD20" s="102">
        <v>7565.8</v>
      </c>
      <c r="AE20" s="102">
        <v>7733.9</v>
      </c>
      <c r="AF20" s="97">
        <v>7962.8</v>
      </c>
      <c r="AG20" s="98">
        <v>9474.7999999999993</v>
      </c>
      <c r="AH20" s="18">
        <v>9854</v>
      </c>
      <c r="AI20" s="102">
        <v>9950.7999999999993</v>
      </c>
      <c r="AJ20" s="102">
        <v>10662.1</v>
      </c>
      <c r="AK20" s="102">
        <v>10800.7</v>
      </c>
      <c r="AL20" s="97">
        <v>10990.4</v>
      </c>
    </row>
    <row r="21" spans="1:38" ht="18.75" customHeight="1">
      <c r="A21" s="19">
        <v>18</v>
      </c>
      <c r="B21" s="14" t="s">
        <v>358</v>
      </c>
      <c r="C21" s="95">
        <v>620.6</v>
      </c>
      <c r="D21" s="101">
        <v>679.8</v>
      </c>
      <c r="E21" s="101">
        <v>750.8</v>
      </c>
      <c r="F21" s="101">
        <v>745.9</v>
      </c>
      <c r="G21" s="101">
        <v>746.8</v>
      </c>
      <c r="H21" s="96">
        <v>749.4</v>
      </c>
      <c r="I21" s="95">
        <v>891.5</v>
      </c>
      <c r="J21" s="101">
        <v>894.7</v>
      </c>
      <c r="K21" s="101">
        <v>857.3</v>
      </c>
      <c r="L21" s="17">
        <v>840</v>
      </c>
      <c r="M21" s="95">
        <v>973.7</v>
      </c>
      <c r="N21" s="101">
        <v>1025.2</v>
      </c>
      <c r="O21" s="101">
        <v>1028.3</v>
      </c>
      <c r="P21" s="19">
        <v>1177</v>
      </c>
      <c r="Q21" s="101">
        <v>1231.2</v>
      </c>
      <c r="R21" s="96">
        <v>1446.9</v>
      </c>
      <c r="S21" s="15">
        <v>1891</v>
      </c>
      <c r="T21" s="101">
        <v>2109.1999999999998</v>
      </c>
      <c r="U21" s="101">
        <v>2189.4</v>
      </c>
      <c r="V21" s="96">
        <v>2256.1999999999998</v>
      </c>
      <c r="W21" s="95">
        <v>2549.1</v>
      </c>
      <c r="X21" s="101">
        <v>2690.5</v>
      </c>
      <c r="Y21" s="101">
        <v>2862.6</v>
      </c>
      <c r="Z21" s="101">
        <v>2996.7</v>
      </c>
      <c r="AA21" s="101">
        <v>2996.7</v>
      </c>
      <c r="AB21" s="96">
        <v>3207.6</v>
      </c>
      <c r="AC21" s="95">
        <v>3258.9</v>
      </c>
      <c r="AD21" s="101">
        <v>3592.5</v>
      </c>
      <c r="AE21" s="101">
        <v>3883.2</v>
      </c>
      <c r="AF21" s="96">
        <v>4169.8999999999996</v>
      </c>
      <c r="AG21" s="95">
        <v>4589.1000000000004</v>
      </c>
      <c r="AH21" s="101">
        <v>4795.3999999999996</v>
      </c>
      <c r="AI21" s="101">
        <v>4937.2</v>
      </c>
      <c r="AJ21" s="101">
        <v>5629.4</v>
      </c>
      <c r="AK21" s="101">
        <v>5837.9</v>
      </c>
      <c r="AL21" s="96">
        <v>6046.4</v>
      </c>
    </row>
    <row r="22" spans="1:38" ht="18.75" customHeight="1">
      <c r="A22" s="18">
        <v>19</v>
      </c>
      <c r="B22" s="12" t="s">
        <v>359</v>
      </c>
      <c r="C22" s="98">
        <v>745.3</v>
      </c>
      <c r="D22" s="102">
        <v>819.9</v>
      </c>
      <c r="E22" s="102">
        <v>890.3</v>
      </c>
      <c r="F22" s="102">
        <v>903.6</v>
      </c>
      <c r="G22" s="102">
        <v>925.5</v>
      </c>
      <c r="H22" s="97">
        <v>939.8</v>
      </c>
      <c r="I22" s="98">
        <v>1131.4000000000001</v>
      </c>
      <c r="J22" s="102">
        <v>1058.9000000000001</v>
      </c>
      <c r="K22" s="102">
        <v>1106.5</v>
      </c>
      <c r="L22" s="97">
        <v>1123.9000000000001</v>
      </c>
      <c r="M22" s="98">
        <v>1350.6</v>
      </c>
      <c r="N22" s="102">
        <v>1644.7</v>
      </c>
      <c r="O22" s="102">
        <v>1674.7</v>
      </c>
      <c r="P22" s="102">
        <v>1794.2</v>
      </c>
      <c r="Q22" s="102">
        <v>1873.9</v>
      </c>
      <c r="R22" s="97">
        <v>2031.8</v>
      </c>
      <c r="S22" s="98">
        <v>2340.9</v>
      </c>
      <c r="T22" s="102">
        <v>2498.9</v>
      </c>
      <c r="U22" s="102">
        <v>2792.2</v>
      </c>
      <c r="V22" s="16">
        <v>3030</v>
      </c>
      <c r="W22" s="98">
        <v>3432.1</v>
      </c>
      <c r="X22" s="102">
        <v>3476.2</v>
      </c>
      <c r="Y22" s="102">
        <v>3670.5</v>
      </c>
      <c r="Z22" s="18">
        <v>3914</v>
      </c>
      <c r="AA22" s="18">
        <v>4106</v>
      </c>
      <c r="AB22" s="97">
        <v>4593.3</v>
      </c>
      <c r="AC22" s="98">
        <v>4863.7</v>
      </c>
      <c r="AD22" s="102">
        <v>4915.1000000000004</v>
      </c>
      <c r="AE22" s="102">
        <v>4697.5</v>
      </c>
      <c r="AF22" s="16">
        <v>4597</v>
      </c>
      <c r="AG22" s="98">
        <v>4989.8</v>
      </c>
      <c r="AH22" s="102">
        <v>5083.6000000000004</v>
      </c>
      <c r="AI22" s="102">
        <v>5598.4</v>
      </c>
      <c r="AJ22" s="102">
        <v>6104.9</v>
      </c>
      <c r="AK22" s="18">
        <v>6189</v>
      </c>
      <c r="AL22" s="97">
        <v>6254.6</v>
      </c>
    </row>
    <row r="23" spans="1:38" ht="18.75" customHeight="1">
      <c r="A23" s="19">
        <v>20</v>
      </c>
      <c r="B23" s="14" t="s">
        <v>309</v>
      </c>
      <c r="C23" s="95">
        <v>842.1</v>
      </c>
      <c r="D23" s="101">
        <v>924.2</v>
      </c>
      <c r="E23" s="101">
        <v>1026.2</v>
      </c>
      <c r="F23" s="101">
        <v>1055.2</v>
      </c>
      <c r="G23" s="101">
        <v>1109.8</v>
      </c>
      <c r="H23" s="17">
        <v>1222</v>
      </c>
      <c r="I23" s="95">
        <v>1400.4</v>
      </c>
      <c r="J23" s="101">
        <v>1503.1</v>
      </c>
      <c r="K23" s="101">
        <v>1746.4</v>
      </c>
      <c r="L23" s="96">
        <v>1874.6</v>
      </c>
      <c r="M23" s="95">
        <v>2367.6</v>
      </c>
      <c r="N23" s="101">
        <v>2949.4</v>
      </c>
      <c r="O23" s="101">
        <v>3032.2</v>
      </c>
      <c r="P23" s="19">
        <v>3265</v>
      </c>
      <c r="Q23" s="101">
        <v>3432.9</v>
      </c>
      <c r="R23" s="96">
        <v>3578.5</v>
      </c>
      <c r="S23" s="95">
        <v>4733.1000000000004</v>
      </c>
      <c r="T23" s="101">
        <v>4967.8999999999996</v>
      </c>
      <c r="U23" s="101">
        <v>5100.3999999999996</v>
      </c>
      <c r="V23" s="96">
        <v>5238.8999999999996</v>
      </c>
      <c r="W23" s="95">
        <v>6504.3</v>
      </c>
      <c r="X23" s="19">
        <v>6726</v>
      </c>
      <c r="Y23" s="101">
        <v>7229.6</v>
      </c>
      <c r="Z23" s="101">
        <v>7633.1</v>
      </c>
      <c r="AA23" s="101">
        <v>7755.2</v>
      </c>
      <c r="AB23" s="96">
        <v>7878.5</v>
      </c>
      <c r="AC23" s="95">
        <v>9375.4</v>
      </c>
      <c r="AD23" s="101">
        <v>10005.700000000001</v>
      </c>
      <c r="AE23" s="101">
        <v>10714.7</v>
      </c>
      <c r="AF23" s="96">
        <v>10872.3</v>
      </c>
      <c r="AG23" s="95">
        <v>12677.1</v>
      </c>
      <c r="AH23" s="101">
        <v>13209.8</v>
      </c>
      <c r="AI23" s="101">
        <v>13590.4</v>
      </c>
      <c r="AJ23" s="19">
        <v>14732</v>
      </c>
      <c r="AK23" s="101">
        <v>14927.7</v>
      </c>
      <c r="AL23" s="96">
        <v>15188.6</v>
      </c>
    </row>
    <row r="24" spans="1:38" ht="18.75" customHeight="1">
      <c r="A24" s="18">
        <v>21</v>
      </c>
      <c r="B24" s="12" t="s">
        <v>280</v>
      </c>
      <c r="C24" s="98">
        <v>1015.2</v>
      </c>
      <c r="D24" s="102">
        <v>1061.2</v>
      </c>
      <c r="E24" s="102">
        <v>1070.9000000000001</v>
      </c>
      <c r="F24" s="102">
        <v>1080.2</v>
      </c>
      <c r="G24" s="102">
        <v>1097.3</v>
      </c>
      <c r="H24" s="97">
        <v>1125.5999999999999</v>
      </c>
      <c r="I24" s="98">
        <v>1371.5</v>
      </c>
      <c r="J24" s="102">
        <v>1432.8</v>
      </c>
      <c r="K24" s="102">
        <v>1459.2</v>
      </c>
      <c r="L24" s="97">
        <v>1493.5</v>
      </c>
      <c r="M24" s="98">
        <v>1823.6</v>
      </c>
      <c r="N24" s="102">
        <v>1992.3</v>
      </c>
      <c r="O24" s="102">
        <v>2005.8</v>
      </c>
      <c r="P24" s="102">
        <v>2035.6</v>
      </c>
      <c r="Q24" s="102">
        <v>2235.8000000000002</v>
      </c>
      <c r="R24" s="97">
        <v>2347.8000000000002</v>
      </c>
      <c r="S24" s="98">
        <v>3082.7</v>
      </c>
      <c r="T24" s="102">
        <v>3228.2</v>
      </c>
      <c r="U24" s="102">
        <v>3235.3</v>
      </c>
      <c r="V24" s="97">
        <v>3251.7</v>
      </c>
      <c r="W24" s="98">
        <v>4227.2</v>
      </c>
      <c r="X24" s="102">
        <v>4308.5</v>
      </c>
      <c r="Y24" s="102">
        <v>4578.3999999999996</v>
      </c>
      <c r="Z24" s="102">
        <v>4747.5</v>
      </c>
      <c r="AA24" s="102">
        <v>4747.5</v>
      </c>
      <c r="AB24" s="97">
        <v>4747.5</v>
      </c>
      <c r="AC24" s="98">
        <v>5867.9</v>
      </c>
      <c r="AD24" s="102">
        <v>6067.3</v>
      </c>
      <c r="AE24" s="18">
        <v>6224</v>
      </c>
      <c r="AF24" s="97">
        <v>6385.4</v>
      </c>
      <c r="AG24" s="98">
        <v>7949.8</v>
      </c>
      <c r="AH24" s="102">
        <v>8262.7000000000007</v>
      </c>
      <c r="AI24" s="102">
        <v>8275.5</v>
      </c>
      <c r="AJ24" s="102">
        <v>8620.2999999999993</v>
      </c>
      <c r="AK24" s="102">
        <v>8696.9</v>
      </c>
      <c r="AL24" s="97">
        <v>8773.5</v>
      </c>
    </row>
    <row r="25" spans="1:38" ht="18.75" customHeight="1">
      <c r="A25" s="61" t="s">
        <v>360</v>
      </c>
      <c r="B25" s="14" t="s">
        <v>361</v>
      </c>
      <c r="C25" s="95">
        <v>655.7</v>
      </c>
      <c r="D25" s="101">
        <v>853.9</v>
      </c>
      <c r="E25" s="101">
        <v>965.7</v>
      </c>
      <c r="F25" s="101">
        <v>1118.2</v>
      </c>
      <c r="G25" s="101">
        <v>1125.0999999999999</v>
      </c>
      <c r="H25" s="96">
        <v>1129.3</v>
      </c>
      <c r="I25" s="95">
        <v>1242.2</v>
      </c>
      <c r="J25" s="101">
        <v>1129.3</v>
      </c>
      <c r="K25" s="19">
        <v>1240</v>
      </c>
      <c r="L25" s="96">
        <v>1626.2</v>
      </c>
      <c r="M25" s="95">
        <v>1853.8</v>
      </c>
      <c r="N25" s="101">
        <v>2219.6999999999998</v>
      </c>
      <c r="O25" s="101">
        <v>2333.6</v>
      </c>
      <c r="P25" s="101">
        <v>2445.8000000000002</v>
      </c>
      <c r="Q25" s="101">
        <v>3252.4</v>
      </c>
      <c r="R25" s="96">
        <v>3171.1</v>
      </c>
      <c r="S25" s="95">
        <v>3361.4</v>
      </c>
      <c r="T25" s="101">
        <v>3615.1</v>
      </c>
      <c r="U25" s="101">
        <v>3821.2</v>
      </c>
      <c r="V25" s="96">
        <v>4027.3</v>
      </c>
      <c r="W25" s="95">
        <v>4031.3</v>
      </c>
      <c r="X25" s="101">
        <v>4067.6</v>
      </c>
      <c r="Y25" s="19">
        <v>4120</v>
      </c>
      <c r="Z25" s="19">
        <v>4269</v>
      </c>
      <c r="AA25" s="101">
        <v>4470.3</v>
      </c>
      <c r="AB25" s="17">
        <v>4712</v>
      </c>
      <c r="AC25" s="95">
        <v>5472.9</v>
      </c>
      <c r="AD25" s="101">
        <v>6465.8</v>
      </c>
      <c r="AE25" s="101">
        <v>6713.1</v>
      </c>
      <c r="AF25" s="96">
        <v>7055.1</v>
      </c>
      <c r="AG25" s="95">
        <v>7749.1</v>
      </c>
      <c r="AH25" s="101">
        <v>8050.8</v>
      </c>
      <c r="AI25" s="101">
        <v>8911.2000000000007</v>
      </c>
      <c r="AJ25" s="101">
        <v>9178.6</v>
      </c>
      <c r="AK25" s="101">
        <v>9256.2000000000007</v>
      </c>
      <c r="AL25" s="96">
        <v>9682.7000000000007</v>
      </c>
    </row>
    <row r="26" spans="1:38" ht="18.75" customHeight="1">
      <c r="A26" s="18">
        <v>23</v>
      </c>
      <c r="B26" s="12" t="s">
        <v>362</v>
      </c>
      <c r="C26" s="98">
        <v>2140.3000000000002</v>
      </c>
      <c r="D26" s="102">
        <v>2242.1999999999998</v>
      </c>
      <c r="E26" s="18">
        <v>2283</v>
      </c>
      <c r="F26" s="102">
        <v>2323.8000000000002</v>
      </c>
      <c r="G26" s="102">
        <v>2335.5</v>
      </c>
      <c r="H26" s="97">
        <v>2347.1</v>
      </c>
      <c r="I26" s="98">
        <v>2628.8</v>
      </c>
      <c r="J26" s="102">
        <v>2757.1</v>
      </c>
      <c r="K26" s="102">
        <v>2905.2</v>
      </c>
      <c r="L26" s="97">
        <v>3053.3</v>
      </c>
      <c r="M26" s="98">
        <v>3486.8</v>
      </c>
      <c r="N26" s="102">
        <v>3923.1</v>
      </c>
      <c r="O26" s="102">
        <v>4047.8</v>
      </c>
      <c r="P26" s="102">
        <v>4309.2</v>
      </c>
      <c r="Q26" s="102">
        <v>4732.6000000000004</v>
      </c>
      <c r="R26" s="16">
        <v>6350</v>
      </c>
      <c r="S26" s="98">
        <v>7844.4</v>
      </c>
      <c r="T26" s="102">
        <v>8582.6</v>
      </c>
      <c r="U26" s="102">
        <v>8583.7999999999993</v>
      </c>
      <c r="V26" s="16">
        <v>8585</v>
      </c>
      <c r="W26" s="98">
        <v>11179.7</v>
      </c>
      <c r="X26" s="102">
        <v>11447.4</v>
      </c>
      <c r="Y26" s="18">
        <v>12019</v>
      </c>
      <c r="Z26" s="18">
        <v>12619</v>
      </c>
      <c r="AA26" s="18">
        <v>12619</v>
      </c>
      <c r="AB26" s="16">
        <v>12619</v>
      </c>
      <c r="AC26" s="98">
        <v>16404.7</v>
      </c>
      <c r="AD26" s="102">
        <v>16706.2</v>
      </c>
      <c r="AE26" s="102">
        <v>17192.8</v>
      </c>
      <c r="AF26" s="97">
        <v>17527.099999999999</v>
      </c>
      <c r="AG26" s="98">
        <v>21933.4</v>
      </c>
      <c r="AH26" s="102">
        <v>23377.7</v>
      </c>
      <c r="AI26" s="102">
        <v>23836.9</v>
      </c>
      <c r="AJ26" s="102">
        <v>24283.8</v>
      </c>
      <c r="AK26" s="102">
        <v>24441.5</v>
      </c>
      <c r="AL26" s="97">
        <v>24643.1</v>
      </c>
    </row>
    <row r="27" spans="1:38" ht="18.75" customHeight="1">
      <c r="A27" s="63">
        <v>24</v>
      </c>
      <c r="B27" s="64" t="s">
        <v>363</v>
      </c>
      <c r="C27" s="93">
        <v>784.2</v>
      </c>
      <c r="D27" s="100">
        <v>969.5</v>
      </c>
      <c r="E27" s="100">
        <v>1133.5</v>
      </c>
      <c r="F27" s="100">
        <v>1247.5999999999999</v>
      </c>
      <c r="G27" s="100">
        <v>1247.5999999999999</v>
      </c>
      <c r="H27" s="94">
        <v>1247.5999999999999</v>
      </c>
      <c r="I27" s="93">
        <v>1397.3</v>
      </c>
      <c r="J27" s="100">
        <v>1447.2</v>
      </c>
      <c r="K27" s="100">
        <v>1497.1</v>
      </c>
      <c r="L27" s="94">
        <v>1659.3</v>
      </c>
      <c r="M27" s="93">
        <v>1841.8</v>
      </c>
      <c r="N27" s="100">
        <v>2190.3000000000002</v>
      </c>
      <c r="O27" s="100">
        <v>2240.1</v>
      </c>
      <c r="P27" s="100">
        <v>2505.5</v>
      </c>
      <c r="Q27" s="100">
        <v>2571.9</v>
      </c>
      <c r="R27" s="94">
        <v>2654.9</v>
      </c>
      <c r="S27" s="93">
        <v>2920.4</v>
      </c>
      <c r="T27" s="100">
        <v>3210.1</v>
      </c>
      <c r="U27" s="63">
        <v>3608</v>
      </c>
      <c r="V27" s="94">
        <v>4008.9</v>
      </c>
      <c r="W27" s="93">
        <v>4650.3</v>
      </c>
      <c r="X27" s="100">
        <v>4810.7</v>
      </c>
      <c r="Y27" s="63">
        <v>5012</v>
      </c>
      <c r="Z27" s="100">
        <v>5211.6000000000004</v>
      </c>
      <c r="AA27" s="63">
        <v>5412</v>
      </c>
      <c r="AB27" s="94">
        <v>6053.4</v>
      </c>
      <c r="AC27" s="93">
        <v>6658.7</v>
      </c>
      <c r="AD27" s="100">
        <v>6961.4</v>
      </c>
      <c r="AE27" s="100">
        <v>7264.1</v>
      </c>
      <c r="AF27" s="94">
        <v>7566.8</v>
      </c>
      <c r="AG27" s="93">
        <v>7721.3</v>
      </c>
      <c r="AH27" s="100">
        <v>7918.2</v>
      </c>
      <c r="AI27" s="100">
        <v>8155.7</v>
      </c>
      <c r="AJ27" s="63">
        <v>8235</v>
      </c>
      <c r="AK27" s="100">
        <v>8314.1</v>
      </c>
      <c r="AL27" s="94">
        <v>8393.2999999999993</v>
      </c>
    </row>
    <row r="28" spans="1:38" ht="18.75" customHeight="1">
      <c r="A28" s="58" t="s">
        <v>364</v>
      </c>
      <c r="B28" s="12" t="s">
        <v>365</v>
      </c>
      <c r="C28" s="98">
        <v>513.70000000000005</v>
      </c>
      <c r="D28" s="102">
        <v>531.70000000000005</v>
      </c>
      <c r="E28" s="102">
        <v>540.20000000000005</v>
      </c>
      <c r="F28" s="102">
        <v>548.6</v>
      </c>
      <c r="G28" s="102">
        <v>549.1</v>
      </c>
      <c r="H28" s="97">
        <v>552.6</v>
      </c>
      <c r="I28" s="98">
        <v>574.70000000000005</v>
      </c>
      <c r="J28" s="102">
        <v>613.4</v>
      </c>
      <c r="K28" s="18">
        <v>618</v>
      </c>
      <c r="L28" s="97">
        <v>624.4</v>
      </c>
      <c r="M28" s="98">
        <v>657.5</v>
      </c>
      <c r="N28" s="102">
        <v>691.2</v>
      </c>
      <c r="O28" s="102">
        <v>701.8</v>
      </c>
      <c r="P28" s="102">
        <v>723.1</v>
      </c>
      <c r="Q28" s="102">
        <v>749.2</v>
      </c>
      <c r="R28" s="16">
        <v>768</v>
      </c>
      <c r="S28" s="98">
        <v>850.2</v>
      </c>
      <c r="T28" s="102">
        <v>902.4</v>
      </c>
      <c r="U28" s="102">
        <v>904.1</v>
      </c>
      <c r="V28" s="97">
        <v>906.2</v>
      </c>
      <c r="W28" s="13">
        <v>973</v>
      </c>
      <c r="X28" s="102">
        <v>983.5</v>
      </c>
      <c r="Y28" s="102">
        <v>987.7</v>
      </c>
      <c r="Z28" s="102">
        <v>1005.9</v>
      </c>
      <c r="AA28" s="102">
        <v>1005.9</v>
      </c>
      <c r="AB28" s="97">
        <v>1005.9</v>
      </c>
      <c r="AC28" s="98">
        <v>1061.2</v>
      </c>
      <c r="AD28" s="102">
        <v>1076.3</v>
      </c>
      <c r="AE28" s="102">
        <v>1081.8</v>
      </c>
      <c r="AF28" s="97">
        <v>1093.3</v>
      </c>
      <c r="AG28" s="98">
        <v>1169.2</v>
      </c>
      <c r="AH28" s="102">
        <v>1190.5</v>
      </c>
      <c r="AI28" s="102">
        <v>1191.3</v>
      </c>
      <c r="AJ28" s="18">
        <v>1229</v>
      </c>
      <c r="AK28" s="102">
        <v>1235.8</v>
      </c>
      <c r="AL28" s="97">
        <v>1244.3</v>
      </c>
    </row>
    <row r="29" spans="1:38" ht="18.75" customHeight="1">
      <c r="A29" s="61" t="s">
        <v>366</v>
      </c>
      <c r="B29" s="14" t="s">
        <v>367</v>
      </c>
      <c r="C29" s="103" t="s">
        <v>22</v>
      </c>
      <c r="D29" s="104" t="s">
        <v>22</v>
      </c>
      <c r="E29" s="104" t="s">
        <v>22</v>
      </c>
      <c r="F29" s="104" t="s">
        <v>22</v>
      </c>
      <c r="G29" s="104" t="s">
        <v>22</v>
      </c>
      <c r="H29" s="105" t="s">
        <v>22</v>
      </c>
      <c r="I29" s="103" t="s">
        <v>22</v>
      </c>
      <c r="J29" s="104" t="s">
        <v>22</v>
      </c>
      <c r="K29" s="104" t="s">
        <v>22</v>
      </c>
      <c r="L29" s="96">
        <v>1626.2</v>
      </c>
      <c r="M29" s="60" t="s">
        <v>22</v>
      </c>
      <c r="N29" s="61" t="s">
        <v>22</v>
      </c>
      <c r="O29" s="61" t="s">
        <v>22</v>
      </c>
      <c r="P29" s="61" t="s">
        <v>22</v>
      </c>
      <c r="Q29" s="19">
        <v>3415</v>
      </c>
      <c r="R29" s="96">
        <v>3658.9</v>
      </c>
      <c r="S29" s="95">
        <v>4233.3999999999996</v>
      </c>
      <c r="T29" s="101">
        <v>4766.8</v>
      </c>
      <c r="U29" s="101">
        <v>4767.8999999999996</v>
      </c>
      <c r="V29" s="17">
        <v>4769</v>
      </c>
      <c r="W29" s="95">
        <v>5460.5</v>
      </c>
      <c r="X29" s="101">
        <v>5800.6</v>
      </c>
      <c r="Y29" s="101">
        <v>6008.9</v>
      </c>
      <c r="Z29" s="101">
        <v>6137.7</v>
      </c>
      <c r="AA29" s="101">
        <v>6271.2</v>
      </c>
      <c r="AB29" s="96">
        <v>6485.8</v>
      </c>
      <c r="AC29" s="95">
        <v>7813.3</v>
      </c>
      <c r="AD29" s="101">
        <v>8547.9</v>
      </c>
      <c r="AE29" s="101">
        <v>8881.2999999999993</v>
      </c>
      <c r="AF29" s="17">
        <v>9315</v>
      </c>
      <c r="AG29" s="95">
        <v>10149.4</v>
      </c>
      <c r="AH29" s="101">
        <v>10785.2</v>
      </c>
      <c r="AI29" s="101">
        <v>11787.3</v>
      </c>
      <c r="AJ29" s="101">
        <v>12191.9</v>
      </c>
      <c r="AK29" s="101">
        <v>12533.9</v>
      </c>
      <c r="AL29" s="96">
        <v>12830.9</v>
      </c>
    </row>
    <row r="30" spans="1:38" ht="18.75" customHeight="1">
      <c r="A30" s="12" t="s">
        <v>368</v>
      </c>
      <c r="B30" s="58"/>
      <c r="C30" s="98">
        <v>837.9</v>
      </c>
      <c r="D30" s="102">
        <v>919.5</v>
      </c>
      <c r="E30" s="102">
        <v>980.6</v>
      </c>
      <c r="F30" s="102">
        <v>1016.5</v>
      </c>
      <c r="G30" s="102">
        <v>1077.0999999999999</v>
      </c>
      <c r="H30" s="97">
        <v>1092.3</v>
      </c>
      <c r="I30" s="13">
        <v>1255</v>
      </c>
      <c r="J30" s="102">
        <v>1309.9000000000001</v>
      </c>
      <c r="K30" s="18">
        <v>1382</v>
      </c>
      <c r="L30" s="97">
        <v>1486.5</v>
      </c>
      <c r="M30" s="98">
        <v>1763.7</v>
      </c>
      <c r="N30" s="102">
        <v>2104.5</v>
      </c>
      <c r="O30" s="102">
        <v>2189.5</v>
      </c>
      <c r="P30" s="102">
        <v>2348.3000000000002</v>
      </c>
      <c r="Q30" s="102">
        <v>2592.5</v>
      </c>
      <c r="R30" s="97">
        <v>2749.7</v>
      </c>
      <c r="S30" s="98">
        <v>3464.1</v>
      </c>
      <c r="T30" s="102">
        <v>3811.8</v>
      </c>
      <c r="U30" s="102">
        <v>3827.1</v>
      </c>
      <c r="V30" s="97">
        <v>3929.7</v>
      </c>
      <c r="W30" s="98">
        <v>4805.6000000000004</v>
      </c>
      <c r="X30" s="102">
        <v>4911.2</v>
      </c>
      <c r="Y30" s="102">
        <v>5209.7</v>
      </c>
      <c r="Z30" s="102">
        <v>5592.5</v>
      </c>
      <c r="AA30" s="18">
        <v>5685</v>
      </c>
      <c r="AB30" s="97">
        <v>5863.9</v>
      </c>
      <c r="AC30" s="98">
        <v>6786.3</v>
      </c>
      <c r="AD30" s="102">
        <v>7057.3</v>
      </c>
      <c r="AE30" s="102">
        <v>7174.8</v>
      </c>
      <c r="AF30" s="97">
        <v>7398.3</v>
      </c>
      <c r="AG30" s="98">
        <v>8657.2999999999993</v>
      </c>
      <c r="AH30" s="102">
        <v>9094.2000000000007</v>
      </c>
      <c r="AI30" s="102">
        <v>9320.2000000000007</v>
      </c>
      <c r="AJ30" s="102">
        <v>9966.5</v>
      </c>
      <c r="AK30" s="102">
        <v>10172.6</v>
      </c>
      <c r="AL30" s="97">
        <v>10432.4</v>
      </c>
    </row>
  </sheetData>
  <mergeCells count="7">
    <mergeCell ref="M2:R2"/>
    <mergeCell ref="C2:H2"/>
    <mergeCell ref="AG2:AL2"/>
    <mergeCell ref="S2:V2"/>
    <mergeCell ref="I2:L2"/>
    <mergeCell ref="AC2:AF2"/>
    <mergeCell ref="W2:AB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8"/>
  <sheetViews>
    <sheetView showGridLines="0" rightToLeft="1" zoomScaleNormal="100" workbookViewId="0">
      <pane ySplit="3" topLeftCell="A12" activePane="bottomLeft" state="frozen"/>
      <selection pane="bottomLeft" activeCell="AL32" activeCellId="1" sqref="T29:U33 V32:AL33"/>
    </sheetView>
  </sheetViews>
  <sheetFormatPr defaultColWidth="8.625" defaultRowHeight="14.25" customHeight="1"/>
  <cols>
    <col min="1" max="1" width="36" bestFit="1" customWidth="1"/>
    <col min="2" max="2" width="29.375" bestFit="1" customWidth="1"/>
    <col min="3" max="3" width="3" bestFit="1" customWidth="1"/>
    <col min="4" max="4" width="2.375" bestFit="1" customWidth="1"/>
    <col min="5" max="5" width="3.625" bestFit="1" customWidth="1"/>
    <col min="6" max="6" width="5" bestFit="1" customWidth="1"/>
    <col min="7" max="7" width="3" bestFit="1" customWidth="1"/>
    <col min="8" max="8" width="4" bestFit="1" customWidth="1"/>
    <col min="9" max="9" width="3" bestFit="1" customWidth="1"/>
    <col min="10" max="10" width="2.625" bestFit="1" customWidth="1"/>
    <col min="11" max="11" width="3" bestFit="1" customWidth="1"/>
    <col min="12" max="12" width="4" bestFit="1" customWidth="1"/>
    <col min="13" max="13" width="3" bestFit="1" customWidth="1"/>
    <col min="14" max="14" width="2.375" bestFit="1" customWidth="1"/>
    <col min="15" max="15" width="3.625" bestFit="1" customWidth="1"/>
    <col min="16" max="16" width="5" bestFit="1" customWidth="1"/>
    <col min="17" max="17" width="3" bestFit="1" customWidth="1"/>
    <col min="18" max="18" width="4" bestFit="1" customWidth="1"/>
    <col min="19" max="19" width="3" bestFit="1" customWidth="1"/>
    <col min="20" max="32" width="5.625" bestFit="1" customWidth="1"/>
    <col min="33" max="38" width="6.5" bestFit="1" customWidth="1"/>
  </cols>
  <sheetData>
    <row r="1" spans="1:38" ht="6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</row>
    <row r="2" spans="1:38" ht="27.75" customHeight="1">
      <c r="A2" s="52" t="s">
        <v>369</v>
      </c>
      <c r="B2" s="10" t="s">
        <v>228</v>
      </c>
      <c r="C2" s="141">
        <v>1397</v>
      </c>
      <c r="D2" s="139"/>
      <c r="E2" s="139"/>
      <c r="F2" s="139"/>
      <c r="G2" s="139"/>
      <c r="H2" s="140"/>
      <c r="I2" s="141">
        <v>1398</v>
      </c>
      <c r="J2" s="139"/>
      <c r="K2" s="139"/>
      <c r="L2" s="140"/>
      <c r="M2" s="141">
        <v>1399</v>
      </c>
      <c r="N2" s="139"/>
      <c r="O2" s="139"/>
      <c r="P2" s="139"/>
      <c r="Q2" s="139"/>
      <c r="R2" s="140"/>
      <c r="S2" s="141">
        <v>1400</v>
      </c>
      <c r="T2" s="139"/>
      <c r="U2" s="139"/>
      <c r="V2" s="140"/>
      <c r="W2" s="141">
        <v>1401</v>
      </c>
      <c r="X2" s="139"/>
      <c r="Y2" s="139"/>
      <c r="Z2" s="139"/>
      <c r="AA2" s="139"/>
      <c r="AB2" s="140"/>
      <c r="AC2" s="141">
        <v>1402</v>
      </c>
      <c r="AD2" s="139"/>
      <c r="AE2" s="139"/>
      <c r="AF2" s="140"/>
      <c r="AG2" s="141">
        <v>1403</v>
      </c>
      <c r="AH2" s="139"/>
      <c r="AI2" s="139"/>
      <c r="AJ2" s="139"/>
      <c r="AK2" s="139"/>
      <c r="AL2" s="140"/>
    </row>
    <row r="3" spans="1:38" ht="24" customHeight="1">
      <c r="A3" s="11"/>
      <c r="B3" s="11"/>
      <c r="C3" s="54" t="s">
        <v>244</v>
      </c>
      <c r="D3" s="55" t="s">
        <v>230</v>
      </c>
      <c r="E3" s="55" t="s">
        <v>231</v>
      </c>
      <c r="F3" s="55" t="s">
        <v>232</v>
      </c>
      <c r="G3" s="55" t="s">
        <v>245</v>
      </c>
      <c r="H3" s="56" t="s">
        <v>246</v>
      </c>
      <c r="I3" s="54" t="s">
        <v>244</v>
      </c>
      <c r="J3" s="55" t="s">
        <v>247</v>
      </c>
      <c r="K3" s="55" t="s">
        <v>245</v>
      </c>
      <c r="L3" s="56" t="s">
        <v>246</v>
      </c>
      <c r="M3" s="54" t="s">
        <v>244</v>
      </c>
      <c r="N3" s="55" t="s">
        <v>230</v>
      </c>
      <c r="O3" s="55" t="s">
        <v>231</v>
      </c>
      <c r="P3" s="55" t="s">
        <v>232</v>
      </c>
      <c r="Q3" s="55" t="s">
        <v>245</v>
      </c>
      <c r="R3" s="56" t="s">
        <v>246</v>
      </c>
      <c r="S3" s="54" t="s">
        <v>244</v>
      </c>
      <c r="T3" s="55" t="s">
        <v>247</v>
      </c>
      <c r="U3" s="55" t="s">
        <v>245</v>
      </c>
      <c r="V3" s="56" t="s">
        <v>246</v>
      </c>
      <c r="W3" s="54" t="s">
        <v>244</v>
      </c>
      <c r="X3" s="55" t="s">
        <v>247</v>
      </c>
      <c r="Y3" s="55" t="s">
        <v>245</v>
      </c>
      <c r="Z3" s="55" t="s">
        <v>236</v>
      </c>
      <c r="AA3" s="55" t="s">
        <v>237</v>
      </c>
      <c r="AB3" s="56" t="s">
        <v>238</v>
      </c>
      <c r="AC3" s="54" t="s">
        <v>244</v>
      </c>
      <c r="AD3" s="55" t="s">
        <v>247</v>
      </c>
      <c r="AE3" s="55" t="s">
        <v>245</v>
      </c>
      <c r="AF3" s="56" t="s">
        <v>246</v>
      </c>
      <c r="AG3" s="54" t="s">
        <v>244</v>
      </c>
      <c r="AH3" s="55" t="s">
        <v>247</v>
      </c>
      <c r="AI3" s="55" t="s">
        <v>245</v>
      </c>
      <c r="AJ3" s="55" t="s">
        <v>236</v>
      </c>
      <c r="AK3" s="55" t="s">
        <v>237</v>
      </c>
      <c r="AL3" s="56" t="s">
        <v>238</v>
      </c>
    </row>
    <row r="4" spans="1:38" ht="18.75" customHeight="1">
      <c r="A4" s="18">
        <v>1</v>
      </c>
      <c r="B4" s="12" t="s">
        <v>370</v>
      </c>
      <c r="C4" s="57">
        <v>0</v>
      </c>
      <c r="D4" s="58">
        <v>0</v>
      </c>
      <c r="E4" s="58">
        <v>0</v>
      </c>
      <c r="F4" s="58">
        <v>0</v>
      </c>
      <c r="G4" s="58">
        <v>0</v>
      </c>
      <c r="H4" s="59">
        <v>0</v>
      </c>
      <c r="I4" s="57">
        <v>0</v>
      </c>
      <c r="J4" s="58">
        <v>0</v>
      </c>
      <c r="K4" s="58">
        <v>0</v>
      </c>
      <c r="L4" s="59">
        <v>0</v>
      </c>
      <c r="M4" s="57">
        <v>0</v>
      </c>
      <c r="N4" s="58">
        <v>0</v>
      </c>
      <c r="O4" s="58">
        <v>0</v>
      </c>
      <c r="P4" s="58">
        <v>0</v>
      </c>
      <c r="Q4" s="58">
        <v>0</v>
      </c>
      <c r="R4" s="59">
        <v>0</v>
      </c>
      <c r="S4" s="57">
        <v>0</v>
      </c>
      <c r="T4" s="102">
        <v>3977.9</v>
      </c>
      <c r="U4" s="102">
        <v>4675.3</v>
      </c>
      <c r="V4" s="97">
        <v>4649.3</v>
      </c>
      <c r="W4" s="13">
        <v>5153</v>
      </c>
      <c r="X4" s="102">
        <v>5177.8999999999996</v>
      </c>
      <c r="Y4" s="102">
        <v>6095.3</v>
      </c>
      <c r="Z4" s="102">
        <v>6095.3</v>
      </c>
      <c r="AA4" s="102">
        <v>6317.5</v>
      </c>
      <c r="AB4" s="97">
        <v>7061.4</v>
      </c>
      <c r="AC4" s="98">
        <v>7683.9</v>
      </c>
      <c r="AD4" s="18">
        <v>7707</v>
      </c>
      <c r="AE4" s="102">
        <v>7700.9</v>
      </c>
      <c r="AF4" s="97">
        <v>7716.9</v>
      </c>
      <c r="AG4" s="13">
        <v>8933</v>
      </c>
      <c r="AH4" s="102">
        <v>8955.5</v>
      </c>
      <c r="AI4" s="102">
        <v>9454.1</v>
      </c>
      <c r="AJ4" s="102">
        <v>9543.9</v>
      </c>
      <c r="AK4" s="102">
        <v>9759.4</v>
      </c>
      <c r="AL4" s="97">
        <v>9768.7999999999993</v>
      </c>
    </row>
    <row r="5" spans="1:38" ht="18.75" customHeight="1">
      <c r="A5" s="19">
        <v>2</v>
      </c>
      <c r="B5" s="14" t="s">
        <v>371</v>
      </c>
      <c r="C5" s="60">
        <v>0</v>
      </c>
      <c r="D5" s="61">
        <v>0</v>
      </c>
      <c r="E5" s="61">
        <v>0</v>
      </c>
      <c r="F5" s="61">
        <v>0</v>
      </c>
      <c r="G5" s="61">
        <v>0</v>
      </c>
      <c r="H5" s="62">
        <v>0</v>
      </c>
      <c r="I5" s="60">
        <v>0</v>
      </c>
      <c r="J5" s="61">
        <v>0</v>
      </c>
      <c r="K5" s="61">
        <v>0</v>
      </c>
      <c r="L5" s="62">
        <v>0</v>
      </c>
      <c r="M5" s="60">
        <v>0</v>
      </c>
      <c r="N5" s="61">
        <v>0</v>
      </c>
      <c r="O5" s="61">
        <v>0</v>
      </c>
      <c r="P5" s="61">
        <v>0</v>
      </c>
      <c r="Q5" s="61">
        <v>0</v>
      </c>
      <c r="R5" s="62">
        <v>0</v>
      </c>
      <c r="S5" s="60">
        <v>0</v>
      </c>
      <c r="T5" s="101">
        <v>3137.2</v>
      </c>
      <c r="U5" s="101">
        <v>3138.3</v>
      </c>
      <c r="V5" s="96">
        <v>3754.7</v>
      </c>
      <c r="W5" s="95">
        <v>3808.2</v>
      </c>
      <c r="X5" s="101">
        <v>4098.3999999999996</v>
      </c>
      <c r="Y5" s="101">
        <v>4969.6000000000004</v>
      </c>
      <c r="Z5" s="101">
        <v>5002.7</v>
      </c>
      <c r="AA5" s="101">
        <v>5453.3</v>
      </c>
      <c r="AB5" s="17">
        <v>6054</v>
      </c>
      <c r="AC5" s="95">
        <v>6341.6</v>
      </c>
      <c r="AD5" s="101">
        <v>6344.8</v>
      </c>
      <c r="AE5" s="101">
        <v>8465.9</v>
      </c>
      <c r="AF5" s="96">
        <v>8468.2999999999993</v>
      </c>
      <c r="AG5" s="95">
        <v>11321.1</v>
      </c>
      <c r="AH5" s="101">
        <v>11806.6</v>
      </c>
      <c r="AI5" s="101">
        <v>11806.6</v>
      </c>
      <c r="AJ5" s="101">
        <v>11806.4</v>
      </c>
      <c r="AK5" s="101">
        <v>12185.9</v>
      </c>
      <c r="AL5" s="96">
        <v>12985.2</v>
      </c>
    </row>
    <row r="6" spans="1:38" ht="18.75" customHeight="1">
      <c r="A6" s="18">
        <v>3</v>
      </c>
      <c r="B6" s="12" t="s">
        <v>372</v>
      </c>
      <c r="C6" s="57">
        <v>0</v>
      </c>
      <c r="D6" s="58">
        <v>0</v>
      </c>
      <c r="E6" s="58">
        <v>0</v>
      </c>
      <c r="F6" s="58">
        <v>0</v>
      </c>
      <c r="G6" s="58">
        <v>0</v>
      </c>
      <c r="H6" s="59">
        <v>0</v>
      </c>
      <c r="I6" s="57">
        <v>0</v>
      </c>
      <c r="J6" s="58">
        <v>0</v>
      </c>
      <c r="K6" s="58">
        <v>0</v>
      </c>
      <c r="L6" s="59">
        <v>0</v>
      </c>
      <c r="M6" s="57">
        <v>0</v>
      </c>
      <c r="N6" s="58">
        <v>0</v>
      </c>
      <c r="O6" s="58">
        <v>0</v>
      </c>
      <c r="P6" s="58">
        <v>0</v>
      </c>
      <c r="Q6" s="58">
        <v>0</v>
      </c>
      <c r="R6" s="59">
        <v>0</v>
      </c>
      <c r="S6" s="57">
        <v>0</v>
      </c>
      <c r="T6" s="102">
        <v>3255.4</v>
      </c>
      <c r="U6" s="102">
        <v>3350.4</v>
      </c>
      <c r="V6" s="97">
        <v>4163.8</v>
      </c>
      <c r="W6" s="98">
        <v>4176.7</v>
      </c>
      <c r="X6" s="102">
        <v>4077.6</v>
      </c>
      <c r="Y6" s="102">
        <v>6139.7</v>
      </c>
      <c r="Z6" s="102">
        <v>6139.7</v>
      </c>
      <c r="AA6" s="102">
        <v>6403.5</v>
      </c>
      <c r="AB6" s="97">
        <v>7069.7</v>
      </c>
      <c r="AC6" s="98">
        <v>6737.9</v>
      </c>
      <c r="AD6" s="102">
        <v>7096.6</v>
      </c>
      <c r="AE6" s="102">
        <v>8643.4</v>
      </c>
      <c r="AF6" s="97">
        <v>8649.6</v>
      </c>
      <c r="AG6" s="98">
        <v>9802.5</v>
      </c>
      <c r="AH6" s="102">
        <v>10302.9</v>
      </c>
      <c r="AI6" s="102">
        <v>11719.3</v>
      </c>
      <c r="AJ6" s="102">
        <v>11727.1</v>
      </c>
      <c r="AK6" s="102">
        <v>12087.2</v>
      </c>
      <c r="AL6" s="16">
        <v>12560</v>
      </c>
    </row>
    <row r="7" spans="1:38" ht="18.75" customHeight="1">
      <c r="A7" s="63">
        <v>4</v>
      </c>
      <c r="B7" s="64" t="s">
        <v>373</v>
      </c>
      <c r="C7" s="67">
        <v>0</v>
      </c>
      <c r="D7" s="68">
        <v>0</v>
      </c>
      <c r="E7" s="68">
        <v>0</v>
      </c>
      <c r="F7" s="68">
        <v>0</v>
      </c>
      <c r="G7" s="68">
        <v>0</v>
      </c>
      <c r="H7" s="69">
        <v>0</v>
      </c>
      <c r="I7" s="67">
        <v>0</v>
      </c>
      <c r="J7" s="68">
        <v>0</v>
      </c>
      <c r="K7" s="68">
        <v>0</v>
      </c>
      <c r="L7" s="69">
        <v>0</v>
      </c>
      <c r="M7" s="67">
        <v>0</v>
      </c>
      <c r="N7" s="68">
        <v>0</v>
      </c>
      <c r="O7" s="68">
        <v>0</v>
      </c>
      <c r="P7" s="68">
        <v>0</v>
      </c>
      <c r="Q7" s="68">
        <v>0</v>
      </c>
      <c r="R7" s="69">
        <v>0</v>
      </c>
      <c r="S7" s="67">
        <v>0</v>
      </c>
      <c r="T7" s="100">
        <v>3161.8</v>
      </c>
      <c r="U7" s="100">
        <v>3255.6</v>
      </c>
      <c r="V7" s="94">
        <v>3321.3</v>
      </c>
      <c r="W7" s="93">
        <v>3671.4</v>
      </c>
      <c r="X7" s="100">
        <v>3674.5</v>
      </c>
      <c r="Y7" s="100">
        <v>4272.3999999999996</v>
      </c>
      <c r="Z7" s="100">
        <v>4272.3999999999996</v>
      </c>
      <c r="AA7" s="100">
        <v>4999.8999999999996</v>
      </c>
      <c r="AB7" s="94">
        <v>5531.3</v>
      </c>
      <c r="AC7" s="93">
        <v>5731.8</v>
      </c>
      <c r="AD7" s="63">
        <v>5374</v>
      </c>
      <c r="AE7" s="100">
        <v>6919.3</v>
      </c>
      <c r="AF7" s="94">
        <v>6920.4</v>
      </c>
      <c r="AG7" s="93">
        <v>8537.2999999999993</v>
      </c>
      <c r="AH7" s="100">
        <v>8539.2000000000007</v>
      </c>
      <c r="AI7" s="100">
        <v>9097.4</v>
      </c>
      <c r="AJ7" s="63">
        <v>10625</v>
      </c>
      <c r="AK7" s="63">
        <v>11128</v>
      </c>
      <c r="AL7" s="94">
        <v>11823.5</v>
      </c>
    </row>
    <row r="8" spans="1:38" ht="18.75" customHeight="1">
      <c r="A8" s="18">
        <v>5</v>
      </c>
      <c r="B8" s="12" t="s">
        <v>374</v>
      </c>
      <c r="C8" s="57">
        <v>0</v>
      </c>
      <c r="D8" s="58">
        <v>0</v>
      </c>
      <c r="E8" s="58">
        <v>0</v>
      </c>
      <c r="F8" s="58">
        <v>0</v>
      </c>
      <c r="G8" s="58">
        <v>0</v>
      </c>
      <c r="H8" s="59">
        <v>0</v>
      </c>
      <c r="I8" s="57">
        <v>0</v>
      </c>
      <c r="J8" s="58">
        <v>0</v>
      </c>
      <c r="K8" s="58">
        <v>0</v>
      </c>
      <c r="L8" s="59">
        <v>0</v>
      </c>
      <c r="M8" s="57">
        <v>0</v>
      </c>
      <c r="N8" s="58">
        <v>0</v>
      </c>
      <c r="O8" s="58">
        <v>0</v>
      </c>
      <c r="P8" s="58">
        <v>0</v>
      </c>
      <c r="Q8" s="58">
        <v>0</v>
      </c>
      <c r="R8" s="59">
        <v>0</v>
      </c>
      <c r="S8" s="57">
        <v>0</v>
      </c>
      <c r="T8" s="102">
        <v>3379.5</v>
      </c>
      <c r="U8" s="102">
        <v>3413.4</v>
      </c>
      <c r="V8" s="97">
        <v>3533.4</v>
      </c>
      <c r="W8" s="98">
        <v>3499.3</v>
      </c>
      <c r="X8" s="102">
        <v>3517.7</v>
      </c>
      <c r="Y8" s="102">
        <v>3840.4</v>
      </c>
      <c r="Z8" s="102">
        <v>3995.5</v>
      </c>
      <c r="AA8" s="102">
        <v>4419.5</v>
      </c>
      <c r="AB8" s="97">
        <v>4984.8999999999996</v>
      </c>
      <c r="AC8" s="98">
        <v>5868.1</v>
      </c>
      <c r="AD8" s="102">
        <v>5886.4</v>
      </c>
      <c r="AE8" s="102">
        <v>5822.6</v>
      </c>
      <c r="AF8" s="97">
        <v>5851.3</v>
      </c>
      <c r="AG8" s="98">
        <v>6711.4</v>
      </c>
      <c r="AH8" s="102">
        <v>6734.6</v>
      </c>
      <c r="AI8" s="102">
        <v>8347.2000000000007</v>
      </c>
      <c r="AJ8" s="102">
        <v>8429.5</v>
      </c>
      <c r="AK8" s="102">
        <v>8999.2999999999993</v>
      </c>
      <c r="AL8" s="97">
        <v>9111.1</v>
      </c>
    </row>
    <row r="9" spans="1:38" ht="18.75" customHeight="1">
      <c r="A9" s="19">
        <v>6</v>
      </c>
      <c r="B9" s="14" t="s">
        <v>375</v>
      </c>
      <c r="C9" s="60">
        <v>0</v>
      </c>
      <c r="D9" s="61">
        <v>0</v>
      </c>
      <c r="E9" s="61">
        <v>0</v>
      </c>
      <c r="F9" s="61">
        <v>0</v>
      </c>
      <c r="G9" s="61">
        <v>0</v>
      </c>
      <c r="H9" s="62">
        <v>0</v>
      </c>
      <c r="I9" s="60">
        <v>0</v>
      </c>
      <c r="J9" s="61">
        <v>0</v>
      </c>
      <c r="K9" s="61">
        <v>0</v>
      </c>
      <c r="L9" s="62">
        <v>0</v>
      </c>
      <c r="M9" s="60">
        <v>0</v>
      </c>
      <c r="N9" s="61">
        <v>0</v>
      </c>
      <c r="O9" s="61">
        <v>0</v>
      </c>
      <c r="P9" s="61">
        <v>0</v>
      </c>
      <c r="Q9" s="61">
        <v>0</v>
      </c>
      <c r="R9" s="62">
        <v>0</v>
      </c>
      <c r="S9" s="60">
        <v>0</v>
      </c>
      <c r="T9" s="101">
        <v>3152.9</v>
      </c>
      <c r="U9" s="19">
        <v>3243</v>
      </c>
      <c r="V9" s="96">
        <v>3302.5</v>
      </c>
      <c r="W9" s="95">
        <v>3296.7</v>
      </c>
      <c r="X9" s="101">
        <v>3298.3</v>
      </c>
      <c r="Y9" s="101">
        <v>3908.5</v>
      </c>
      <c r="Z9" s="101">
        <v>4351.1000000000004</v>
      </c>
      <c r="AA9" s="101">
        <v>4445.2</v>
      </c>
      <c r="AB9" s="96">
        <v>4770.5</v>
      </c>
      <c r="AC9" s="95">
        <v>4996.3999999999996</v>
      </c>
      <c r="AD9" s="101">
        <v>4997.2</v>
      </c>
      <c r="AE9" s="19">
        <v>5068</v>
      </c>
      <c r="AF9" s="96">
        <v>5068.5</v>
      </c>
      <c r="AG9" s="95">
        <v>5729.5</v>
      </c>
      <c r="AH9" s="101">
        <v>5478.1</v>
      </c>
      <c r="AI9" s="101">
        <v>6134.6</v>
      </c>
      <c r="AJ9" s="101">
        <v>7296.6</v>
      </c>
      <c r="AK9" s="101">
        <v>7852.3</v>
      </c>
      <c r="AL9" s="96">
        <v>8074.7</v>
      </c>
    </row>
    <row r="10" spans="1:38" ht="18.75" customHeight="1">
      <c r="A10" s="18">
        <v>7</v>
      </c>
      <c r="B10" s="12" t="s">
        <v>376</v>
      </c>
      <c r="C10" s="57">
        <v>0</v>
      </c>
      <c r="D10" s="58">
        <v>0</v>
      </c>
      <c r="E10" s="58">
        <v>0</v>
      </c>
      <c r="F10" s="58">
        <v>0</v>
      </c>
      <c r="G10" s="58">
        <v>0</v>
      </c>
      <c r="H10" s="59">
        <v>0</v>
      </c>
      <c r="I10" s="57">
        <v>0</v>
      </c>
      <c r="J10" s="58">
        <v>0</v>
      </c>
      <c r="K10" s="58">
        <v>0</v>
      </c>
      <c r="L10" s="59">
        <v>0</v>
      </c>
      <c r="M10" s="57">
        <v>0</v>
      </c>
      <c r="N10" s="58">
        <v>0</v>
      </c>
      <c r="O10" s="58">
        <v>0</v>
      </c>
      <c r="P10" s="58">
        <v>0</v>
      </c>
      <c r="Q10" s="58">
        <v>0</v>
      </c>
      <c r="R10" s="59">
        <v>0</v>
      </c>
      <c r="S10" s="57">
        <v>0</v>
      </c>
      <c r="T10" s="18">
        <v>3522</v>
      </c>
      <c r="U10" s="18">
        <v>3846</v>
      </c>
      <c r="V10" s="16">
        <v>3969</v>
      </c>
      <c r="W10" s="98">
        <v>4382.1000000000004</v>
      </c>
      <c r="X10" s="102">
        <v>4642.7</v>
      </c>
      <c r="Y10" s="102">
        <v>5100.2</v>
      </c>
      <c r="Z10" s="102">
        <v>5231.5</v>
      </c>
      <c r="AA10" s="102">
        <v>5707.8</v>
      </c>
      <c r="AB10" s="97">
        <v>6342.9</v>
      </c>
      <c r="AC10" s="98">
        <v>7123.1</v>
      </c>
      <c r="AD10" s="102">
        <v>7130.2</v>
      </c>
      <c r="AE10" s="102">
        <v>7384.5</v>
      </c>
      <c r="AF10" s="97">
        <v>8680.5</v>
      </c>
      <c r="AG10" s="13">
        <v>10049</v>
      </c>
      <c r="AH10" s="102">
        <v>10543.2</v>
      </c>
      <c r="AI10" s="102">
        <v>10546.8</v>
      </c>
      <c r="AJ10" s="102">
        <v>12487.2</v>
      </c>
      <c r="AK10" s="102">
        <v>13411.7</v>
      </c>
      <c r="AL10" s="97">
        <v>13786.4</v>
      </c>
    </row>
    <row r="11" spans="1:38" ht="18.75" customHeight="1">
      <c r="A11" s="19">
        <v>8</v>
      </c>
      <c r="B11" s="14" t="s">
        <v>377</v>
      </c>
      <c r="C11" s="60">
        <v>0</v>
      </c>
      <c r="D11" s="61">
        <v>0</v>
      </c>
      <c r="E11" s="61">
        <v>0</v>
      </c>
      <c r="F11" s="61">
        <v>0</v>
      </c>
      <c r="G11" s="61">
        <v>0</v>
      </c>
      <c r="H11" s="62">
        <v>0</v>
      </c>
      <c r="I11" s="60">
        <v>0</v>
      </c>
      <c r="J11" s="61">
        <v>0</v>
      </c>
      <c r="K11" s="61">
        <v>0</v>
      </c>
      <c r="L11" s="62">
        <v>0</v>
      </c>
      <c r="M11" s="60">
        <v>0</v>
      </c>
      <c r="N11" s="61">
        <v>0</v>
      </c>
      <c r="O11" s="61">
        <v>0</v>
      </c>
      <c r="P11" s="61">
        <v>0</v>
      </c>
      <c r="Q11" s="61">
        <v>0</v>
      </c>
      <c r="R11" s="62">
        <v>0</v>
      </c>
      <c r="S11" s="60">
        <v>0</v>
      </c>
      <c r="T11" s="101">
        <v>3600.4</v>
      </c>
      <c r="U11" s="101">
        <v>4050.2</v>
      </c>
      <c r="V11" s="96">
        <v>4199.3999999999996</v>
      </c>
      <c r="W11" s="95">
        <v>4123.3</v>
      </c>
      <c r="X11" s="101">
        <v>4037.3</v>
      </c>
      <c r="Y11" s="101">
        <v>4959.1000000000004</v>
      </c>
      <c r="Z11" s="101">
        <v>5504.6</v>
      </c>
      <c r="AA11" s="101">
        <v>6008.5</v>
      </c>
      <c r="AB11" s="96">
        <v>6680.5</v>
      </c>
      <c r="AC11" s="95">
        <v>6681.7</v>
      </c>
      <c r="AD11" s="101">
        <v>6681.9</v>
      </c>
      <c r="AE11" s="101">
        <v>6682.6</v>
      </c>
      <c r="AF11" s="96">
        <v>7864.1</v>
      </c>
      <c r="AG11" s="95">
        <v>9217.4</v>
      </c>
      <c r="AH11" s="101">
        <v>8957.5</v>
      </c>
      <c r="AI11" s="101">
        <v>9233.2000000000007</v>
      </c>
      <c r="AJ11" s="101">
        <v>9233.5</v>
      </c>
      <c r="AK11" s="101">
        <v>9830.7999999999993</v>
      </c>
      <c r="AL11" s="96">
        <v>9970.7999999999993</v>
      </c>
    </row>
    <row r="12" spans="1:38" ht="18.75" customHeight="1">
      <c r="A12" s="18">
        <v>9</v>
      </c>
      <c r="B12" s="12" t="s">
        <v>378</v>
      </c>
      <c r="C12" s="57">
        <v>0</v>
      </c>
      <c r="D12" s="58">
        <v>0</v>
      </c>
      <c r="E12" s="58">
        <v>0</v>
      </c>
      <c r="F12" s="58">
        <v>0</v>
      </c>
      <c r="G12" s="58">
        <v>0</v>
      </c>
      <c r="H12" s="59">
        <v>0</v>
      </c>
      <c r="I12" s="57">
        <v>0</v>
      </c>
      <c r="J12" s="58">
        <v>0</v>
      </c>
      <c r="K12" s="58">
        <v>0</v>
      </c>
      <c r="L12" s="59">
        <v>0</v>
      </c>
      <c r="M12" s="57">
        <v>0</v>
      </c>
      <c r="N12" s="58">
        <v>0</v>
      </c>
      <c r="O12" s="58">
        <v>0</v>
      </c>
      <c r="P12" s="58">
        <v>0</v>
      </c>
      <c r="Q12" s="58">
        <v>0</v>
      </c>
      <c r="R12" s="59">
        <v>0</v>
      </c>
      <c r="S12" s="57">
        <v>0</v>
      </c>
      <c r="T12" s="102">
        <v>3715.1</v>
      </c>
      <c r="U12" s="102">
        <v>4050.5</v>
      </c>
      <c r="V12" s="97">
        <v>4200.7</v>
      </c>
      <c r="W12" s="98">
        <v>4127.3</v>
      </c>
      <c r="X12" s="102">
        <v>4041.3</v>
      </c>
      <c r="Y12" s="102">
        <v>4982.3999999999996</v>
      </c>
      <c r="Z12" s="102">
        <v>5545.7</v>
      </c>
      <c r="AA12" s="102">
        <v>6049.8</v>
      </c>
      <c r="AB12" s="97">
        <v>6721.9</v>
      </c>
      <c r="AC12" s="98">
        <v>7463.4</v>
      </c>
      <c r="AD12" s="102">
        <v>7463.4</v>
      </c>
      <c r="AE12" s="18">
        <v>7543</v>
      </c>
      <c r="AF12" s="97">
        <v>7914.5</v>
      </c>
      <c r="AG12" s="98">
        <v>8708.6</v>
      </c>
      <c r="AH12" s="102">
        <v>8709.7000000000007</v>
      </c>
      <c r="AI12" s="18">
        <v>9294</v>
      </c>
      <c r="AJ12" s="102">
        <v>9295.2000000000007</v>
      </c>
      <c r="AK12" s="102">
        <v>9895.4</v>
      </c>
      <c r="AL12" s="97">
        <v>10036.200000000001</v>
      </c>
    </row>
    <row r="13" spans="1:38" ht="18.75" customHeight="1">
      <c r="A13" s="19">
        <v>10</v>
      </c>
      <c r="B13" s="14" t="s">
        <v>379</v>
      </c>
      <c r="C13" s="60">
        <v>0</v>
      </c>
      <c r="D13" s="61">
        <v>0</v>
      </c>
      <c r="E13" s="61">
        <v>0</v>
      </c>
      <c r="F13" s="61">
        <v>0</v>
      </c>
      <c r="G13" s="61">
        <v>0</v>
      </c>
      <c r="H13" s="62">
        <v>0</v>
      </c>
      <c r="I13" s="60">
        <v>0</v>
      </c>
      <c r="J13" s="61">
        <v>0</v>
      </c>
      <c r="K13" s="61">
        <v>0</v>
      </c>
      <c r="L13" s="62">
        <v>0</v>
      </c>
      <c r="M13" s="60">
        <v>0</v>
      </c>
      <c r="N13" s="61">
        <v>0</v>
      </c>
      <c r="O13" s="61">
        <v>0</v>
      </c>
      <c r="P13" s="61">
        <v>0</v>
      </c>
      <c r="Q13" s="61">
        <v>0</v>
      </c>
      <c r="R13" s="62">
        <v>0</v>
      </c>
      <c r="S13" s="60">
        <v>0</v>
      </c>
      <c r="T13" s="101">
        <v>3106.1</v>
      </c>
      <c r="U13" s="101">
        <v>3935.1</v>
      </c>
      <c r="V13" s="96">
        <v>4449.3999999999996</v>
      </c>
      <c r="W13" s="95">
        <v>4582.8999999999996</v>
      </c>
      <c r="X13" s="101">
        <v>4399.3999999999996</v>
      </c>
      <c r="Y13" s="101">
        <v>5262.7</v>
      </c>
      <c r="Z13" s="101">
        <v>5648.9</v>
      </c>
      <c r="AA13" s="101">
        <v>6182.9</v>
      </c>
      <c r="AB13" s="96">
        <v>6894.8</v>
      </c>
      <c r="AC13" s="95">
        <v>7730.7</v>
      </c>
      <c r="AD13" s="101">
        <v>7765.9</v>
      </c>
      <c r="AE13" s="101">
        <v>8478.6</v>
      </c>
      <c r="AF13" s="96">
        <v>8508.2000000000007</v>
      </c>
      <c r="AG13" s="95">
        <v>9451.2999999999993</v>
      </c>
      <c r="AH13" s="101">
        <v>9491.1</v>
      </c>
      <c r="AI13" s="101">
        <v>10970.3</v>
      </c>
      <c r="AJ13" s="101">
        <v>12045.4</v>
      </c>
      <c r="AK13" s="101">
        <v>12304.9</v>
      </c>
      <c r="AL13" s="96">
        <v>12767.3</v>
      </c>
    </row>
    <row r="14" spans="1:38" ht="18.75" customHeight="1">
      <c r="A14" s="18">
        <v>11</v>
      </c>
      <c r="B14" s="12" t="s">
        <v>380</v>
      </c>
      <c r="C14" s="57">
        <v>0</v>
      </c>
      <c r="D14" s="58">
        <v>0</v>
      </c>
      <c r="E14" s="58">
        <v>0</v>
      </c>
      <c r="F14" s="58">
        <v>0</v>
      </c>
      <c r="G14" s="58">
        <v>0</v>
      </c>
      <c r="H14" s="59">
        <v>0</v>
      </c>
      <c r="I14" s="57">
        <v>0</v>
      </c>
      <c r="J14" s="58">
        <v>0</v>
      </c>
      <c r="K14" s="58">
        <v>0</v>
      </c>
      <c r="L14" s="59">
        <v>0</v>
      </c>
      <c r="M14" s="57">
        <v>0</v>
      </c>
      <c r="N14" s="58">
        <v>0</v>
      </c>
      <c r="O14" s="58">
        <v>0</v>
      </c>
      <c r="P14" s="58">
        <v>0</v>
      </c>
      <c r="Q14" s="58">
        <v>0</v>
      </c>
      <c r="R14" s="59">
        <v>0</v>
      </c>
      <c r="S14" s="57">
        <v>0</v>
      </c>
      <c r="T14" s="102">
        <v>3307.7</v>
      </c>
      <c r="U14" s="102">
        <v>3315.5</v>
      </c>
      <c r="V14" s="16">
        <v>3438</v>
      </c>
      <c r="W14" s="98">
        <v>3651.2</v>
      </c>
      <c r="X14" s="102">
        <v>3670.7</v>
      </c>
      <c r="Y14" s="102">
        <v>4051.7</v>
      </c>
      <c r="Z14" s="102">
        <v>4287.2</v>
      </c>
      <c r="AA14" s="102">
        <v>4699.7</v>
      </c>
      <c r="AB14" s="97">
        <v>5249.8</v>
      </c>
      <c r="AC14" s="98">
        <v>5483.8</v>
      </c>
      <c r="AD14" s="102">
        <v>5530.9</v>
      </c>
      <c r="AE14" s="102">
        <v>5567.5</v>
      </c>
      <c r="AF14" s="97">
        <v>6352.6</v>
      </c>
      <c r="AG14" s="98">
        <v>7546.9</v>
      </c>
      <c r="AH14" s="102">
        <v>7457.4</v>
      </c>
      <c r="AI14" s="18">
        <v>8410</v>
      </c>
      <c r="AJ14" s="102">
        <v>9593.2000000000007</v>
      </c>
      <c r="AK14" s="102">
        <v>9613.6</v>
      </c>
      <c r="AL14" s="97">
        <v>9633.5</v>
      </c>
    </row>
    <row r="15" spans="1:38" ht="18.75" customHeight="1">
      <c r="A15" s="19">
        <v>12</v>
      </c>
      <c r="B15" s="14" t="s">
        <v>381</v>
      </c>
      <c r="C15" s="60">
        <v>0</v>
      </c>
      <c r="D15" s="61">
        <v>0</v>
      </c>
      <c r="E15" s="61">
        <v>0</v>
      </c>
      <c r="F15" s="61">
        <v>0</v>
      </c>
      <c r="G15" s="61">
        <v>0</v>
      </c>
      <c r="H15" s="62">
        <v>0</v>
      </c>
      <c r="I15" s="60">
        <v>0</v>
      </c>
      <c r="J15" s="61">
        <v>0</v>
      </c>
      <c r="K15" s="61">
        <v>0</v>
      </c>
      <c r="L15" s="62">
        <v>0</v>
      </c>
      <c r="M15" s="60">
        <v>0</v>
      </c>
      <c r="N15" s="61">
        <v>0</v>
      </c>
      <c r="O15" s="61">
        <v>0</v>
      </c>
      <c r="P15" s="61">
        <v>0</v>
      </c>
      <c r="Q15" s="61">
        <v>0</v>
      </c>
      <c r="R15" s="62">
        <v>0</v>
      </c>
      <c r="S15" s="60">
        <v>0</v>
      </c>
      <c r="T15" s="101">
        <v>3125.4</v>
      </c>
      <c r="U15" s="101">
        <v>3185.8</v>
      </c>
      <c r="V15" s="96">
        <v>3300.2</v>
      </c>
      <c r="W15" s="95">
        <v>3567.1</v>
      </c>
      <c r="X15" s="101">
        <v>3619.5</v>
      </c>
      <c r="Y15" s="101">
        <v>3992.1</v>
      </c>
      <c r="Z15" s="101">
        <v>4261.6000000000004</v>
      </c>
      <c r="AA15" s="101">
        <v>4657.6000000000004</v>
      </c>
      <c r="AB15" s="96">
        <v>5185.6000000000004</v>
      </c>
      <c r="AC15" s="95">
        <v>5195.8999999999996</v>
      </c>
      <c r="AD15" s="101">
        <v>4890.7</v>
      </c>
      <c r="AE15" s="101">
        <v>5457.1</v>
      </c>
      <c r="AF15" s="96">
        <v>5458.6</v>
      </c>
      <c r="AG15" s="95">
        <v>6012.3</v>
      </c>
      <c r="AH15" s="101">
        <v>5853.6</v>
      </c>
      <c r="AI15" s="101">
        <v>6609.9</v>
      </c>
      <c r="AJ15" s="101">
        <v>7854.5</v>
      </c>
      <c r="AK15" s="101">
        <v>8449.2999999999993</v>
      </c>
      <c r="AL15" s="96">
        <v>8687.7000000000007</v>
      </c>
    </row>
    <row r="16" spans="1:38" ht="18.75" customHeight="1">
      <c r="A16" s="63">
        <v>13</v>
      </c>
      <c r="B16" s="64" t="s">
        <v>382</v>
      </c>
      <c r="C16" s="67">
        <v>0</v>
      </c>
      <c r="D16" s="68">
        <v>0</v>
      </c>
      <c r="E16" s="68">
        <v>0</v>
      </c>
      <c r="F16" s="68">
        <v>0</v>
      </c>
      <c r="G16" s="68">
        <v>0</v>
      </c>
      <c r="H16" s="69">
        <v>0</v>
      </c>
      <c r="I16" s="67">
        <v>0</v>
      </c>
      <c r="J16" s="68">
        <v>0</v>
      </c>
      <c r="K16" s="68">
        <v>0</v>
      </c>
      <c r="L16" s="69">
        <v>0</v>
      </c>
      <c r="M16" s="67">
        <v>0</v>
      </c>
      <c r="N16" s="68">
        <v>0</v>
      </c>
      <c r="O16" s="68">
        <v>0</v>
      </c>
      <c r="P16" s="68">
        <v>0</v>
      </c>
      <c r="Q16" s="68">
        <v>0</v>
      </c>
      <c r="R16" s="69">
        <v>0</v>
      </c>
      <c r="S16" s="67">
        <v>0</v>
      </c>
      <c r="T16" s="100">
        <v>3016.5</v>
      </c>
      <c r="U16" s="63">
        <v>3142</v>
      </c>
      <c r="V16" s="94">
        <v>3142.2</v>
      </c>
      <c r="W16" s="93">
        <v>3208.1</v>
      </c>
      <c r="X16" s="100">
        <v>3210.1</v>
      </c>
      <c r="Y16" s="100">
        <v>3360.9</v>
      </c>
      <c r="Z16" s="100">
        <v>3466.5</v>
      </c>
      <c r="AA16" s="100">
        <v>3843.6</v>
      </c>
      <c r="AB16" s="94">
        <v>4346.3</v>
      </c>
      <c r="AC16" s="65">
        <v>4368</v>
      </c>
      <c r="AD16" s="100">
        <v>4937.8</v>
      </c>
      <c r="AE16" s="100">
        <v>6354.3</v>
      </c>
      <c r="AF16" s="94">
        <v>6509.9</v>
      </c>
      <c r="AG16" s="93">
        <v>6906.3</v>
      </c>
      <c r="AH16" s="100">
        <v>6914.2</v>
      </c>
      <c r="AI16" s="100">
        <v>8278.6</v>
      </c>
      <c r="AJ16" s="100">
        <v>8329.7999999999993</v>
      </c>
      <c r="AK16" s="100">
        <v>8334.1</v>
      </c>
      <c r="AL16" s="94">
        <v>8478.7999999999993</v>
      </c>
    </row>
    <row r="17" spans="1:38" ht="18.75" customHeight="1">
      <c r="A17" s="19">
        <v>14</v>
      </c>
      <c r="B17" s="14" t="s">
        <v>383</v>
      </c>
      <c r="C17" s="60">
        <v>0</v>
      </c>
      <c r="D17" s="61">
        <v>0</v>
      </c>
      <c r="E17" s="61">
        <v>0</v>
      </c>
      <c r="F17" s="61">
        <v>0</v>
      </c>
      <c r="G17" s="61">
        <v>0</v>
      </c>
      <c r="H17" s="62">
        <v>0</v>
      </c>
      <c r="I17" s="60">
        <v>0</v>
      </c>
      <c r="J17" s="61">
        <v>0</v>
      </c>
      <c r="K17" s="61">
        <v>0</v>
      </c>
      <c r="L17" s="62">
        <v>0</v>
      </c>
      <c r="M17" s="60">
        <v>0</v>
      </c>
      <c r="N17" s="61">
        <v>0</v>
      </c>
      <c r="O17" s="61">
        <v>0</v>
      </c>
      <c r="P17" s="61">
        <v>0</v>
      </c>
      <c r="Q17" s="61">
        <v>0</v>
      </c>
      <c r="R17" s="62">
        <v>0</v>
      </c>
      <c r="S17" s="60">
        <v>0</v>
      </c>
      <c r="T17" s="19">
        <v>3765</v>
      </c>
      <c r="U17" s="19">
        <v>3837</v>
      </c>
      <c r="V17" s="17">
        <v>3816</v>
      </c>
      <c r="W17" s="95">
        <v>4279.5</v>
      </c>
      <c r="X17" s="101">
        <v>4360.3999999999996</v>
      </c>
      <c r="Y17" s="101">
        <v>4695.6000000000004</v>
      </c>
      <c r="Z17" s="101">
        <v>4731.8</v>
      </c>
      <c r="AA17" s="101">
        <v>4752.1000000000004</v>
      </c>
      <c r="AB17" s="96">
        <v>5362.6</v>
      </c>
      <c r="AC17" s="95">
        <v>6009.3</v>
      </c>
      <c r="AD17" s="101">
        <v>6010.5</v>
      </c>
      <c r="AE17" s="101">
        <v>6626.8</v>
      </c>
      <c r="AF17" s="96">
        <v>7239.7</v>
      </c>
      <c r="AG17" s="95">
        <v>8149.2</v>
      </c>
      <c r="AH17" s="101">
        <v>8151.2</v>
      </c>
      <c r="AI17" s="101">
        <v>8763.2999999999993</v>
      </c>
      <c r="AJ17" s="19">
        <v>10421</v>
      </c>
      <c r="AK17" s="101">
        <v>11213.5</v>
      </c>
      <c r="AL17" s="96">
        <v>11530.8</v>
      </c>
    </row>
    <row r="18" spans="1:38" ht="18.75" customHeight="1">
      <c r="A18" s="18">
        <v>15</v>
      </c>
      <c r="B18" s="12" t="s">
        <v>384</v>
      </c>
      <c r="C18" s="57">
        <v>0</v>
      </c>
      <c r="D18" s="58">
        <v>0</v>
      </c>
      <c r="E18" s="58">
        <v>0</v>
      </c>
      <c r="F18" s="58">
        <v>0</v>
      </c>
      <c r="G18" s="58">
        <v>0</v>
      </c>
      <c r="H18" s="59">
        <v>0</v>
      </c>
      <c r="I18" s="57">
        <v>0</v>
      </c>
      <c r="J18" s="58">
        <v>0</v>
      </c>
      <c r="K18" s="58">
        <v>0</v>
      </c>
      <c r="L18" s="59">
        <v>0</v>
      </c>
      <c r="M18" s="57">
        <v>0</v>
      </c>
      <c r="N18" s="58">
        <v>0</v>
      </c>
      <c r="O18" s="58">
        <v>0</v>
      </c>
      <c r="P18" s="58">
        <v>0</v>
      </c>
      <c r="Q18" s="58">
        <v>0</v>
      </c>
      <c r="R18" s="59">
        <v>0</v>
      </c>
      <c r="S18" s="57">
        <v>0</v>
      </c>
      <c r="T18" s="102">
        <v>3656.9</v>
      </c>
      <c r="U18" s="102">
        <v>3648.2</v>
      </c>
      <c r="V18" s="16">
        <v>3492</v>
      </c>
      <c r="W18" s="98">
        <v>3536.9</v>
      </c>
      <c r="X18" s="102">
        <v>3617.3</v>
      </c>
      <c r="Y18" s="102">
        <v>4132.8</v>
      </c>
      <c r="Z18" s="102">
        <v>4600.7</v>
      </c>
      <c r="AA18" s="102">
        <v>4700.2</v>
      </c>
      <c r="AB18" s="97">
        <v>5044.2</v>
      </c>
      <c r="AC18" s="98">
        <v>5478.1</v>
      </c>
      <c r="AD18" s="102">
        <v>5278.7</v>
      </c>
      <c r="AE18" s="102">
        <v>5621.4</v>
      </c>
      <c r="AF18" s="97">
        <v>5831.9</v>
      </c>
      <c r="AG18" s="98">
        <v>6262.3</v>
      </c>
      <c r="AH18" s="102">
        <v>6047.7</v>
      </c>
      <c r="AI18" s="102">
        <v>5952.8</v>
      </c>
      <c r="AJ18" s="102">
        <v>6154.8</v>
      </c>
      <c r="AK18" s="102">
        <v>6606.8</v>
      </c>
      <c r="AL18" s="97">
        <v>7027.2</v>
      </c>
    </row>
    <row r="19" spans="1:38" ht="18.75" customHeight="1">
      <c r="A19" s="19">
        <v>16</v>
      </c>
      <c r="B19" s="14" t="s">
        <v>385</v>
      </c>
      <c r="C19" s="60">
        <v>0</v>
      </c>
      <c r="D19" s="61">
        <v>0</v>
      </c>
      <c r="E19" s="61">
        <v>0</v>
      </c>
      <c r="F19" s="61">
        <v>0</v>
      </c>
      <c r="G19" s="61">
        <v>0</v>
      </c>
      <c r="H19" s="62">
        <v>0</v>
      </c>
      <c r="I19" s="60">
        <v>0</v>
      </c>
      <c r="J19" s="61">
        <v>0</v>
      </c>
      <c r="K19" s="61">
        <v>0</v>
      </c>
      <c r="L19" s="62">
        <v>0</v>
      </c>
      <c r="M19" s="60">
        <v>0</v>
      </c>
      <c r="N19" s="61">
        <v>0</v>
      </c>
      <c r="O19" s="61">
        <v>0</v>
      </c>
      <c r="P19" s="61">
        <v>0</v>
      </c>
      <c r="Q19" s="61">
        <v>0</v>
      </c>
      <c r="R19" s="62">
        <v>0</v>
      </c>
      <c r="S19" s="60">
        <v>0</v>
      </c>
      <c r="T19" s="101">
        <v>3767.7</v>
      </c>
      <c r="U19" s="101">
        <v>3958.1</v>
      </c>
      <c r="V19" s="96">
        <v>4155.1000000000004</v>
      </c>
      <c r="W19" s="95">
        <v>3989.3</v>
      </c>
      <c r="X19" s="101">
        <v>3998.7</v>
      </c>
      <c r="Y19" s="101">
        <v>4926.1000000000004</v>
      </c>
      <c r="Z19" s="101">
        <v>5489.3</v>
      </c>
      <c r="AA19" s="101">
        <v>5987.9</v>
      </c>
      <c r="AB19" s="96">
        <v>6652.7</v>
      </c>
      <c r="AC19" s="15">
        <v>6974</v>
      </c>
      <c r="AD19" s="101">
        <v>7021.1</v>
      </c>
      <c r="AE19" s="19">
        <v>7921</v>
      </c>
      <c r="AF19" s="96">
        <v>8633.5</v>
      </c>
      <c r="AG19" s="95">
        <v>9585.5</v>
      </c>
      <c r="AH19" s="19">
        <v>9131</v>
      </c>
      <c r="AI19" s="101">
        <v>9265.4</v>
      </c>
      <c r="AJ19" s="101">
        <v>9421.5</v>
      </c>
      <c r="AK19" s="101">
        <v>9614.1</v>
      </c>
      <c r="AL19" s="96">
        <v>9720.4</v>
      </c>
    </row>
    <row r="20" spans="1:38" ht="18.75" customHeight="1">
      <c r="A20" s="18">
        <v>17</v>
      </c>
      <c r="B20" s="12" t="s">
        <v>386</v>
      </c>
      <c r="C20" s="57">
        <v>0</v>
      </c>
      <c r="D20" s="58">
        <v>0</v>
      </c>
      <c r="E20" s="58">
        <v>0</v>
      </c>
      <c r="F20" s="58">
        <v>0</v>
      </c>
      <c r="G20" s="58">
        <v>0</v>
      </c>
      <c r="H20" s="59">
        <v>0</v>
      </c>
      <c r="I20" s="57">
        <v>0</v>
      </c>
      <c r="J20" s="58">
        <v>0</v>
      </c>
      <c r="K20" s="58">
        <v>0</v>
      </c>
      <c r="L20" s="59">
        <v>0</v>
      </c>
      <c r="M20" s="57">
        <v>0</v>
      </c>
      <c r="N20" s="58">
        <v>0</v>
      </c>
      <c r="O20" s="58">
        <v>0</v>
      </c>
      <c r="P20" s="58">
        <v>0</v>
      </c>
      <c r="Q20" s="58">
        <v>0</v>
      </c>
      <c r="R20" s="59">
        <v>0</v>
      </c>
      <c r="S20" s="57">
        <v>0</v>
      </c>
      <c r="T20" s="102">
        <v>3650.5</v>
      </c>
      <c r="U20" s="102">
        <v>4177.8999999999996</v>
      </c>
      <c r="V20" s="97">
        <v>4137.3</v>
      </c>
      <c r="W20" s="98">
        <v>4209.5</v>
      </c>
      <c r="X20" s="102">
        <v>4232.1000000000004</v>
      </c>
      <c r="Y20" s="102">
        <v>5337.1</v>
      </c>
      <c r="Z20" s="102">
        <v>5461.2</v>
      </c>
      <c r="AA20" s="102">
        <v>5461.2</v>
      </c>
      <c r="AB20" s="97">
        <v>5626.7</v>
      </c>
      <c r="AC20" s="98">
        <v>6161.2</v>
      </c>
      <c r="AD20" s="102">
        <v>6456.3</v>
      </c>
      <c r="AE20" s="102">
        <v>6574.7</v>
      </c>
      <c r="AF20" s="97">
        <v>6606.2</v>
      </c>
      <c r="AG20" s="98">
        <v>7437.1</v>
      </c>
      <c r="AH20" s="102">
        <v>7509.2</v>
      </c>
      <c r="AI20" s="102">
        <v>7596.4</v>
      </c>
      <c r="AJ20" s="102">
        <v>7665.8</v>
      </c>
      <c r="AK20" s="102">
        <v>7682.9</v>
      </c>
      <c r="AL20" s="97">
        <v>7699.9</v>
      </c>
    </row>
    <row r="21" spans="1:38" ht="18.75" customHeight="1">
      <c r="A21" s="19">
        <v>18</v>
      </c>
      <c r="B21" s="14" t="s">
        <v>387</v>
      </c>
      <c r="C21" s="60">
        <v>0</v>
      </c>
      <c r="D21" s="61">
        <v>0</v>
      </c>
      <c r="E21" s="61">
        <v>0</v>
      </c>
      <c r="F21" s="61">
        <v>0</v>
      </c>
      <c r="G21" s="61">
        <v>0</v>
      </c>
      <c r="H21" s="62">
        <v>0</v>
      </c>
      <c r="I21" s="60">
        <v>0</v>
      </c>
      <c r="J21" s="61">
        <v>0</v>
      </c>
      <c r="K21" s="61">
        <v>0</v>
      </c>
      <c r="L21" s="62">
        <v>0</v>
      </c>
      <c r="M21" s="60">
        <v>0</v>
      </c>
      <c r="N21" s="61">
        <v>0</v>
      </c>
      <c r="O21" s="61">
        <v>0</v>
      </c>
      <c r="P21" s="61">
        <v>0</v>
      </c>
      <c r="Q21" s="61">
        <v>0</v>
      </c>
      <c r="R21" s="62">
        <v>0</v>
      </c>
      <c r="S21" s="60">
        <v>0</v>
      </c>
      <c r="T21" s="101">
        <v>3650.8</v>
      </c>
      <c r="U21" s="101">
        <v>3501.3</v>
      </c>
      <c r="V21" s="96">
        <v>3981.1</v>
      </c>
      <c r="W21" s="95">
        <v>4377.8999999999996</v>
      </c>
      <c r="X21" s="101">
        <v>4402.3</v>
      </c>
      <c r="Y21" s="101">
        <v>4920.7</v>
      </c>
      <c r="Z21" s="101">
        <v>4741.5</v>
      </c>
      <c r="AA21" s="19">
        <v>5271</v>
      </c>
      <c r="AB21" s="96">
        <v>5796.5</v>
      </c>
      <c r="AC21" s="95">
        <v>5971.3</v>
      </c>
      <c r="AD21" s="101">
        <v>5807.8</v>
      </c>
      <c r="AE21" s="19">
        <v>6335</v>
      </c>
      <c r="AF21" s="96">
        <v>6462.7</v>
      </c>
      <c r="AG21" s="95">
        <v>6760.9</v>
      </c>
      <c r="AH21" s="101">
        <v>6862.3</v>
      </c>
      <c r="AI21" s="101">
        <v>7716.5</v>
      </c>
      <c r="AJ21" s="101">
        <v>8369.2000000000007</v>
      </c>
      <c r="AK21" s="101">
        <v>8957.2999999999993</v>
      </c>
      <c r="AL21" s="96">
        <v>8983.2000000000007</v>
      </c>
    </row>
    <row r="22" spans="1:38" ht="18.75" customHeight="1">
      <c r="A22" s="18">
        <v>19</v>
      </c>
      <c r="B22" s="12" t="s">
        <v>388</v>
      </c>
      <c r="C22" s="57">
        <v>0</v>
      </c>
      <c r="D22" s="58">
        <v>0</v>
      </c>
      <c r="E22" s="58">
        <v>0</v>
      </c>
      <c r="F22" s="58">
        <v>0</v>
      </c>
      <c r="G22" s="58">
        <v>0</v>
      </c>
      <c r="H22" s="59">
        <v>0</v>
      </c>
      <c r="I22" s="57">
        <v>0</v>
      </c>
      <c r="J22" s="58">
        <v>0</v>
      </c>
      <c r="K22" s="58">
        <v>0</v>
      </c>
      <c r="L22" s="59">
        <v>0</v>
      </c>
      <c r="M22" s="57">
        <v>0</v>
      </c>
      <c r="N22" s="58">
        <v>0</v>
      </c>
      <c r="O22" s="58">
        <v>0</v>
      </c>
      <c r="P22" s="58">
        <v>0</v>
      </c>
      <c r="Q22" s="58">
        <v>0</v>
      </c>
      <c r="R22" s="59">
        <v>0</v>
      </c>
      <c r="S22" s="57">
        <v>0</v>
      </c>
      <c r="T22" s="102">
        <v>3650.1</v>
      </c>
      <c r="U22" s="102">
        <v>3699.5</v>
      </c>
      <c r="V22" s="97">
        <v>3732.4</v>
      </c>
      <c r="W22" s="98">
        <v>3867.9</v>
      </c>
      <c r="X22" s="102">
        <v>4255.6000000000004</v>
      </c>
      <c r="Y22" s="102">
        <v>4852.1000000000004</v>
      </c>
      <c r="Z22" s="102">
        <v>5221.6000000000004</v>
      </c>
      <c r="AA22" s="102">
        <v>6162.2</v>
      </c>
      <c r="AB22" s="16">
        <v>6569</v>
      </c>
      <c r="AC22" s="98">
        <v>6603.3</v>
      </c>
      <c r="AD22" s="102">
        <v>6686.7</v>
      </c>
      <c r="AE22" s="102">
        <v>6725.7</v>
      </c>
      <c r="AF22" s="97">
        <v>6899.6</v>
      </c>
      <c r="AG22" s="98">
        <v>8307.1</v>
      </c>
      <c r="AH22" s="102">
        <v>9321.7000000000007</v>
      </c>
      <c r="AI22" s="102">
        <v>8060.1</v>
      </c>
      <c r="AJ22" s="18">
        <v>8147</v>
      </c>
      <c r="AK22" s="102">
        <v>8167.4</v>
      </c>
      <c r="AL22" s="97">
        <v>8188.7</v>
      </c>
    </row>
    <row r="23" spans="1:38" ht="18.75" customHeight="1">
      <c r="A23" s="19">
        <v>20</v>
      </c>
      <c r="B23" s="14" t="s">
        <v>389</v>
      </c>
      <c r="C23" s="60">
        <v>0</v>
      </c>
      <c r="D23" s="61">
        <v>0</v>
      </c>
      <c r="E23" s="61">
        <v>0</v>
      </c>
      <c r="F23" s="61">
        <v>0</v>
      </c>
      <c r="G23" s="61">
        <v>0</v>
      </c>
      <c r="H23" s="62">
        <v>0</v>
      </c>
      <c r="I23" s="60">
        <v>0</v>
      </c>
      <c r="J23" s="61">
        <v>0</v>
      </c>
      <c r="K23" s="61">
        <v>0</v>
      </c>
      <c r="L23" s="62">
        <v>0</v>
      </c>
      <c r="M23" s="60">
        <v>0</v>
      </c>
      <c r="N23" s="61">
        <v>0</v>
      </c>
      <c r="O23" s="61">
        <v>0</v>
      </c>
      <c r="P23" s="61">
        <v>0</v>
      </c>
      <c r="Q23" s="61">
        <v>0</v>
      </c>
      <c r="R23" s="62">
        <v>0</v>
      </c>
      <c r="S23" s="60">
        <v>0</v>
      </c>
      <c r="T23" s="101">
        <v>3668.2</v>
      </c>
      <c r="U23" s="19">
        <v>3902</v>
      </c>
      <c r="V23" s="96">
        <v>4028.5</v>
      </c>
      <c r="W23" s="95">
        <v>4125.1000000000004</v>
      </c>
      <c r="X23" s="101">
        <v>3988.1</v>
      </c>
      <c r="Y23" s="101">
        <v>4004.3</v>
      </c>
      <c r="Z23" s="19">
        <v>4375</v>
      </c>
      <c r="AA23" s="101">
        <v>4286.3</v>
      </c>
      <c r="AB23" s="96">
        <v>4209.8</v>
      </c>
      <c r="AC23" s="95">
        <v>4657.7</v>
      </c>
      <c r="AD23" s="101">
        <v>4702.8</v>
      </c>
      <c r="AE23" s="101">
        <v>4803.8</v>
      </c>
      <c r="AF23" s="96">
        <v>4861.2</v>
      </c>
      <c r="AG23" s="15">
        <v>5605</v>
      </c>
      <c r="AH23" s="101">
        <v>5794.6</v>
      </c>
      <c r="AI23" s="101">
        <v>5958.2</v>
      </c>
      <c r="AJ23" s="101">
        <v>6407.2</v>
      </c>
      <c r="AK23" s="101">
        <v>6525.9</v>
      </c>
      <c r="AL23" s="17">
        <v>6840</v>
      </c>
    </row>
    <row r="24" spans="1:38" ht="18.75" customHeight="1">
      <c r="A24" s="18">
        <v>21</v>
      </c>
      <c r="B24" s="12" t="s">
        <v>390</v>
      </c>
      <c r="C24" s="57">
        <v>0</v>
      </c>
      <c r="D24" s="58">
        <v>0</v>
      </c>
      <c r="E24" s="58">
        <v>0</v>
      </c>
      <c r="F24" s="58">
        <v>0</v>
      </c>
      <c r="G24" s="58">
        <v>0</v>
      </c>
      <c r="H24" s="59">
        <v>0</v>
      </c>
      <c r="I24" s="57">
        <v>0</v>
      </c>
      <c r="J24" s="58">
        <v>0</v>
      </c>
      <c r="K24" s="58">
        <v>0</v>
      </c>
      <c r="L24" s="59">
        <v>0</v>
      </c>
      <c r="M24" s="57">
        <v>0</v>
      </c>
      <c r="N24" s="58">
        <v>0</v>
      </c>
      <c r="O24" s="58">
        <v>0</v>
      </c>
      <c r="P24" s="58">
        <v>0</v>
      </c>
      <c r="Q24" s="58">
        <v>0</v>
      </c>
      <c r="R24" s="59">
        <v>0</v>
      </c>
      <c r="S24" s="57">
        <v>0</v>
      </c>
      <c r="T24" s="102">
        <v>3588.1</v>
      </c>
      <c r="U24" s="102">
        <v>3683.7</v>
      </c>
      <c r="V24" s="97">
        <v>3801.1</v>
      </c>
      <c r="W24" s="98">
        <v>3987.3</v>
      </c>
      <c r="X24" s="18">
        <v>3998</v>
      </c>
      <c r="Y24" s="102">
        <v>4995.2</v>
      </c>
      <c r="Z24" s="102">
        <v>4995.2</v>
      </c>
      <c r="AA24" s="102">
        <v>5396.1</v>
      </c>
      <c r="AB24" s="97">
        <v>6004.2</v>
      </c>
      <c r="AC24" s="98">
        <v>5718.2</v>
      </c>
      <c r="AD24" s="102">
        <v>5732.7</v>
      </c>
      <c r="AE24" s="102">
        <v>8433.4</v>
      </c>
      <c r="AF24" s="97">
        <v>9027.2000000000007</v>
      </c>
      <c r="AG24" s="98">
        <v>11162.2</v>
      </c>
      <c r="AH24" s="102">
        <v>11186.1</v>
      </c>
      <c r="AI24" s="102">
        <v>11318.8</v>
      </c>
      <c r="AJ24" s="102">
        <v>12301.6</v>
      </c>
      <c r="AK24" s="102">
        <v>12313.1</v>
      </c>
      <c r="AL24" s="97">
        <v>12323.5</v>
      </c>
    </row>
    <row r="25" spans="1:38" ht="18.75" customHeight="1">
      <c r="A25" s="19">
        <v>22</v>
      </c>
      <c r="B25" s="14" t="s">
        <v>391</v>
      </c>
      <c r="C25" s="60">
        <v>0</v>
      </c>
      <c r="D25" s="61">
        <v>0</v>
      </c>
      <c r="E25" s="61">
        <v>0</v>
      </c>
      <c r="F25" s="61">
        <v>0</v>
      </c>
      <c r="G25" s="61">
        <v>0</v>
      </c>
      <c r="H25" s="62">
        <v>0</v>
      </c>
      <c r="I25" s="60">
        <v>0</v>
      </c>
      <c r="J25" s="61">
        <v>0</v>
      </c>
      <c r="K25" s="61">
        <v>0</v>
      </c>
      <c r="L25" s="62">
        <v>0</v>
      </c>
      <c r="M25" s="60">
        <v>0</v>
      </c>
      <c r="N25" s="61">
        <v>0</v>
      </c>
      <c r="O25" s="61">
        <v>0</v>
      </c>
      <c r="P25" s="61">
        <v>0</v>
      </c>
      <c r="Q25" s="61">
        <v>0</v>
      </c>
      <c r="R25" s="62">
        <v>0</v>
      </c>
      <c r="S25" s="60">
        <v>0</v>
      </c>
      <c r="T25" s="101">
        <v>3405.2</v>
      </c>
      <c r="U25" s="101">
        <v>4916.7</v>
      </c>
      <c r="V25" s="96">
        <v>3641.8</v>
      </c>
      <c r="W25" s="95">
        <v>4130.7</v>
      </c>
      <c r="X25" s="101">
        <v>4156.8999999999996</v>
      </c>
      <c r="Y25" s="101">
        <v>4388.8999999999996</v>
      </c>
      <c r="Z25" s="101">
        <v>4389.5</v>
      </c>
      <c r="AA25" s="101">
        <v>4826.5</v>
      </c>
      <c r="AB25" s="96">
        <v>5409.2</v>
      </c>
      <c r="AC25" s="95">
        <v>6180.8</v>
      </c>
      <c r="AD25" s="101">
        <v>6320.6</v>
      </c>
      <c r="AE25" s="101">
        <v>6616.2</v>
      </c>
      <c r="AF25" s="96">
        <v>6533.2</v>
      </c>
      <c r="AG25" s="95">
        <v>7537.6</v>
      </c>
      <c r="AH25" s="101">
        <v>7799.9</v>
      </c>
      <c r="AI25" s="101">
        <v>7855.1</v>
      </c>
      <c r="AJ25" s="101">
        <v>8565.2000000000007</v>
      </c>
      <c r="AK25" s="101">
        <v>8813.2999999999993</v>
      </c>
      <c r="AL25" s="96">
        <v>9303.2999999999993</v>
      </c>
    </row>
    <row r="26" spans="1:38" ht="18.75" customHeight="1">
      <c r="A26" s="18">
        <v>23</v>
      </c>
      <c r="B26" s="12" t="s">
        <v>392</v>
      </c>
      <c r="C26" s="57">
        <v>0</v>
      </c>
      <c r="D26" s="58">
        <v>0</v>
      </c>
      <c r="E26" s="58">
        <v>0</v>
      </c>
      <c r="F26" s="58">
        <v>0</v>
      </c>
      <c r="G26" s="58">
        <v>0</v>
      </c>
      <c r="H26" s="59">
        <v>0</v>
      </c>
      <c r="I26" s="57">
        <v>0</v>
      </c>
      <c r="J26" s="58">
        <v>0</v>
      </c>
      <c r="K26" s="58">
        <v>0</v>
      </c>
      <c r="L26" s="59">
        <v>0</v>
      </c>
      <c r="M26" s="57">
        <v>0</v>
      </c>
      <c r="N26" s="58">
        <v>0</v>
      </c>
      <c r="O26" s="58">
        <v>0</v>
      </c>
      <c r="P26" s="58">
        <v>0</v>
      </c>
      <c r="Q26" s="58">
        <v>0</v>
      </c>
      <c r="R26" s="59">
        <v>0</v>
      </c>
      <c r="S26" s="57">
        <v>0</v>
      </c>
      <c r="T26" s="102">
        <v>3683.6</v>
      </c>
      <c r="U26" s="102">
        <v>3842.4</v>
      </c>
      <c r="V26" s="97">
        <v>4387.8999999999996</v>
      </c>
      <c r="W26" s="13">
        <v>4197</v>
      </c>
      <c r="X26" s="102">
        <v>4229.5</v>
      </c>
      <c r="Y26" s="102">
        <v>5221.6000000000004</v>
      </c>
      <c r="Z26" s="18">
        <v>5792</v>
      </c>
      <c r="AA26" s="102">
        <v>5923.7</v>
      </c>
      <c r="AB26" s="97">
        <v>6366.8</v>
      </c>
      <c r="AC26" s="98">
        <v>6668.3</v>
      </c>
      <c r="AD26" s="18">
        <v>6652</v>
      </c>
      <c r="AE26" s="102">
        <v>6933.8</v>
      </c>
      <c r="AF26" s="97">
        <v>7595.9</v>
      </c>
      <c r="AG26" s="98">
        <v>9077.1</v>
      </c>
      <c r="AH26" s="102">
        <v>9418.7999999999993</v>
      </c>
      <c r="AI26" s="102">
        <v>10728.6</v>
      </c>
      <c r="AJ26" s="18">
        <v>10769</v>
      </c>
      <c r="AK26" s="102">
        <v>11277.6</v>
      </c>
      <c r="AL26" s="97">
        <v>11544.1</v>
      </c>
    </row>
    <row r="27" spans="1:38" ht="18.75" customHeight="1">
      <c r="A27" s="19">
        <v>24</v>
      </c>
      <c r="B27" s="14" t="s">
        <v>220</v>
      </c>
      <c r="C27" s="60">
        <v>0</v>
      </c>
      <c r="D27" s="61">
        <v>0</v>
      </c>
      <c r="E27" s="61">
        <v>0</v>
      </c>
      <c r="F27" s="61">
        <v>0</v>
      </c>
      <c r="G27" s="61">
        <v>0</v>
      </c>
      <c r="H27" s="62">
        <v>0</v>
      </c>
      <c r="I27" s="60">
        <v>0</v>
      </c>
      <c r="J27" s="61">
        <v>0</v>
      </c>
      <c r="K27" s="61">
        <v>0</v>
      </c>
      <c r="L27" s="62">
        <v>0</v>
      </c>
      <c r="M27" s="60">
        <v>0</v>
      </c>
      <c r="N27" s="61">
        <v>0</v>
      </c>
      <c r="O27" s="61">
        <v>0</v>
      </c>
      <c r="P27" s="61">
        <v>0</v>
      </c>
      <c r="Q27" s="61">
        <v>0</v>
      </c>
      <c r="R27" s="62">
        <v>0</v>
      </c>
      <c r="S27" s="60">
        <v>0</v>
      </c>
      <c r="T27" s="101">
        <v>3161.7</v>
      </c>
      <c r="U27" s="101">
        <v>3255.6</v>
      </c>
      <c r="V27" s="96">
        <v>3321.3</v>
      </c>
      <c r="W27" s="95">
        <v>2898.5</v>
      </c>
      <c r="X27" s="101">
        <v>2900.5</v>
      </c>
      <c r="Y27" s="101">
        <v>3977.5</v>
      </c>
      <c r="Z27" s="101">
        <v>4500.7</v>
      </c>
      <c r="AA27" s="101">
        <v>4899.3</v>
      </c>
      <c r="AB27" s="96">
        <v>5430.7</v>
      </c>
      <c r="AC27" s="95">
        <v>6378.8</v>
      </c>
      <c r="AD27" s="101">
        <v>6803.8</v>
      </c>
      <c r="AE27" s="101">
        <v>7338.9</v>
      </c>
      <c r="AF27" s="96">
        <v>7350.1</v>
      </c>
      <c r="AG27" s="95">
        <v>8783.2000000000007</v>
      </c>
      <c r="AH27" s="101">
        <v>9186.5</v>
      </c>
      <c r="AI27" s="101">
        <v>9694.2999999999993</v>
      </c>
      <c r="AJ27" s="101">
        <v>10002.200000000001</v>
      </c>
      <c r="AK27" s="101">
        <v>10284.4</v>
      </c>
      <c r="AL27" s="96">
        <v>10668.2</v>
      </c>
    </row>
    <row r="28" spans="1:38" ht="18.75" customHeight="1">
      <c r="A28" s="18">
        <v>25</v>
      </c>
      <c r="B28" s="12" t="s">
        <v>393</v>
      </c>
      <c r="C28" s="57">
        <v>0</v>
      </c>
      <c r="D28" s="58">
        <v>0</v>
      </c>
      <c r="E28" s="58">
        <v>0</v>
      </c>
      <c r="F28" s="58">
        <v>0</v>
      </c>
      <c r="G28" s="58">
        <v>0</v>
      </c>
      <c r="H28" s="59">
        <v>0</v>
      </c>
      <c r="I28" s="57">
        <v>0</v>
      </c>
      <c r="J28" s="58">
        <v>0</v>
      </c>
      <c r="K28" s="58">
        <v>0</v>
      </c>
      <c r="L28" s="59">
        <v>0</v>
      </c>
      <c r="M28" s="57">
        <v>0</v>
      </c>
      <c r="N28" s="58">
        <v>0</v>
      </c>
      <c r="O28" s="58">
        <v>0</v>
      </c>
      <c r="P28" s="58">
        <v>0</v>
      </c>
      <c r="Q28" s="58">
        <v>0</v>
      </c>
      <c r="R28" s="59">
        <v>0</v>
      </c>
      <c r="S28" s="57">
        <v>0</v>
      </c>
      <c r="T28" s="102">
        <v>3155.1</v>
      </c>
      <c r="U28" s="102">
        <v>3245.4</v>
      </c>
      <c r="V28" s="97">
        <v>3304.8</v>
      </c>
      <c r="W28" s="98">
        <v>3415.7</v>
      </c>
      <c r="X28" s="102">
        <v>3419.5</v>
      </c>
      <c r="Y28" s="102">
        <v>3692.7</v>
      </c>
      <c r="Z28" s="102">
        <v>3869.2</v>
      </c>
      <c r="AA28" s="102">
        <v>4265.8</v>
      </c>
      <c r="AB28" s="97">
        <v>4794.6000000000004</v>
      </c>
      <c r="AC28" s="98">
        <v>5151.8</v>
      </c>
      <c r="AD28" s="102">
        <v>4969.1000000000004</v>
      </c>
      <c r="AE28" s="102">
        <v>6090.8</v>
      </c>
      <c r="AF28" s="97">
        <v>6091.9</v>
      </c>
      <c r="AG28" s="13">
        <v>6707</v>
      </c>
      <c r="AH28" s="18">
        <v>6528</v>
      </c>
      <c r="AI28" s="18">
        <v>7375</v>
      </c>
      <c r="AJ28" s="102">
        <v>8767.7999999999993</v>
      </c>
      <c r="AK28" s="102">
        <v>9433.7000000000007</v>
      </c>
      <c r="AL28" s="97">
        <v>9700.4</v>
      </c>
    </row>
    <row r="29" spans="1:38" ht="18.75" customHeight="1">
      <c r="A29" s="19">
        <v>26</v>
      </c>
      <c r="B29" s="14" t="s">
        <v>394</v>
      </c>
      <c r="C29" s="60">
        <v>0</v>
      </c>
      <c r="D29" s="61">
        <v>0</v>
      </c>
      <c r="E29" s="61">
        <v>0</v>
      </c>
      <c r="F29" s="61">
        <v>0</v>
      </c>
      <c r="G29" s="61">
        <v>0</v>
      </c>
      <c r="H29" s="62">
        <v>0</v>
      </c>
      <c r="I29" s="60">
        <v>0</v>
      </c>
      <c r="J29" s="61">
        <v>0</v>
      </c>
      <c r="K29" s="61">
        <v>0</v>
      </c>
      <c r="L29" s="62">
        <v>0</v>
      </c>
      <c r="M29" s="60">
        <v>0</v>
      </c>
      <c r="N29" s="61">
        <v>0</v>
      </c>
      <c r="O29" s="61">
        <v>0</v>
      </c>
      <c r="P29" s="61">
        <v>0</v>
      </c>
      <c r="Q29" s="61">
        <v>0</v>
      </c>
      <c r="R29" s="62">
        <v>0</v>
      </c>
      <c r="S29" s="60">
        <v>0</v>
      </c>
      <c r="T29" s="61">
        <v>0</v>
      </c>
      <c r="U29" s="61">
        <v>0</v>
      </c>
      <c r="V29" s="96">
        <v>3810.6</v>
      </c>
      <c r="W29" s="95">
        <v>3233.3</v>
      </c>
      <c r="X29" s="101">
        <v>3237.6</v>
      </c>
      <c r="Y29" s="101">
        <v>4757.5</v>
      </c>
      <c r="Z29" s="101">
        <v>5403.4</v>
      </c>
      <c r="AA29" s="101">
        <v>5860.7</v>
      </c>
      <c r="AB29" s="96">
        <v>6470.5</v>
      </c>
      <c r="AC29" s="95">
        <v>6710.5</v>
      </c>
      <c r="AD29" s="101">
        <v>6295.5</v>
      </c>
      <c r="AE29" s="101">
        <v>6806.9</v>
      </c>
      <c r="AF29" s="96">
        <v>7065.7</v>
      </c>
      <c r="AG29" s="95">
        <v>7780.8</v>
      </c>
      <c r="AH29" s="101">
        <v>7574.8</v>
      </c>
      <c r="AI29" s="101">
        <v>8554.4</v>
      </c>
      <c r="AJ29" s="101">
        <v>10168.1</v>
      </c>
      <c r="AK29" s="101">
        <v>10938.5</v>
      </c>
      <c r="AL29" s="96">
        <v>11247.5</v>
      </c>
    </row>
    <row r="30" spans="1:38" ht="18.75" customHeight="1">
      <c r="A30" s="18">
        <v>27</v>
      </c>
      <c r="B30" s="12" t="s">
        <v>395</v>
      </c>
      <c r="C30" s="57">
        <v>0</v>
      </c>
      <c r="D30" s="58">
        <v>0</v>
      </c>
      <c r="E30" s="58">
        <v>0</v>
      </c>
      <c r="F30" s="58">
        <v>0</v>
      </c>
      <c r="G30" s="58">
        <v>0</v>
      </c>
      <c r="H30" s="59">
        <v>0</v>
      </c>
      <c r="I30" s="57">
        <v>0</v>
      </c>
      <c r="J30" s="58">
        <v>0</v>
      </c>
      <c r="K30" s="58">
        <v>0</v>
      </c>
      <c r="L30" s="59">
        <v>0</v>
      </c>
      <c r="M30" s="57">
        <v>0</v>
      </c>
      <c r="N30" s="58">
        <v>0</v>
      </c>
      <c r="O30" s="58">
        <v>0</v>
      </c>
      <c r="P30" s="58">
        <v>0</v>
      </c>
      <c r="Q30" s="58">
        <v>0</v>
      </c>
      <c r="R30" s="59">
        <v>0</v>
      </c>
      <c r="S30" s="57">
        <v>0</v>
      </c>
      <c r="T30" s="58">
        <v>0</v>
      </c>
      <c r="U30" s="58">
        <v>0</v>
      </c>
      <c r="V30" s="97">
        <v>3810.6</v>
      </c>
      <c r="W30" s="98">
        <v>3221.7</v>
      </c>
      <c r="X30" s="102">
        <v>3225.7</v>
      </c>
      <c r="Y30" s="102">
        <v>4687.6000000000004</v>
      </c>
      <c r="Z30" s="102">
        <v>5278.8</v>
      </c>
      <c r="AA30" s="102">
        <v>5736.1</v>
      </c>
      <c r="AB30" s="97">
        <v>6345.8</v>
      </c>
      <c r="AC30" s="98">
        <v>6713.6</v>
      </c>
      <c r="AD30" s="102">
        <v>6493.2</v>
      </c>
      <c r="AE30" s="102">
        <v>8030.3</v>
      </c>
      <c r="AF30" s="97">
        <v>8248.2999999999993</v>
      </c>
      <c r="AG30" s="98">
        <v>9285.1</v>
      </c>
      <c r="AH30" s="102">
        <v>9137.4</v>
      </c>
      <c r="AI30" s="102">
        <v>9980.4</v>
      </c>
      <c r="AJ30" s="102">
        <v>11258.4</v>
      </c>
      <c r="AK30" s="102">
        <v>12020.3</v>
      </c>
      <c r="AL30" s="97">
        <v>12300.2</v>
      </c>
    </row>
    <row r="31" spans="1:38" ht="18.75" customHeight="1">
      <c r="A31" s="19">
        <v>28</v>
      </c>
      <c r="B31" s="14" t="s">
        <v>213</v>
      </c>
      <c r="C31" s="60">
        <v>0</v>
      </c>
      <c r="D31" s="61">
        <v>0</v>
      </c>
      <c r="E31" s="61">
        <v>0</v>
      </c>
      <c r="F31" s="61">
        <v>0</v>
      </c>
      <c r="G31" s="61">
        <v>0</v>
      </c>
      <c r="H31" s="62">
        <v>0</v>
      </c>
      <c r="I31" s="60">
        <v>0</v>
      </c>
      <c r="J31" s="61">
        <v>0</v>
      </c>
      <c r="K31" s="61">
        <v>0</v>
      </c>
      <c r="L31" s="62">
        <v>0</v>
      </c>
      <c r="M31" s="60">
        <v>0</v>
      </c>
      <c r="N31" s="61">
        <v>0</v>
      </c>
      <c r="O31" s="61">
        <v>0</v>
      </c>
      <c r="P31" s="61">
        <v>0</v>
      </c>
      <c r="Q31" s="61">
        <v>0</v>
      </c>
      <c r="R31" s="62">
        <v>0</v>
      </c>
      <c r="S31" s="60">
        <v>0</v>
      </c>
      <c r="T31" s="61">
        <v>0</v>
      </c>
      <c r="U31" s="61">
        <v>0</v>
      </c>
      <c r="V31" s="96">
        <v>3810.6</v>
      </c>
      <c r="W31" s="95">
        <v>3326.7</v>
      </c>
      <c r="X31" s="101">
        <v>3332.7</v>
      </c>
      <c r="Y31" s="101">
        <v>4709.8999999999996</v>
      </c>
      <c r="Z31" s="101">
        <v>4538.3999999999996</v>
      </c>
      <c r="AA31" s="101">
        <v>5045.2</v>
      </c>
      <c r="AB31" s="96">
        <v>5548.2</v>
      </c>
      <c r="AC31" s="95">
        <v>6317.8</v>
      </c>
      <c r="AD31" s="101">
        <v>6246.2</v>
      </c>
      <c r="AE31" s="101">
        <v>6953.1</v>
      </c>
      <c r="AF31" s="96">
        <v>7042.6</v>
      </c>
      <c r="AG31" s="95">
        <v>8407.7000000000007</v>
      </c>
      <c r="AH31" s="101">
        <v>8597.6</v>
      </c>
      <c r="AI31" s="101">
        <v>8859.7999999999993</v>
      </c>
      <c r="AJ31" s="101">
        <v>9781.9</v>
      </c>
      <c r="AK31" s="101">
        <v>10188.700000000001</v>
      </c>
      <c r="AL31" s="96">
        <v>10369.5</v>
      </c>
    </row>
    <row r="32" spans="1:38" ht="18.75" customHeight="1">
      <c r="A32" s="58" t="s">
        <v>22</v>
      </c>
      <c r="B32" s="58" t="s">
        <v>22</v>
      </c>
      <c r="C32" s="57">
        <v>0</v>
      </c>
      <c r="D32" s="58">
        <v>0</v>
      </c>
      <c r="E32" s="58">
        <v>0</v>
      </c>
      <c r="F32" s="58">
        <v>0</v>
      </c>
      <c r="G32" s="58">
        <v>0</v>
      </c>
      <c r="H32" s="59">
        <v>0</v>
      </c>
      <c r="I32" s="57">
        <v>0</v>
      </c>
      <c r="J32" s="58">
        <v>0</v>
      </c>
      <c r="K32" s="58">
        <v>0</v>
      </c>
      <c r="L32" s="59">
        <v>0</v>
      </c>
      <c r="M32" s="57">
        <v>0</v>
      </c>
      <c r="N32" s="58">
        <v>0</v>
      </c>
      <c r="O32" s="58">
        <v>0</v>
      </c>
      <c r="P32" s="58">
        <v>0</v>
      </c>
      <c r="Q32" s="58">
        <v>0</v>
      </c>
      <c r="R32" s="59">
        <v>0</v>
      </c>
      <c r="S32" s="57">
        <v>0</v>
      </c>
      <c r="T32" s="58">
        <v>0</v>
      </c>
      <c r="U32" s="58">
        <v>0</v>
      </c>
      <c r="V32" s="59">
        <v>0</v>
      </c>
      <c r="W32" s="57">
        <v>0</v>
      </c>
      <c r="X32" s="58">
        <v>0</v>
      </c>
      <c r="Y32" s="58">
        <v>0</v>
      </c>
      <c r="Z32" s="58">
        <v>0</v>
      </c>
      <c r="AA32" s="58">
        <v>0</v>
      </c>
      <c r="AB32" s="59">
        <v>0</v>
      </c>
      <c r="AC32" s="57">
        <v>0</v>
      </c>
      <c r="AD32" s="58">
        <v>0</v>
      </c>
      <c r="AE32" s="58">
        <v>0</v>
      </c>
      <c r="AF32" s="59">
        <v>0</v>
      </c>
      <c r="AG32" s="57">
        <v>0</v>
      </c>
      <c r="AH32" s="58">
        <v>0</v>
      </c>
      <c r="AI32" s="58">
        <v>0</v>
      </c>
      <c r="AJ32" s="58">
        <v>0</v>
      </c>
      <c r="AK32" s="58">
        <v>0</v>
      </c>
      <c r="AL32" s="59">
        <v>0</v>
      </c>
    </row>
    <row r="33" spans="1:38" ht="18.75" customHeight="1">
      <c r="A33" s="61" t="s">
        <v>22</v>
      </c>
      <c r="B33" s="61" t="s">
        <v>22</v>
      </c>
      <c r="C33" s="60">
        <v>0</v>
      </c>
      <c r="D33" s="61">
        <v>0</v>
      </c>
      <c r="E33" s="61">
        <v>0</v>
      </c>
      <c r="F33" s="61">
        <v>0</v>
      </c>
      <c r="G33" s="61">
        <v>0</v>
      </c>
      <c r="H33" s="62">
        <v>0</v>
      </c>
      <c r="I33" s="60">
        <v>0</v>
      </c>
      <c r="J33" s="61">
        <v>0</v>
      </c>
      <c r="K33" s="61">
        <v>0</v>
      </c>
      <c r="L33" s="62">
        <v>0</v>
      </c>
      <c r="M33" s="60">
        <v>0</v>
      </c>
      <c r="N33" s="61">
        <v>0</v>
      </c>
      <c r="O33" s="61">
        <v>0</v>
      </c>
      <c r="P33" s="61">
        <v>0</v>
      </c>
      <c r="Q33" s="61">
        <v>0</v>
      </c>
      <c r="R33" s="62">
        <v>0</v>
      </c>
      <c r="S33" s="60">
        <v>0</v>
      </c>
      <c r="T33" s="61">
        <v>0</v>
      </c>
      <c r="U33" s="61">
        <v>0</v>
      </c>
      <c r="V33" s="62">
        <v>0</v>
      </c>
      <c r="W33" s="60">
        <v>0</v>
      </c>
      <c r="X33" s="61">
        <v>0</v>
      </c>
      <c r="Y33" s="61">
        <v>0</v>
      </c>
      <c r="Z33" s="61">
        <v>0</v>
      </c>
      <c r="AA33" s="61">
        <v>0</v>
      </c>
      <c r="AB33" s="62">
        <v>0</v>
      </c>
      <c r="AC33" s="60">
        <v>0</v>
      </c>
      <c r="AD33" s="61">
        <v>0</v>
      </c>
      <c r="AE33" s="61">
        <v>0</v>
      </c>
      <c r="AF33" s="62">
        <v>0</v>
      </c>
      <c r="AG33" s="60">
        <v>0</v>
      </c>
      <c r="AH33" s="61">
        <v>0</v>
      </c>
      <c r="AI33" s="61">
        <v>0</v>
      </c>
      <c r="AJ33" s="61">
        <v>0</v>
      </c>
      <c r="AK33" s="61">
        <v>0</v>
      </c>
      <c r="AL33" s="62">
        <v>0</v>
      </c>
    </row>
    <row r="34" spans="1:38" ht="18.75" customHeight="1">
      <c r="A34" s="18">
        <v>31</v>
      </c>
      <c r="B34" s="12" t="s">
        <v>396</v>
      </c>
      <c r="C34" s="57">
        <v>0</v>
      </c>
      <c r="D34" s="58">
        <v>0</v>
      </c>
      <c r="E34" s="58">
        <v>0</v>
      </c>
      <c r="F34" s="58">
        <v>0</v>
      </c>
      <c r="G34" s="58">
        <v>0</v>
      </c>
      <c r="H34" s="59">
        <v>0</v>
      </c>
      <c r="I34" s="57">
        <v>0</v>
      </c>
      <c r="J34" s="58">
        <v>0</v>
      </c>
      <c r="K34" s="58">
        <v>0</v>
      </c>
      <c r="L34" s="59">
        <v>0</v>
      </c>
      <c r="M34" s="57">
        <v>0</v>
      </c>
      <c r="N34" s="58">
        <v>0</v>
      </c>
      <c r="O34" s="58">
        <v>0</v>
      </c>
      <c r="P34" s="58">
        <v>0</v>
      </c>
      <c r="Q34" s="58">
        <v>0</v>
      </c>
      <c r="R34" s="59">
        <v>0</v>
      </c>
      <c r="S34" s="57">
        <v>0</v>
      </c>
      <c r="T34" s="102">
        <v>3245.3</v>
      </c>
      <c r="U34" s="102">
        <v>3285.2</v>
      </c>
      <c r="V34" s="16">
        <v>3288</v>
      </c>
      <c r="W34" s="98">
        <v>3311.2</v>
      </c>
      <c r="X34" s="102">
        <v>3313.2</v>
      </c>
      <c r="Y34" s="102">
        <v>3881.4</v>
      </c>
      <c r="Z34" s="102">
        <v>4359.8</v>
      </c>
      <c r="AA34" s="102">
        <v>4754.3999999999996</v>
      </c>
      <c r="AB34" s="97">
        <v>5280.5</v>
      </c>
      <c r="AC34" s="98">
        <v>5568.3</v>
      </c>
      <c r="AD34" s="102">
        <v>5295.4</v>
      </c>
      <c r="AE34" s="102">
        <v>5702.5</v>
      </c>
      <c r="AF34" s="97">
        <v>5906.4</v>
      </c>
      <c r="AG34" s="98">
        <v>6577.1</v>
      </c>
      <c r="AH34" s="102">
        <v>6455.4</v>
      </c>
      <c r="AI34" s="102">
        <v>7204.9</v>
      </c>
      <c r="AJ34" s="102">
        <v>8438.7000000000007</v>
      </c>
      <c r="AK34" s="102">
        <v>9032.7000000000007</v>
      </c>
      <c r="AL34" s="97">
        <v>9273.9</v>
      </c>
    </row>
    <row r="35" spans="1:38" ht="18.75" customHeight="1">
      <c r="A35" s="19">
        <v>32</v>
      </c>
      <c r="B35" s="14" t="s">
        <v>397</v>
      </c>
      <c r="C35" s="60">
        <v>0</v>
      </c>
      <c r="D35" s="61">
        <v>0</v>
      </c>
      <c r="E35" s="61">
        <v>0</v>
      </c>
      <c r="F35" s="61">
        <v>0</v>
      </c>
      <c r="G35" s="61">
        <v>0</v>
      </c>
      <c r="H35" s="62">
        <v>0</v>
      </c>
      <c r="I35" s="60">
        <v>0</v>
      </c>
      <c r="J35" s="61">
        <v>0</v>
      </c>
      <c r="K35" s="61">
        <v>0</v>
      </c>
      <c r="L35" s="62">
        <v>0</v>
      </c>
      <c r="M35" s="60">
        <v>0</v>
      </c>
      <c r="N35" s="61">
        <v>0</v>
      </c>
      <c r="O35" s="61">
        <v>0</v>
      </c>
      <c r="P35" s="61">
        <v>0</v>
      </c>
      <c r="Q35" s="61">
        <v>0</v>
      </c>
      <c r="R35" s="62">
        <v>0</v>
      </c>
      <c r="S35" s="60">
        <v>0</v>
      </c>
      <c r="T35" s="101">
        <v>3159.7</v>
      </c>
      <c r="U35" s="101">
        <v>3184.4</v>
      </c>
      <c r="V35" s="96">
        <v>3212.3</v>
      </c>
      <c r="W35" s="95">
        <v>3273.5</v>
      </c>
      <c r="X35" s="101">
        <v>3275.8</v>
      </c>
      <c r="Y35" s="101">
        <v>3340.9</v>
      </c>
      <c r="Z35" s="101">
        <v>3213.6</v>
      </c>
      <c r="AA35" s="101">
        <v>3213.6</v>
      </c>
      <c r="AB35" s="96">
        <v>3213.6</v>
      </c>
      <c r="AC35" s="95">
        <v>3333.9</v>
      </c>
      <c r="AD35" s="101">
        <v>3128.9</v>
      </c>
      <c r="AE35" s="101">
        <v>3383.1</v>
      </c>
      <c r="AF35" s="96">
        <v>3513.6</v>
      </c>
      <c r="AG35" s="95">
        <v>3877.9</v>
      </c>
      <c r="AH35" s="101">
        <v>3782.9</v>
      </c>
      <c r="AI35" s="101">
        <v>4256.3</v>
      </c>
      <c r="AJ35" s="19">
        <v>5054</v>
      </c>
      <c r="AK35" s="101">
        <v>5435.9</v>
      </c>
      <c r="AL35" s="96">
        <v>5588.9</v>
      </c>
    </row>
    <row r="36" spans="1:38" ht="18.75" customHeight="1">
      <c r="A36" s="18">
        <v>33</v>
      </c>
      <c r="B36" s="12" t="s">
        <v>398</v>
      </c>
      <c r="C36" s="57">
        <v>0</v>
      </c>
      <c r="D36" s="58">
        <v>0</v>
      </c>
      <c r="E36" s="58">
        <v>0</v>
      </c>
      <c r="F36" s="58">
        <v>0</v>
      </c>
      <c r="G36" s="58">
        <v>0</v>
      </c>
      <c r="H36" s="59">
        <v>0</v>
      </c>
      <c r="I36" s="57">
        <v>0</v>
      </c>
      <c r="J36" s="58">
        <v>0</v>
      </c>
      <c r="K36" s="58">
        <v>0</v>
      </c>
      <c r="L36" s="59">
        <v>0</v>
      </c>
      <c r="M36" s="57">
        <v>0</v>
      </c>
      <c r="N36" s="58">
        <v>0</v>
      </c>
      <c r="O36" s="58">
        <v>0</v>
      </c>
      <c r="P36" s="58">
        <v>0</v>
      </c>
      <c r="Q36" s="58">
        <v>0</v>
      </c>
      <c r="R36" s="59">
        <v>0</v>
      </c>
      <c r="S36" s="57">
        <v>0</v>
      </c>
      <c r="T36" s="18">
        <v>3162</v>
      </c>
      <c r="U36" s="18">
        <v>3159</v>
      </c>
      <c r="V36" s="16">
        <v>3159</v>
      </c>
      <c r="W36" s="98">
        <v>3239.6</v>
      </c>
      <c r="X36" s="102">
        <v>3241.9</v>
      </c>
      <c r="Y36" s="102">
        <v>3967.7</v>
      </c>
      <c r="Z36" s="102">
        <v>4643.7</v>
      </c>
      <c r="AA36" s="102">
        <v>5022.8</v>
      </c>
      <c r="AB36" s="97">
        <v>5528.3</v>
      </c>
      <c r="AC36" s="98">
        <v>5735.2</v>
      </c>
      <c r="AD36" s="102">
        <v>5382.6</v>
      </c>
      <c r="AE36" s="102">
        <v>5819.9</v>
      </c>
      <c r="AF36" s="97">
        <v>6042.4</v>
      </c>
      <c r="AG36" s="98">
        <v>6668.9</v>
      </c>
      <c r="AH36" s="102">
        <v>6505.5</v>
      </c>
      <c r="AI36" s="102">
        <v>7319.7</v>
      </c>
      <c r="AJ36" s="102">
        <v>8691.5</v>
      </c>
      <c r="AK36" s="102">
        <v>9348.1</v>
      </c>
      <c r="AL36" s="97">
        <v>9611.2999999999993</v>
      </c>
    </row>
    <row r="37" spans="1:38" ht="18.75" customHeight="1">
      <c r="A37" s="19">
        <v>34</v>
      </c>
      <c r="B37" s="14" t="s">
        <v>280</v>
      </c>
      <c r="C37" s="60">
        <v>0</v>
      </c>
      <c r="D37" s="61">
        <v>0</v>
      </c>
      <c r="E37" s="61">
        <v>0</v>
      </c>
      <c r="F37" s="61">
        <v>0</v>
      </c>
      <c r="G37" s="61">
        <v>0</v>
      </c>
      <c r="H37" s="62">
        <v>0</v>
      </c>
      <c r="I37" s="60">
        <v>0</v>
      </c>
      <c r="J37" s="61">
        <v>0</v>
      </c>
      <c r="K37" s="61">
        <v>0</v>
      </c>
      <c r="L37" s="62">
        <v>0</v>
      </c>
      <c r="M37" s="60">
        <v>0</v>
      </c>
      <c r="N37" s="61">
        <v>0</v>
      </c>
      <c r="O37" s="61">
        <v>0</v>
      </c>
      <c r="P37" s="61">
        <v>0</v>
      </c>
      <c r="Q37" s="61">
        <v>0</v>
      </c>
      <c r="R37" s="62">
        <v>0</v>
      </c>
      <c r="S37" s="60">
        <v>0</v>
      </c>
      <c r="T37" s="19">
        <v>4125</v>
      </c>
      <c r="U37" s="19">
        <v>4248</v>
      </c>
      <c r="V37" s="17">
        <v>4374</v>
      </c>
      <c r="W37" s="95">
        <v>4887.7</v>
      </c>
      <c r="X37" s="101">
        <v>4967.5</v>
      </c>
      <c r="Y37" s="101">
        <v>5548.2</v>
      </c>
      <c r="Z37" s="101">
        <v>5758.2</v>
      </c>
      <c r="AA37" s="101">
        <v>5758.2</v>
      </c>
      <c r="AB37" s="96">
        <v>5758.2</v>
      </c>
      <c r="AC37" s="95">
        <v>7157.4</v>
      </c>
      <c r="AD37" s="101">
        <v>7393.5</v>
      </c>
      <c r="AE37" s="101">
        <v>7646.9</v>
      </c>
      <c r="AF37" s="96">
        <v>7820.8</v>
      </c>
      <c r="AG37" s="95">
        <v>9822.9</v>
      </c>
      <c r="AH37" s="101">
        <v>10182.700000000001</v>
      </c>
      <c r="AI37" s="101">
        <v>10198.299999999999</v>
      </c>
      <c r="AJ37" s="101">
        <v>10573.7</v>
      </c>
      <c r="AK37" s="101">
        <v>10655.8</v>
      </c>
      <c r="AL37" s="96">
        <v>10745.8</v>
      </c>
    </row>
    <row r="38" spans="1:38" ht="18.75" customHeight="1">
      <c r="A38" s="12" t="s">
        <v>399</v>
      </c>
      <c r="B38" s="58"/>
      <c r="C38" s="57">
        <v>0</v>
      </c>
      <c r="D38" s="58">
        <v>0</v>
      </c>
      <c r="E38" s="58">
        <v>0</v>
      </c>
      <c r="F38" s="58">
        <v>0</v>
      </c>
      <c r="G38" s="58">
        <v>0</v>
      </c>
      <c r="H38" s="59">
        <v>0</v>
      </c>
      <c r="I38" s="57">
        <v>0</v>
      </c>
      <c r="J38" s="58">
        <v>0</v>
      </c>
      <c r="K38" s="58">
        <v>0</v>
      </c>
      <c r="L38" s="59">
        <v>0</v>
      </c>
      <c r="M38" s="57">
        <v>0</v>
      </c>
      <c r="N38" s="58">
        <v>0</v>
      </c>
      <c r="O38" s="58">
        <v>0</v>
      </c>
      <c r="P38" s="58">
        <v>0</v>
      </c>
      <c r="Q38" s="58">
        <v>0</v>
      </c>
      <c r="R38" s="59">
        <v>0</v>
      </c>
      <c r="S38" s="57">
        <v>0</v>
      </c>
      <c r="T38" s="102">
        <v>3475.9</v>
      </c>
      <c r="U38" s="18">
        <v>3618</v>
      </c>
      <c r="V38" s="97">
        <v>3810.6</v>
      </c>
      <c r="W38" s="98">
        <v>3837.9</v>
      </c>
      <c r="X38" s="102">
        <v>3873.7</v>
      </c>
      <c r="Y38" s="102">
        <v>4653.8999999999996</v>
      </c>
      <c r="Z38" s="102">
        <v>4983.8999999999996</v>
      </c>
      <c r="AA38" s="102">
        <v>5307.6</v>
      </c>
      <c r="AB38" s="97">
        <v>5813.2</v>
      </c>
      <c r="AC38" s="98">
        <v>6225.9</v>
      </c>
      <c r="AD38" s="18">
        <v>6255</v>
      </c>
      <c r="AE38" s="102">
        <v>7018.9</v>
      </c>
      <c r="AF38" s="97">
        <v>7248.5</v>
      </c>
      <c r="AG38" s="98">
        <v>8531.5</v>
      </c>
      <c r="AH38" s="18">
        <v>8633</v>
      </c>
      <c r="AI38" s="102">
        <v>9350.6</v>
      </c>
      <c r="AJ38" s="18">
        <v>9865</v>
      </c>
      <c r="AK38" s="102">
        <v>10292.9</v>
      </c>
      <c r="AL38" s="97">
        <v>10640.8</v>
      </c>
    </row>
  </sheetData>
  <mergeCells count="7">
    <mergeCell ref="M2:R2"/>
    <mergeCell ref="C2:H2"/>
    <mergeCell ref="AG2:AL2"/>
    <mergeCell ref="S2:V2"/>
    <mergeCell ref="I2:L2"/>
    <mergeCell ref="AC2:AF2"/>
    <mergeCell ref="W2:AB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2821"/>
  <sheetViews>
    <sheetView rightToLeft="1" topLeftCell="A613" workbookViewId="0"/>
  </sheetViews>
  <sheetFormatPr defaultRowHeight="13.5"/>
  <cols>
    <col min="1" max="1" width="10.125" style="20" bestFit="1" customWidth="1"/>
    <col min="2" max="2" width="9.125" style="20" bestFit="1" customWidth="1"/>
    <col min="3" max="3" width="10.125" style="20" customWidth="1"/>
    <col min="4" max="4" width="9" style="20" customWidth="1"/>
    <col min="5" max="16384" width="9" style="20"/>
  </cols>
  <sheetData>
    <row r="1" spans="1:2">
      <c r="A1" s="70" t="s">
        <v>400</v>
      </c>
      <c r="B1" s="21" t="s">
        <v>401</v>
      </c>
    </row>
    <row r="2" spans="1:2">
      <c r="A2" s="70" t="s">
        <v>402</v>
      </c>
      <c r="B2" s="21"/>
    </row>
    <row r="3" spans="1:2">
      <c r="A3" s="70" t="s">
        <v>403</v>
      </c>
      <c r="B3" s="21"/>
    </row>
    <row r="4" spans="1:2">
      <c r="A4" s="70" t="s">
        <v>404</v>
      </c>
      <c r="B4" s="21"/>
    </row>
    <row r="5" spans="1:2">
      <c r="A5" s="70" t="s">
        <v>405</v>
      </c>
      <c r="B5" s="21"/>
    </row>
    <row r="6" spans="1:2">
      <c r="A6" s="70" t="s">
        <v>406</v>
      </c>
      <c r="B6" s="21"/>
    </row>
    <row r="7" spans="1:2">
      <c r="A7" s="70" t="s">
        <v>407</v>
      </c>
      <c r="B7" s="21"/>
    </row>
    <row r="8" spans="1:2">
      <c r="A8" s="70" t="s">
        <v>408</v>
      </c>
      <c r="B8" s="21"/>
    </row>
    <row r="9" spans="1:2">
      <c r="A9" s="70" t="s">
        <v>409</v>
      </c>
      <c r="B9" s="21"/>
    </row>
    <row r="10" spans="1:2">
      <c r="A10" s="70" t="s">
        <v>410</v>
      </c>
      <c r="B10" s="21"/>
    </row>
    <row r="11" spans="1:2">
      <c r="A11" s="70" t="s">
        <v>411</v>
      </c>
      <c r="B11" s="21"/>
    </row>
    <row r="12" spans="1:2">
      <c r="A12" s="70" t="s">
        <v>412</v>
      </c>
      <c r="B12" s="21"/>
    </row>
    <row r="13" spans="1:2">
      <c r="A13" s="70" t="s">
        <v>413</v>
      </c>
      <c r="B13" s="21"/>
    </row>
    <row r="14" spans="1:2">
      <c r="A14" s="70" t="s">
        <v>414</v>
      </c>
      <c r="B14" s="21"/>
    </row>
    <row r="15" spans="1:2">
      <c r="A15" s="70" t="s">
        <v>415</v>
      </c>
      <c r="B15" s="21"/>
    </row>
    <row r="16" spans="1:2">
      <c r="A16" s="70" t="s">
        <v>416</v>
      </c>
      <c r="B16" s="21"/>
    </row>
    <row r="17" spans="1:2">
      <c r="A17" s="70" t="s">
        <v>417</v>
      </c>
      <c r="B17" s="21"/>
    </row>
    <row r="18" spans="1:2">
      <c r="A18" s="70" t="s">
        <v>418</v>
      </c>
      <c r="B18" s="21"/>
    </row>
    <row r="19" spans="1:2">
      <c r="A19" s="70" t="s">
        <v>419</v>
      </c>
      <c r="B19" s="21"/>
    </row>
    <row r="20" spans="1:2">
      <c r="A20" s="70" t="s">
        <v>420</v>
      </c>
      <c r="B20" s="21"/>
    </row>
    <row r="21" spans="1:2">
      <c r="A21" s="70" t="s">
        <v>421</v>
      </c>
      <c r="B21" s="21"/>
    </row>
    <row r="22" spans="1:2">
      <c r="A22" s="70" t="s">
        <v>422</v>
      </c>
      <c r="B22" s="21"/>
    </row>
    <row r="23" spans="1:2">
      <c r="A23" s="70" t="s">
        <v>423</v>
      </c>
      <c r="B23" s="21"/>
    </row>
    <row r="24" spans="1:2">
      <c r="A24" s="70" t="s">
        <v>424</v>
      </c>
      <c r="B24" s="21"/>
    </row>
    <row r="25" spans="1:2">
      <c r="A25" s="70" t="s">
        <v>425</v>
      </c>
      <c r="B25" s="21"/>
    </row>
    <row r="26" spans="1:2">
      <c r="A26" s="70" t="s">
        <v>426</v>
      </c>
      <c r="B26" s="21"/>
    </row>
    <row r="27" spans="1:2">
      <c r="A27" s="70" t="s">
        <v>427</v>
      </c>
      <c r="B27" s="21"/>
    </row>
    <row r="28" spans="1:2">
      <c r="A28" s="70" t="s">
        <v>428</v>
      </c>
      <c r="B28" s="21"/>
    </row>
    <row r="29" spans="1:2">
      <c r="A29" s="70" t="s">
        <v>429</v>
      </c>
      <c r="B29" s="21"/>
    </row>
    <row r="30" spans="1:2">
      <c r="A30" s="70" t="s">
        <v>430</v>
      </c>
      <c r="B30" s="21"/>
    </row>
    <row r="31" spans="1:2">
      <c r="A31" s="70" t="s">
        <v>431</v>
      </c>
      <c r="B31" s="21"/>
    </row>
    <row r="32" spans="1:2">
      <c r="A32" s="70" t="s">
        <v>432</v>
      </c>
      <c r="B32" s="21"/>
    </row>
    <row r="33" spans="1:2">
      <c r="A33" s="70" t="s">
        <v>433</v>
      </c>
      <c r="B33" s="21"/>
    </row>
    <row r="34" spans="1:2">
      <c r="A34" s="70" t="s">
        <v>434</v>
      </c>
      <c r="B34" s="21"/>
    </row>
    <row r="35" spans="1:2">
      <c r="A35" s="70" t="s">
        <v>435</v>
      </c>
      <c r="B35" s="21"/>
    </row>
    <row r="36" spans="1:2">
      <c r="A36" s="70" t="s">
        <v>436</v>
      </c>
      <c r="B36" s="21"/>
    </row>
    <row r="37" spans="1:2">
      <c r="A37" s="70" t="s">
        <v>437</v>
      </c>
      <c r="B37" s="21"/>
    </row>
    <row r="38" spans="1:2">
      <c r="A38" s="70" t="s">
        <v>438</v>
      </c>
      <c r="B38" s="21"/>
    </row>
    <row r="39" spans="1:2">
      <c r="A39" s="70" t="s">
        <v>439</v>
      </c>
      <c r="B39" s="21"/>
    </row>
    <row r="40" spans="1:2">
      <c r="A40" s="70" t="s">
        <v>440</v>
      </c>
      <c r="B40" s="21"/>
    </row>
    <row r="41" spans="1:2">
      <c r="A41" s="70" t="s">
        <v>441</v>
      </c>
      <c r="B41" s="21"/>
    </row>
    <row r="42" spans="1:2">
      <c r="A42" s="70" t="s">
        <v>442</v>
      </c>
      <c r="B42" s="21"/>
    </row>
    <row r="43" spans="1:2">
      <c r="A43" s="70" t="s">
        <v>443</v>
      </c>
      <c r="B43" s="21"/>
    </row>
    <row r="44" spans="1:2">
      <c r="A44" s="70" t="s">
        <v>444</v>
      </c>
      <c r="B44" s="21"/>
    </row>
    <row r="45" spans="1:2">
      <c r="A45" s="70" t="s">
        <v>445</v>
      </c>
      <c r="B45" s="21"/>
    </row>
    <row r="46" spans="1:2">
      <c r="A46" s="70" t="s">
        <v>446</v>
      </c>
      <c r="B46" s="21"/>
    </row>
    <row r="47" spans="1:2">
      <c r="A47" s="70" t="s">
        <v>447</v>
      </c>
      <c r="B47" s="21"/>
    </row>
    <row r="48" spans="1:2">
      <c r="A48" s="70" t="s">
        <v>448</v>
      </c>
      <c r="B48" s="21"/>
    </row>
    <row r="49" spans="1:2">
      <c r="A49" s="70" t="s">
        <v>449</v>
      </c>
      <c r="B49" s="21"/>
    </row>
    <row r="50" spans="1:2">
      <c r="A50" s="70" t="s">
        <v>450</v>
      </c>
      <c r="B50" s="21"/>
    </row>
    <row r="51" spans="1:2">
      <c r="A51" s="70" t="s">
        <v>451</v>
      </c>
      <c r="B51" s="21"/>
    </row>
    <row r="52" spans="1:2">
      <c r="A52" s="70" t="s">
        <v>452</v>
      </c>
      <c r="B52" s="21"/>
    </row>
    <row r="53" spans="1:2">
      <c r="A53" s="70" t="s">
        <v>453</v>
      </c>
      <c r="B53" s="21"/>
    </row>
    <row r="54" spans="1:2">
      <c r="A54" s="70" t="s">
        <v>454</v>
      </c>
      <c r="B54" s="21"/>
    </row>
    <row r="55" spans="1:2">
      <c r="A55" s="70" t="s">
        <v>455</v>
      </c>
      <c r="B55" s="21"/>
    </row>
    <row r="56" spans="1:2">
      <c r="A56" s="70" t="s">
        <v>456</v>
      </c>
      <c r="B56" s="21"/>
    </row>
    <row r="57" spans="1:2">
      <c r="A57" s="70" t="s">
        <v>457</v>
      </c>
      <c r="B57" s="21"/>
    </row>
    <row r="58" spans="1:2">
      <c r="A58" s="70" t="s">
        <v>458</v>
      </c>
      <c r="B58" s="21"/>
    </row>
    <row r="59" spans="1:2">
      <c r="A59" s="70" t="s">
        <v>459</v>
      </c>
      <c r="B59" s="21"/>
    </row>
    <row r="60" spans="1:2">
      <c r="A60" s="70" t="s">
        <v>460</v>
      </c>
      <c r="B60" s="21"/>
    </row>
    <row r="61" spans="1:2">
      <c r="A61" s="70" t="s">
        <v>461</v>
      </c>
      <c r="B61" s="21"/>
    </row>
    <row r="62" spans="1:2">
      <c r="A62" s="70" t="s">
        <v>462</v>
      </c>
      <c r="B62" s="21"/>
    </row>
    <row r="63" spans="1:2">
      <c r="A63" s="70" t="s">
        <v>463</v>
      </c>
      <c r="B63" s="21"/>
    </row>
    <row r="64" spans="1:2">
      <c r="A64" s="70" t="s">
        <v>464</v>
      </c>
      <c r="B64" s="21"/>
    </row>
    <row r="65" spans="1:2">
      <c r="A65" s="70" t="s">
        <v>465</v>
      </c>
      <c r="B65" s="21"/>
    </row>
    <row r="66" spans="1:2">
      <c r="A66" s="70" t="s">
        <v>466</v>
      </c>
      <c r="B66" s="21"/>
    </row>
    <row r="67" spans="1:2">
      <c r="A67" s="70" t="s">
        <v>467</v>
      </c>
      <c r="B67" s="21"/>
    </row>
    <row r="68" spans="1:2">
      <c r="A68" s="70" t="s">
        <v>468</v>
      </c>
      <c r="B68" s="21"/>
    </row>
    <row r="69" spans="1:2">
      <c r="A69" s="70" t="s">
        <v>469</v>
      </c>
      <c r="B69" s="21"/>
    </row>
    <row r="70" spans="1:2">
      <c r="A70" s="70" t="s">
        <v>470</v>
      </c>
      <c r="B70" s="21"/>
    </row>
    <row r="71" spans="1:2">
      <c r="A71" s="70" t="s">
        <v>471</v>
      </c>
      <c r="B71" s="21"/>
    </row>
    <row r="72" spans="1:2">
      <c r="A72" s="70" t="s">
        <v>472</v>
      </c>
      <c r="B72" s="21"/>
    </row>
    <row r="73" spans="1:2">
      <c r="A73" s="70" t="s">
        <v>473</v>
      </c>
      <c r="B73" s="21"/>
    </row>
    <row r="74" spans="1:2">
      <c r="A74" s="70" t="s">
        <v>474</v>
      </c>
      <c r="B74" s="21"/>
    </row>
    <row r="75" spans="1:2">
      <c r="A75" s="70" t="s">
        <v>475</v>
      </c>
      <c r="B75" s="21"/>
    </row>
    <row r="76" spans="1:2">
      <c r="A76" s="70" t="s">
        <v>476</v>
      </c>
      <c r="B76" s="21"/>
    </row>
    <row r="77" spans="1:2">
      <c r="A77" s="70" t="s">
        <v>477</v>
      </c>
      <c r="B77" s="21"/>
    </row>
    <row r="78" spans="1:2">
      <c r="A78" s="70" t="s">
        <v>478</v>
      </c>
      <c r="B78" s="21"/>
    </row>
    <row r="79" spans="1:2">
      <c r="A79" s="70" t="s">
        <v>479</v>
      </c>
      <c r="B79" s="21"/>
    </row>
    <row r="80" spans="1:2">
      <c r="A80" s="70" t="s">
        <v>480</v>
      </c>
      <c r="B80" s="21"/>
    </row>
    <row r="81" spans="1:2">
      <c r="A81" s="70" t="s">
        <v>481</v>
      </c>
      <c r="B81" s="21"/>
    </row>
    <row r="82" spans="1:2">
      <c r="A82" s="70" t="s">
        <v>482</v>
      </c>
      <c r="B82" s="21"/>
    </row>
    <row r="83" spans="1:2">
      <c r="A83" s="70" t="s">
        <v>483</v>
      </c>
      <c r="B83" s="21"/>
    </row>
    <row r="84" spans="1:2">
      <c r="A84" s="70" t="s">
        <v>484</v>
      </c>
      <c r="B84" s="21"/>
    </row>
    <row r="85" spans="1:2">
      <c r="A85" s="70" t="s">
        <v>485</v>
      </c>
      <c r="B85" s="21"/>
    </row>
    <row r="86" spans="1:2">
      <c r="A86" s="70" t="s">
        <v>486</v>
      </c>
      <c r="B86" s="21"/>
    </row>
    <row r="87" spans="1:2">
      <c r="A87" s="70" t="s">
        <v>487</v>
      </c>
      <c r="B87" s="21"/>
    </row>
    <row r="88" spans="1:2">
      <c r="A88" s="70" t="s">
        <v>488</v>
      </c>
      <c r="B88" s="21"/>
    </row>
    <row r="89" spans="1:2">
      <c r="A89" s="70" t="s">
        <v>489</v>
      </c>
      <c r="B89" s="21"/>
    </row>
    <row r="90" spans="1:2">
      <c r="A90" s="70" t="s">
        <v>490</v>
      </c>
      <c r="B90" s="21"/>
    </row>
    <row r="91" spans="1:2">
      <c r="A91" s="70" t="s">
        <v>491</v>
      </c>
      <c r="B91" s="21"/>
    </row>
    <row r="92" spans="1:2">
      <c r="A92" s="70" t="s">
        <v>492</v>
      </c>
      <c r="B92" s="21"/>
    </row>
    <row r="93" spans="1:2">
      <c r="A93" s="70" t="s">
        <v>493</v>
      </c>
      <c r="B93" s="21"/>
    </row>
    <row r="94" spans="1:2">
      <c r="A94" s="70" t="s">
        <v>494</v>
      </c>
      <c r="B94" s="21"/>
    </row>
    <row r="95" spans="1:2">
      <c r="A95" s="70" t="s">
        <v>495</v>
      </c>
      <c r="B95" s="21"/>
    </row>
    <row r="96" spans="1:2">
      <c r="A96" s="70" t="s">
        <v>496</v>
      </c>
      <c r="B96" s="21"/>
    </row>
    <row r="97" spans="1:2">
      <c r="A97" s="70" t="s">
        <v>497</v>
      </c>
      <c r="B97" s="21"/>
    </row>
    <row r="98" spans="1:2">
      <c r="A98" s="70" t="s">
        <v>498</v>
      </c>
      <c r="B98" s="21"/>
    </row>
    <row r="99" spans="1:2">
      <c r="A99" s="70" t="s">
        <v>499</v>
      </c>
      <c r="B99" s="21"/>
    </row>
    <row r="100" spans="1:2">
      <c r="A100" s="70" t="s">
        <v>500</v>
      </c>
      <c r="B100" s="21"/>
    </row>
    <row r="101" spans="1:2">
      <c r="A101" s="70" t="s">
        <v>501</v>
      </c>
      <c r="B101" s="21"/>
    </row>
    <row r="102" spans="1:2">
      <c r="A102" s="70" t="s">
        <v>502</v>
      </c>
      <c r="B102" s="21"/>
    </row>
    <row r="103" spans="1:2">
      <c r="A103" s="70" t="s">
        <v>503</v>
      </c>
      <c r="B103" s="21"/>
    </row>
    <row r="104" spans="1:2">
      <c r="A104" s="70" t="s">
        <v>504</v>
      </c>
      <c r="B104" s="21"/>
    </row>
    <row r="105" spans="1:2">
      <c r="A105" s="70" t="s">
        <v>505</v>
      </c>
      <c r="B105" s="21"/>
    </row>
    <row r="106" spans="1:2">
      <c r="A106" s="70" t="s">
        <v>506</v>
      </c>
      <c r="B106" s="21"/>
    </row>
    <row r="107" spans="1:2">
      <c r="A107" s="70" t="s">
        <v>507</v>
      </c>
      <c r="B107" s="21"/>
    </row>
    <row r="108" spans="1:2">
      <c r="A108" s="70" t="s">
        <v>508</v>
      </c>
      <c r="B108" s="21"/>
    </row>
    <row r="109" spans="1:2">
      <c r="A109" s="70" t="s">
        <v>509</v>
      </c>
      <c r="B109" s="21"/>
    </row>
    <row r="110" spans="1:2">
      <c r="A110" s="70" t="s">
        <v>510</v>
      </c>
      <c r="B110" s="21"/>
    </row>
    <row r="111" spans="1:2">
      <c r="A111" s="70" t="s">
        <v>511</v>
      </c>
      <c r="B111" s="21"/>
    </row>
    <row r="112" spans="1:2">
      <c r="A112" s="70" t="s">
        <v>512</v>
      </c>
      <c r="B112" s="21"/>
    </row>
    <row r="113" spans="1:2">
      <c r="A113" s="70" t="s">
        <v>513</v>
      </c>
      <c r="B113" s="21"/>
    </row>
    <row r="114" spans="1:2">
      <c r="A114" s="70" t="s">
        <v>514</v>
      </c>
      <c r="B114" s="21"/>
    </row>
    <row r="115" spans="1:2">
      <c r="A115" s="70" t="s">
        <v>515</v>
      </c>
      <c r="B115" s="21"/>
    </row>
    <row r="116" spans="1:2">
      <c r="A116" s="70" t="s">
        <v>516</v>
      </c>
      <c r="B116" s="21"/>
    </row>
    <row r="117" spans="1:2">
      <c r="A117" s="70" t="s">
        <v>517</v>
      </c>
      <c r="B117" s="21"/>
    </row>
    <row r="118" spans="1:2">
      <c r="A118" s="70" t="s">
        <v>518</v>
      </c>
      <c r="B118" s="21"/>
    </row>
    <row r="119" spans="1:2">
      <c r="A119" s="70" t="s">
        <v>519</v>
      </c>
      <c r="B119" s="21"/>
    </row>
    <row r="120" spans="1:2">
      <c r="A120" s="70" t="s">
        <v>520</v>
      </c>
      <c r="B120" s="21"/>
    </row>
    <row r="121" spans="1:2">
      <c r="A121" s="70" t="s">
        <v>521</v>
      </c>
      <c r="B121" s="21"/>
    </row>
    <row r="122" spans="1:2">
      <c r="A122" s="70" t="s">
        <v>522</v>
      </c>
      <c r="B122" s="21"/>
    </row>
    <row r="123" spans="1:2">
      <c r="A123" s="70" t="s">
        <v>523</v>
      </c>
      <c r="B123" s="21"/>
    </row>
    <row r="124" spans="1:2">
      <c r="A124" s="70" t="s">
        <v>524</v>
      </c>
      <c r="B124" s="21"/>
    </row>
    <row r="125" spans="1:2">
      <c r="A125" s="70" t="s">
        <v>525</v>
      </c>
      <c r="B125" s="21"/>
    </row>
    <row r="126" spans="1:2">
      <c r="A126" s="70" t="s">
        <v>526</v>
      </c>
      <c r="B126" s="21"/>
    </row>
    <row r="127" spans="1:2">
      <c r="A127" s="70" t="s">
        <v>527</v>
      </c>
      <c r="B127" s="21"/>
    </row>
    <row r="128" spans="1:2">
      <c r="A128" s="70" t="s">
        <v>528</v>
      </c>
      <c r="B128" s="21"/>
    </row>
    <row r="129" spans="1:2">
      <c r="A129" s="70" t="s">
        <v>529</v>
      </c>
      <c r="B129" s="21"/>
    </row>
    <row r="130" spans="1:2">
      <c r="A130" s="70" t="s">
        <v>530</v>
      </c>
      <c r="B130" s="21"/>
    </row>
    <row r="131" spans="1:2">
      <c r="A131" s="70" t="s">
        <v>531</v>
      </c>
      <c r="B131" s="21"/>
    </row>
    <row r="132" spans="1:2">
      <c r="A132" s="70" t="s">
        <v>532</v>
      </c>
      <c r="B132" s="21"/>
    </row>
    <row r="133" spans="1:2">
      <c r="A133" s="70" t="s">
        <v>533</v>
      </c>
      <c r="B133" s="21"/>
    </row>
    <row r="134" spans="1:2">
      <c r="A134" s="70" t="s">
        <v>534</v>
      </c>
      <c r="B134" s="21"/>
    </row>
    <row r="135" spans="1:2">
      <c r="A135" s="70" t="s">
        <v>535</v>
      </c>
      <c r="B135" s="21"/>
    </row>
    <row r="136" spans="1:2">
      <c r="A136" s="70" t="s">
        <v>536</v>
      </c>
      <c r="B136" s="21"/>
    </row>
    <row r="137" spans="1:2">
      <c r="A137" s="70" t="s">
        <v>537</v>
      </c>
      <c r="B137" s="21"/>
    </row>
    <row r="138" spans="1:2">
      <c r="A138" s="70" t="s">
        <v>538</v>
      </c>
      <c r="B138" s="21"/>
    </row>
    <row r="139" spans="1:2">
      <c r="A139" s="70" t="s">
        <v>539</v>
      </c>
      <c r="B139" s="21"/>
    </row>
    <row r="140" spans="1:2">
      <c r="A140" s="70" t="s">
        <v>540</v>
      </c>
      <c r="B140" s="21"/>
    </row>
    <row r="141" spans="1:2">
      <c r="A141" s="70" t="s">
        <v>541</v>
      </c>
      <c r="B141" s="21"/>
    </row>
    <row r="142" spans="1:2">
      <c r="A142" s="70" t="s">
        <v>542</v>
      </c>
      <c r="B142" s="21"/>
    </row>
    <row r="143" spans="1:2">
      <c r="A143" s="70" t="s">
        <v>543</v>
      </c>
      <c r="B143" s="21"/>
    </row>
    <row r="144" spans="1:2">
      <c r="A144" s="70" t="s">
        <v>544</v>
      </c>
      <c r="B144" s="21"/>
    </row>
    <row r="145" spans="1:2">
      <c r="A145" s="70" t="s">
        <v>545</v>
      </c>
      <c r="B145" s="21"/>
    </row>
    <row r="146" spans="1:2">
      <c r="A146" s="70" t="s">
        <v>546</v>
      </c>
      <c r="B146" s="21"/>
    </row>
    <row r="147" spans="1:2">
      <c r="A147" s="70" t="s">
        <v>547</v>
      </c>
      <c r="B147" s="21"/>
    </row>
    <row r="148" spans="1:2">
      <c r="A148" s="70" t="s">
        <v>548</v>
      </c>
      <c r="B148" s="21"/>
    </row>
    <row r="149" spans="1:2">
      <c r="A149" s="70" t="s">
        <v>549</v>
      </c>
      <c r="B149" s="21"/>
    </row>
    <row r="150" spans="1:2">
      <c r="A150" s="70" t="s">
        <v>550</v>
      </c>
      <c r="B150" s="21"/>
    </row>
    <row r="151" spans="1:2">
      <c r="A151" s="70" t="s">
        <v>551</v>
      </c>
      <c r="B151" s="21"/>
    </row>
    <row r="152" spans="1:2">
      <c r="A152" s="70" t="s">
        <v>552</v>
      </c>
      <c r="B152" s="21"/>
    </row>
    <row r="153" spans="1:2">
      <c r="A153" s="70" t="s">
        <v>553</v>
      </c>
      <c r="B153" s="21"/>
    </row>
    <row r="154" spans="1:2">
      <c r="A154" s="70" t="s">
        <v>554</v>
      </c>
      <c r="B154" s="21"/>
    </row>
    <row r="155" spans="1:2">
      <c r="A155" s="70" t="s">
        <v>555</v>
      </c>
      <c r="B155" s="21"/>
    </row>
    <row r="156" spans="1:2">
      <c r="A156" s="70" t="s">
        <v>556</v>
      </c>
      <c r="B156" s="21"/>
    </row>
    <row r="157" spans="1:2">
      <c r="A157" s="70" t="s">
        <v>557</v>
      </c>
      <c r="B157" s="21"/>
    </row>
    <row r="158" spans="1:2">
      <c r="A158" s="70" t="s">
        <v>558</v>
      </c>
      <c r="B158" s="21"/>
    </row>
    <row r="159" spans="1:2">
      <c r="A159" s="70" t="s">
        <v>559</v>
      </c>
      <c r="B159" s="21"/>
    </row>
    <row r="160" spans="1:2">
      <c r="A160" s="70" t="s">
        <v>560</v>
      </c>
      <c r="B160" s="21"/>
    </row>
    <row r="161" spans="1:2">
      <c r="A161" s="70" t="s">
        <v>561</v>
      </c>
      <c r="B161" s="21"/>
    </row>
    <row r="162" spans="1:2">
      <c r="A162" s="70" t="s">
        <v>562</v>
      </c>
      <c r="B162" s="21"/>
    </row>
    <row r="163" spans="1:2">
      <c r="A163" s="70" t="s">
        <v>563</v>
      </c>
      <c r="B163" s="21"/>
    </row>
    <row r="164" spans="1:2">
      <c r="A164" s="70" t="s">
        <v>564</v>
      </c>
      <c r="B164" s="21"/>
    </row>
    <row r="165" spans="1:2">
      <c r="A165" s="70" t="s">
        <v>565</v>
      </c>
      <c r="B165" s="21"/>
    </row>
    <row r="166" spans="1:2">
      <c r="A166" s="70" t="s">
        <v>566</v>
      </c>
      <c r="B166" s="21"/>
    </row>
    <row r="167" spans="1:2">
      <c r="A167" s="70" t="s">
        <v>567</v>
      </c>
      <c r="B167" s="21"/>
    </row>
    <row r="168" spans="1:2">
      <c r="A168" s="70" t="s">
        <v>568</v>
      </c>
      <c r="B168" s="21"/>
    </row>
    <row r="169" spans="1:2">
      <c r="A169" s="70" t="s">
        <v>569</v>
      </c>
      <c r="B169" s="21"/>
    </row>
    <row r="170" spans="1:2">
      <c r="A170" s="70" t="s">
        <v>570</v>
      </c>
      <c r="B170" s="21"/>
    </row>
    <row r="171" spans="1:2">
      <c r="A171" s="70" t="s">
        <v>571</v>
      </c>
      <c r="B171" s="21"/>
    </row>
    <row r="172" spans="1:2">
      <c r="A172" s="70" t="s">
        <v>572</v>
      </c>
      <c r="B172" s="21"/>
    </row>
    <row r="173" spans="1:2">
      <c r="A173" s="70" t="s">
        <v>573</v>
      </c>
      <c r="B173" s="21"/>
    </row>
    <row r="174" spans="1:2">
      <c r="A174" s="70" t="s">
        <v>574</v>
      </c>
      <c r="B174" s="21"/>
    </row>
    <row r="175" spans="1:2">
      <c r="A175" s="70" t="s">
        <v>575</v>
      </c>
      <c r="B175" s="21"/>
    </row>
    <row r="176" spans="1:2">
      <c r="A176" s="70" t="s">
        <v>576</v>
      </c>
      <c r="B176" s="21"/>
    </row>
    <row r="177" spans="1:2">
      <c r="A177" s="70" t="s">
        <v>577</v>
      </c>
      <c r="B177" s="21"/>
    </row>
    <row r="178" spans="1:2">
      <c r="A178" s="70" t="s">
        <v>578</v>
      </c>
      <c r="B178" s="21"/>
    </row>
    <row r="179" spans="1:2">
      <c r="A179" s="70" t="s">
        <v>579</v>
      </c>
      <c r="B179" s="21"/>
    </row>
    <row r="180" spans="1:2">
      <c r="A180" s="70" t="s">
        <v>580</v>
      </c>
      <c r="B180" s="21"/>
    </row>
    <row r="181" spans="1:2">
      <c r="A181" s="70" t="s">
        <v>581</v>
      </c>
      <c r="B181" s="21"/>
    </row>
    <row r="182" spans="1:2">
      <c r="A182" s="70" t="s">
        <v>582</v>
      </c>
      <c r="B182" s="21"/>
    </row>
    <row r="183" spans="1:2">
      <c r="A183" s="70" t="s">
        <v>583</v>
      </c>
      <c r="B183" s="21"/>
    </row>
    <row r="184" spans="1:2">
      <c r="A184" s="70" t="s">
        <v>584</v>
      </c>
      <c r="B184" s="21"/>
    </row>
    <row r="185" spans="1:2">
      <c r="A185" s="70" t="s">
        <v>585</v>
      </c>
      <c r="B185" s="21"/>
    </row>
    <row r="186" spans="1:2">
      <c r="A186" s="70" t="s">
        <v>586</v>
      </c>
      <c r="B186" s="21"/>
    </row>
    <row r="187" spans="1:2">
      <c r="A187" s="70" t="s">
        <v>587</v>
      </c>
      <c r="B187" s="21"/>
    </row>
    <row r="188" spans="1:2">
      <c r="A188" s="70" t="s">
        <v>588</v>
      </c>
      <c r="B188" s="21"/>
    </row>
    <row r="189" spans="1:2">
      <c r="A189" s="70" t="s">
        <v>589</v>
      </c>
      <c r="B189" s="21"/>
    </row>
    <row r="190" spans="1:2">
      <c r="A190" s="70" t="s">
        <v>590</v>
      </c>
      <c r="B190" s="21"/>
    </row>
    <row r="191" spans="1:2">
      <c r="A191" s="70" t="s">
        <v>591</v>
      </c>
      <c r="B191" s="21">
        <v>121388</v>
      </c>
    </row>
    <row r="192" spans="1:2">
      <c r="A192" s="70" t="s">
        <v>592</v>
      </c>
      <c r="B192" s="21">
        <v>143086</v>
      </c>
    </row>
    <row r="193" spans="1:2">
      <c r="A193" s="70" t="s">
        <v>593</v>
      </c>
      <c r="B193" s="21"/>
    </row>
    <row r="194" spans="1:2">
      <c r="A194" s="70" t="s">
        <v>594</v>
      </c>
      <c r="B194" s="21">
        <v>132825</v>
      </c>
    </row>
    <row r="195" spans="1:2">
      <c r="A195" s="70" t="s">
        <v>595</v>
      </c>
      <c r="B195" s="21">
        <v>141166</v>
      </c>
    </row>
    <row r="196" spans="1:2">
      <c r="A196" s="70" t="s">
        <v>596</v>
      </c>
      <c r="B196" s="21">
        <v>120423</v>
      </c>
    </row>
    <row r="197" spans="1:2">
      <c r="A197" s="70" t="s">
        <v>597</v>
      </c>
      <c r="B197" s="21">
        <v>106212</v>
      </c>
    </row>
    <row r="198" spans="1:2">
      <c r="A198" s="70" t="s">
        <v>598</v>
      </c>
      <c r="B198" s="21">
        <v>106709</v>
      </c>
    </row>
    <row r="199" spans="1:2">
      <c r="A199" s="70" t="s">
        <v>599</v>
      </c>
      <c r="B199" s="21">
        <v>109744</v>
      </c>
    </row>
    <row r="200" spans="1:2">
      <c r="A200" s="70" t="s">
        <v>600</v>
      </c>
      <c r="B200" s="21"/>
    </row>
    <row r="201" spans="1:2">
      <c r="A201" s="70" t="s">
        <v>601</v>
      </c>
      <c r="B201" s="21">
        <v>104687</v>
      </c>
    </row>
    <row r="202" spans="1:2">
      <c r="A202" s="70" t="s">
        <v>602</v>
      </c>
      <c r="B202" s="21">
        <v>98536</v>
      </c>
    </row>
    <row r="203" spans="1:2">
      <c r="A203" s="70" t="s">
        <v>603</v>
      </c>
      <c r="B203" s="21">
        <v>102277</v>
      </c>
    </row>
    <row r="204" spans="1:2">
      <c r="A204" s="70" t="s">
        <v>604</v>
      </c>
      <c r="B204" s="21">
        <v>95928</v>
      </c>
    </row>
    <row r="205" spans="1:2">
      <c r="A205" s="70" t="s">
        <v>605</v>
      </c>
      <c r="B205" s="21">
        <v>99131</v>
      </c>
    </row>
    <row r="206" spans="1:2">
      <c r="A206" s="70" t="s">
        <v>606</v>
      </c>
      <c r="B206" s="21">
        <v>104836</v>
      </c>
    </row>
    <row r="207" spans="1:2">
      <c r="A207" s="70" t="s">
        <v>607</v>
      </c>
      <c r="B207" s="21"/>
    </row>
    <row r="208" spans="1:2">
      <c r="A208" s="70" t="s">
        <v>608</v>
      </c>
      <c r="B208" s="21">
        <v>98855</v>
      </c>
    </row>
    <row r="209" spans="1:2">
      <c r="A209" s="70" t="s">
        <v>609</v>
      </c>
      <c r="B209" s="21">
        <v>103368</v>
      </c>
    </row>
    <row r="210" spans="1:2">
      <c r="A210" s="70" t="s">
        <v>610</v>
      </c>
      <c r="B210" s="21">
        <v>100150</v>
      </c>
    </row>
    <row r="211" spans="1:2">
      <c r="A211" s="70" t="s">
        <v>611</v>
      </c>
      <c r="B211" s="21">
        <v>100380</v>
      </c>
    </row>
    <row r="212" spans="1:2">
      <c r="A212" s="70" t="s">
        <v>612</v>
      </c>
      <c r="B212" s="21">
        <v>96296</v>
      </c>
    </row>
    <row r="213" spans="1:2">
      <c r="A213" s="70" t="s">
        <v>613</v>
      </c>
      <c r="B213" s="21">
        <v>95133</v>
      </c>
    </row>
    <row r="214" spans="1:2">
      <c r="A214" s="70" t="s">
        <v>614</v>
      </c>
      <c r="B214" s="21"/>
    </row>
    <row r="215" spans="1:2">
      <c r="A215" s="70" t="s">
        <v>615</v>
      </c>
      <c r="B215" s="21">
        <v>101153</v>
      </c>
    </row>
    <row r="216" spans="1:2">
      <c r="A216" s="70" t="s">
        <v>616</v>
      </c>
      <c r="B216" s="21">
        <v>104650</v>
      </c>
    </row>
    <row r="217" spans="1:2">
      <c r="A217" s="70" t="s">
        <v>617</v>
      </c>
      <c r="B217" s="21">
        <v>97741</v>
      </c>
    </row>
    <row r="218" spans="1:2">
      <c r="A218" s="70" t="s">
        <v>618</v>
      </c>
      <c r="B218" s="21">
        <v>103251</v>
      </c>
    </row>
    <row r="219" spans="1:2">
      <c r="A219" s="70" t="s">
        <v>619</v>
      </c>
      <c r="B219" s="21">
        <v>96787</v>
      </c>
    </row>
    <row r="220" spans="1:2">
      <c r="A220" s="70" t="s">
        <v>620</v>
      </c>
      <c r="B220" s="21">
        <v>99428</v>
      </c>
    </row>
    <row r="221" spans="1:2">
      <c r="A221" s="70" t="s">
        <v>621</v>
      </c>
      <c r="B221" s="21"/>
    </row>
    <row r="222" spans="1:2">
      <c r="A222" s="70" t="s">
        <v>622</v>
      </c>
      <c r="B222" s="21">
        <v>97327</v>
      </c>
    </row>
    <row r="223" spans="1:2">
      <c r="A223" s="70" t="s">
        <v>623</v>
      </c>
      <c r="B223" s="21">
        <v>100111</v>
      </c>
    </row>
    <row r="224" spans="1:2">
      <c r="A224" s="70" t="s">
        <v>624</v>
      </c>
      <c r="B224" s="21">
        <v>93307</v>
      </c>
    </row>
    <row r="225" spans="1:2">
      <c r="A225" s="70" t="s">
        <v>625</v>
      </c>
      <c r="B225" s="21"/>
    </row>
    <row r="226" spans="1:2">
      <c r="A226" s="70" t="s">
        <v>626</v>
      </c>
      <c r="B226" s="21">
        <v>97910</v>
      </c>
    </row>
    <row r="227" spans="1:2">
      <c r="A227" s="70" t="s">
        <v>627</v>
      </c>
      <c r="B227" s="21">
        <v>93125</v>
      </c>
    </row>
    <row r="228" spans="1:2">
      <c r="A228" s="70" t="s">
        <v>628</v>
      </c>
      <c r="B228" s="21"/>
    </row>
    <row r="229" spans="1:2">
      <c r="A229" s="70" t="s">
        <v>629</v>
      </c>
      <c r="B229" s="21">
        <v>94308</v>
      </c>
    </row>
    <row r="230" spans="1:2">
      <c r="A230" s="70" t="s">
        <v>630</v>
      </c>
      <c r="B230" s="21">
        <v>94157</v>
      </c>
    </row>
    <row r="231" spans="1:2">
      <c r="A231" s="70" t="s">
        <v>631</v>
      </c>
      <c r="B231" s="21">
        <v>92881</v>
      </c>
    </row>
    <row r="232" spans="1:2">
      <c r="A232" s="70" t="s">
        <v>632</v>
      </c>
      <c r="B232" s="21">
        <v>97205</v>
      </c>
    </row>
    <row r="233" spans="1:2">
      <c r="A233" s="70" t="s">
        <v>633</v>
      </c>
      <c r="B233" s="21"/>
    </row>
    <row r="234" spans="1:2">
      <c r="A234" s="70" t="s">
        <v>634</v>
      </c>
      <c r="B234" s="21"/>
    </row>
    <row r="235" spans="1:2">
      <c r="A235" s="70" t="s">
        <v>635</v>
      </c>
      <c r="B235" s="21"/>
    </row>
    <row r="236" spans="1:2">
      <c r="A236" s="70" t="s">
        <v>636</v>
      </c>
      <c r="B236" s="21">
        <v>92242</v>
      </c>
    </row>
    <row r="237" spans="1:2">
      <c r="A237" s="70" t="s">
        <v>637</v>
      </c>
      <c r="B237" s="21">
        <v>95468</v>
      </c>
    </row>
    <row r="238" spans="1:2">
      <c r="A238" s="70" t="s">
        <v>638</v>
      </c>
      <c r="B238" s="21">
        <v>94864</v>
      </c>
    </row>
    <row r="239" spans="1:2">
      <c r="A239" s="70" t="s">
        <v>639</v>
      </c>
      <c r="B239" s="21">
        <v>93656</v>
      </c>
    </row>
    <row r="240" spans="1:2">
      <c r="A240" s="70" t="s">
        <v>640</v>
      </c>
      <c r="B240" s="21">
        <v>92359</v>
      </c>
    </row>
    <row r="241" spans="1:2">
      <c r="A241" s="70" t="s">
        <v>641</v>
      </c>
      <c r="B241" s="21">
        <v>92122</v>
      </c>
    </row>
    <row r="242" spans="1:2">
      <c r="A242" s="70" t="s">
        <v>642</v>
      </c>
      <c r="B242" s="21"/>
    </row>
    <row r="243" spans="1:2">
      <c r="A243" s="70" t="s">
        <v>643</v>
      </c>
      <c r="B243" s="21">
        <v>94462</v>
      </c>
    </row>
    <row r="244" spans="1:2">
      <c r="A244" s="70" t="s">
        <v>644</v>
      </c>
      <c r="B244" s="21">
        <v>93933</v>
      </c>
    </row>
    <row r="245" spans="1:2">
      <c r="A245" s="70" t="s">
        <v>645</v>
      </c>
      <c r="B245" s="21">
        <v>96097</v>
      </c>
    </row>
    <row r="246" spans="1:2">
      <c r="A246" s="70" t="s">
        <v>646</v>
      </c>
      <c r="B246" s="21">
        <v>94197</v>
      </c>
    </row>
    <row r="247" spans="1:2">
      <c r="A247" s="70" t="s">
        <v>647</v>
      </c>
      <c r="B247" s="21">
        <v>94977</v>
      </c>
    </row>
    <row r="248" spans="1:2">
      <c r="A248" s="70" t="s">
        <v>648</v>
      </c>
      <c r="B248" s="21">
        <v>97684</v>
      </c>
    </row>
    <row r="249" spans="1:2">
      <c r="A249" s="70" t="s">
        <v>649</v>
      </c>
      <c r="B249" s="21"/>
    </row>
    <row r="250" spans="1:2">
      <c r="A250" s="70" t="s">
        <v>650</v>
      </c>
      <c r="B250" s="21">
        <v>94956</v>
      </c>
    </row>
    <row r="251" spans="1:2">
      <c r="A251" s="70" t="s">
        <v>651</v>
      </c>
      <c r="B251" s="21">
        <v>94956</v>
      </c>
    </row>
    <row r="252" spans="1:2">
      <c r="A252" s="70" t="s">
        <v>652</v>
      </c>
      <c r="B252" s="21">
        <v>95879</v>
      </c>
    </row>
    <row r="253" spans="1:2">
      <c r="A253" s="70" t="s">
        <v>653</v>
      </c>
      <c r="B253" s="21">
        <v>93360</v>
      </c>
    </row>
    <row r="254" spans="1:2">
      <c r="A254" s="70" t="s">
        <v>654</v>
      </c>
      <c r="B254" s="21">
        <v>92886</v>
      </c>
    </row>
    <row r="255" spans="1:2">
      <c r="A255" s="70" t="s">
        <v>655</v>
      </c>
      <c r="B255" s="21">
        <v>96024</v>
      </c>
    </row>
    <row r="256" spans="1:2">
      <c r="A256" s="70" t="s">
        <v>656</v>
      </c>
      <c r="B256" s="21"/>
    </row>
    <row r="257" spans="1:2">
      <c r="A257" s="70" t="s">
        <v>657</v>
      </c>
      <c r="B257" s="21">
        <v>94655</v>
      </c>
    </row>
    <row r="258" spans="1:2">
      <c r="A258" s="70" t="s">
        <v>658</v>
      </c>
      <c r="B258" s="21">
        <v>96382</v>
      </c>
    </row>
    <row r="259" spans="1:2">
      <c r="A259" s="70" t="s">
        <v>659</v>
      </c>
      <c r="B259" s="21">
        <v>95454</v>
      </c>
    </row>
    <row r="260" spans="1:2">
      <c r="A260" s="70" t="s">
        <v>660</v>
      </c>
      <c r="B260" s="21">
        <v>94710</v>
      </c>
    </row>
    <row r="261" spans="1:2">
      <c r="A261" s="70" t="s">
        <v>661</v>
      </c>
      <c r="B261" s="21">
        <v>94520</v>
      </c>
    </row>
    <row r="262" spans="1:2">
      <c r="A262" s="70" t="s">
        <v>662</v>
      </c>
      <c r="B262" s="21">
        <v>96317</v>
      </c>
    </row>
    <row r="263" spans="1:2">
      <c r="A263" s="70" t="s">
        <v>663</v>
      </c>
      <c r="B263" s="21"/>
    </row>
    <row r="264" spans="1:2">
      <c r="A264" s="70" t="s">
        <v>664</v>
      </c>
      <c r="B264" s="21">
        <v>99415</v>
      </c>
    </row>
    <row r="265" spans="1:2">
      <c r="A265" s="70" t="s">
        <v>665</v>
      </c>
      <c r="B265" s="21">
        <v>102960</v>
      </c>
    </row>
    <row r="266" spans="1:2">
      <c r="A266" s="70" t="s">
        <v>666</v>
      </c>
      <c r="B266" s="21">
        <v>98257</v>
      </c>
    </row>
    <row r="267" spans="1:2">
      <c r="A267" s="70" t="s">
        <v>667</v>
      </c>
      <c r="B267" s="21">
        <v>93405</v>
      </c>
    </row>
    <row r="268" spans="1:2">
      <c r="A268" s="70" t="s">
        <v>668</v>
      </c>
      <c r="B268" s="21">
        <v>100901</v>
      </c>
    </row>
    <row r="269" spans="1:2">
      <c r="A269" s="70" t="s">
        <v>669</v>
      </c>
      <c r="B269" s="21">
        <v>98642</v>
      </c>
    </row>
    <row r="270" spans="1:2">
      <c r="A270" s="70" t="s">
        <v>670</v>
      </c>
      <c r="B270" s="21"/>
    </row>
    <row r="271" spans="1:2">
      <c r="A271" s="70" t="s">
        <v>671</v>
      </c>
      <c r="B271" s="21">
        <v>95198</v>
      </c>
    </row>
    <row r="272" spans="1:2">
      <c r="A272" s="70" t="s">
        <v>672</v>
      </c>
      <c r="B272" s="21">
        <v>94681</v>
      </c>
    </row>
    <row r="273" spans="1:2">
      <c r="A273" s="70" t="s">
        <v>673</v>
      </c>
      <c r="B273" s="21">
        <v>95266</v>
      </c>
    </row>
    <row r="274" spans="1:2">
      <c r="A274" s="70" t="s">
        <v>674</v>
      </c>
      <c r="B274" s="21">
        <v>99365</v>
      </c>
    </row>
    <row r="275" spans="1:2">
      <c r="A275" s="70" t="s">
        <v>675</v>
      </c>
      <c r="B275" s="21">
        <v>93832</v>
      </c>
    </row>
    <row r="276" spans="1:2">
      <c r="A276" s="70" t="s">
        <v>676</v>
      </c>
      <c r="B276" s="21">
        <v>96017</v>
      </c>
    </row>
    <row r="277" spans="1:2">
      <c r="A277" s="70" t="s">
        <v>677</v>
      </c>
      <c r="B277" s="21"/>
    </row>
    <row r="278" spans="1:2">
      <c r="A278" s="70" t="s">
        <v>678</v>
      </c>
      <c r="B278" s="21">
        <v>94145</v>
      </c>
    </row>
    <row r="279" spans="1:2">
      <c r="A279" s="70" t="s">
        <v>679</v>
      </c>
      <c r="B279" s="21">
        <v>97985</v>
      </c>
    </row>
    <row r="280" spans="1:2">
      <c r="A280" s="70" t="s">
        <v>680</v>
      </c>
      <c r="B280" s="21">
        <v>93783</v>
      </c>
    </row>
    <row r="281" spans="1:2">
      <c r="A281" s="70" t="s">
        <v>681</v>
      </c>
      <c r="B281" s="21">
        <v>94910</v>
      </c>
    </row>
    <row r="282" spans="1:2">
      <c r="A282" s="70" t="s">
        <v>682</v>
      </c>
      <c r="B282" s="21">
        <v>95282</v>
      </c>
    </row>
    <row r="283" spans="1:2">
      <c r="A283" s="70" t="s">
        <v>683</v>
      </c>
      <c r="B283" s="21">
        <v>95454</v>
      </c>
    </row>
    <row r="284" spans="1:2">
      <c r="A284" s="70" t="s">
        <v>684</v>
      </c>
      <c r="B284" s="21"/>
    </row>
    <row r="285" spans="1:2">
      <c r="A285" s="70" t="s">
        <v>685</v>
      </c>
      <c r="B285" s="21">
        <v>92940</v>
      </c>
    </row>
    <row r="286" spans="1:2">
      <c r="A286" s="70" t="s">
        <v>686</v>
      </c>
      <c r="B286" s="21">
        <v>95960</v>
      </c>
    </row>
    <row r="287" spans="1:2">
      <c r="A287" s="70" t="s">
        <v>687</v>
      </c>
      <c r="B287" s="21">
        <v>95302</v>
      </c>
    </row>
    <row r="288" spans="1:2">
      <c r="A288" s="70" t="s">
        <v>688</v>
      </c>
      <c r="B288" s="21">
        <v>95103</v>
      </c>
    </row>
    <row r="289" spans="1:2">
      <c r="A289" s="70" t="s">
        <v>689</v>
      </c>
      <c r="B289" s="21">
        <v>97425</v>
      </c>
    </row>
    <row r="290" spans="1:2">
      <c r="A290" s="70" t="s">
        <v>690</v>
      </c>
      <c r="B290" s="21">
        <v>95298</v>
      </c>
    </row>
    <row r="291" spans="1:2">
      <c r="A291" s="70" t="s">
        <v>691</v>
      </c>
      <c r="B291" s="21"/>
    </row>
    <row r="292" spans="1:2">
      <c r="A292" s="70" t="s">
        <v>692</v>
      </c>
      <c r="B292" s="21">
        <v>99262</v>
      </c>
    </row>
    <row r="293" spans="1:2">
      <c r="A293" s="70" t="s">
        <v>693</v>
      </c>
      <c r="B293" s="21">
        <v>98312</v>
      </c>
    </row>
    <row r="294" spans="1:2">
      <c r="A294" s="70" t="s">
        <v>694</v>
      </c>
      <c r="B294" s="21">
        <v>97093</v>
      </c>
    </row>
    <row r="295" spans="1:2">
      <c r="A295" s="70" t="s">
        <v>695</v>
      </c>
      <c r="B295" s="21">
        <v>97100</v>
      </c>
    </row>
    <row r="296" spans="1:2">
      <c r="A296" s="70" t="s">
        <v>696</v>
      </c>
      <c r="B296" s="21">
        <v>98253</v>
      </c>
    </row>
    <row r="297" spans="1:2">
      <c r="A297" s="70" t="s">
        <v>697</v>
      </c>
      <c r="B297" s="21">
        <v>93571</v>
      </c>
    </row>
    <row r="298" spans="1:2">
      <c r="A298" s="70" t="s">
        <v>698</v>
      </c>
      <c r="B298" s="21"/>
    </row>
    <row r="299" spans="1:2">
      <c r="A299" s="70" t="s">
        <v>699</v>
      </c>
      <c r="B299" s="21">
        <v>98209</v>
      </c>
    </row>
    <row r="300" spans="1:2">
      <c r="A300" s="70" t="s">
        <v>700</v>
      </c>
      <c r="B300" s="21">
        <v>96017</v>
      </c>
    </row>
    <row r="301" spans="1:2">
      <c r="A301" s="70" t="s">
        <v>701</v>
      </c>
      <c r="B301" s="21">
        <v>96749</v>
      </c>
    </row>
    <row r="302" spans="1:2">
      <c r="A302" s="70" t="s">
        <v>702</v>
      </c>
      <c r="B302" s="21">
        <v>95096</v>
      </c>
    </row>
    <row r="303" spans="1:2">
      <c r="A303" s="70" t="s">
        <v>703</v>
      </c>
      <c r="B303" s="21">
        <v>92512</v>
      </c>
    </row>
    <row r="304" spans="1:2">
      <c r="A304" s="70" t="s">
        <v>704</v>
      </c>
      <c r="B304" s="21">
        <v>95000</v>
      </c>
    </row>
    <row r="305" spans="1:2">
      <c r="A305" s="70" t="s">
        <v>705</v>
      </c>
      <c r="B305" s="21"/>
    </row>
    <row r="306" spans="1:2">
      <c r="A306" s="70" t="s">
        <v>706</v>
      </c>
      <c r="B306" s="21">
        <v>93108</v>
      </c>
    </row>
    <row r="307" spans="1:2">
      <c r="A307" s="70" t="s">
        <v>707</v>
      </c>
      <c r="B307" s="21">
        <v>94081</v>
      </c>
    </row>
    <row r="308" spans="1:2">
      <c r="A308" s="70" t="s">
        <v>708</v>
      </c>
      <c r="B308" s="21">
        <v>94898</v>
      </c>
    </row>
    <row r="309" spans="1:2">
      <c r="A309" s="70" t="s">
        <v>709</v>
      </c>
      <c r="B309" s="21">
        <v>96287</v>
      </c>
    </row>
    <row r="310" spans="1:2">
      <c r="A310" s="70" t="s">
        <v>710</v>
      </c>
      <c r="B310" s="21">
        <v>92389</v>
      </c>
    </row>
    <row r="311" spans="1:2">
      <c r="A311" s="70" t="s">
        <v>711</v>
      </c>
      <c r="B311" s="21">
        <v>96448</v>
      </c>
    </row>
    <row r="312" spans="1:2">
      <c r="A312" s="70" t="s">
        <v>712</v>
      </c>
      <c r="B312" s="21"/>
    </row>
    <row r="313" spans="1:2">
      <c r="A313" s="70" t="s">
        <v>713</v>
      </c>
      <c r="B313" s="21">
        <v>96273</v>
      </c>
    </row>
    <row r="314" spans="1:2">
      <c r="A314" s="70" t="s">
        <v>714</v>
      </c>
      <c r="B314" s="21">
        <v>98255</v>
      </c>
    </row>
    <row r="315" spans="1:2">
      <c r="A315" s="70" t="s">
        <v>715</v>
      </c>
      <c r="B315" s="21">
        <v>98809</v>
      </c>
    </row>
    <row r="316" spans="1:2">
      <c r="A316" s="70" t="s">
        <v>716</v>
      </c>
      <c r="B316" s="21">
        <v>98531</v>
      </c>
    </row>
    <row r="317" spans="1:2">
      <c r="A317" s="70" t="s">
        <v>717</v>
      </c>
      <c r="B317" s="21">
        <v>95979</v>
      </c>
    </row>
    <row r="318" spans="1:2">
      <c r="A318" s="70" t="s">
        <v>718</v>
      </c>
      <c r="B318" s="21">
        <v>93730</v>
      </c>
    </row>
    <row r="319" spans="1:2">
      <c r="A319" s="70" t="s">
        <v>719</v>
      </c>
      <c r="B319" s="21"/>
    </row>
    <row r="320" spans="1:2">
      <c r="A320" s="70" t="s">
        <v>720</v>
      </c>
      <c r="B320" s="21">
        <v>97064</v>
      </c>
    </row>
    <row r="321" spans="1:2">
      <c r="A321" s="70" t="s">
        <v>721</v>
      </c>
      <c r="B321" s="21">
        <v>101542</v>
      </c>
    </row>
    <row r="322" spans="1:2">
      <c r="A322" s="70" t="s">
        <v>722</v>
      </c>
      <c r="B322" s="21">
        <v>99244</v>
      </c>
    </row>
    <row r="323" spans="1:2">
      <c r="A323" s="70" t="s">
        <v>723</v>
      </c>
      <c r="B323" s="21">
        <v>103516</v>
      </c>
    </row>
    <row r="324" spans="1:2">
      <c r="A324" s="70" t="s">
        <v>724</v>
      </c>
      <c r="B324" s="21">
        <v>99500</v>
      </c>
    </row>
    <row r="325" spans="1:2">
      <c r="A325" s="70" t="s">
        <v>725</v>
      </c>
      <c r="B325" s="21">
        <v>103988</v>
      </c>
    </row>
    <row r="326" spans="1:2">
      <c r="A326" s="70" t="s">
        <v>726</v>
      </c>
      <c r="B326" s="21"/>
    </row>
    <row r="327" spans="1:2">
      <c r="A327" s="70" t="s">
        <v>727</v>
      </c>
      <c r="B327" s="21"/>
    </row>
    <row r="328" spans="1:2">
      <c r="A328" s="70" t="s">
        <v>728</v>
      </c>
      <c r="B328" s="21">
        <v>93263</v>
      </c>
    </row>
    <row r="329" spans="1:2">
      <c r="A329" s="70" t="s">
        <v>729</v>
      </c>
      <c r="B329" s="21"/>
    </row>
    <row r="330" spans="1:2">
      <c r="A330" s="70" t="s">
        <v>730</v>
      </c>
      <c r="B330" s="21">
        <v>96751</v>
      </c>
    </row>
    <row r="331" spans="1:2">
      <c r="A331" s="70" t="s">
        <v>731</v>
      </c>
      <c r="B331" s="21">
        <v>108772</v>
      </c>
    </row>
    <row r="332" spans="1:2">
      <c r="A332" s="70" t="s">
        <v>732</v>
      </c>
      <c r="B332" s="21">
        <v>101354</v>
      </c>
    </row>
    <row r="333" spans="1:2">
      <c r="A333" s="70" t="s">
        <v>733</v>
      </c>
      <c r="B333" s="21"/>
    </row>
    <row r="334" spans="1:2">
      <c r="A334" s="70" t="s">
        <v>734</v>
      </c>
      <c r="B334" s="21">
        <v>98202</v>
      </c>
    </row>
    <row r="335" spans="1:2">
      <c r="A335" s="70" t="s">
        <v>735</v>
      </c>
      <c r="B335" s="21">
        <v>98818</v>
      </c>
    </row>
    <row r="336" spans="1:2">
      <c r="A336" s="70" t="s">
        <v>736</v>
      </c>
      <c r="B336" s="21">
        <v>104504</v>
      </c>
    </row>
    <row r="337" spans="1:2">
      <c r="A337" s="70" t="s">
        <v>737</v>
      </c>
      <c r="B337" s="21">
        <v>102786</v>
      </c>
    </row>
    <row r="338" spans="1:2">
      <c r="A338" s="70" t="s">
        <v>738</v>
      </c>
      <c r="B338" s="21">
        <v>102053</v>
      </c>
    </row>
    <row r="339" spans="1:2">
      <c r="A339" s="70" t="s">
        <v>739</v>
      </c>
      <c r="B339" s="21">
        <v>102010</v>
      </c>
    </row>
    <row r="340" spans="1:2">
      <c r="A340" s="70" t="s">
        <v>740</v>
      </c>
      <c r="B340" s="21"/>
    </row>
    <row r="341" spans="1:2">
      <c r="A341" s="70" t="s">
        <v>741</v>
      </c>
      <c r="B341" s="21">
        <v>103342</v>
      </c>
    </row>
    <row r="342" spans="1:2">
      <c r="A342" s="70" t="s">
        <v>742</v>
      </c>
      <c r="B342" s="21">
        <v>100178</v>
      </c>
    </row>
    <row r="343" spans="1:2">
      <c r="A343" s="70" t="s">
        <v>743</v>
      </c>
      <c r="B343" s="21">
        <v>101144</v>
      </c>
    </row>
    <row r="344" spans="1:2">
      <c r="A344" s="70" t="s">
        <v>744</v>
      </c>
      <c r="B344" s="21">
        <v>100512</v>
      </c>
    </row>
    <row r="345" spans="1:2">
      <c r="A345" s="70" t="s">
        <v>745</v>
      </c>
      <c r="B345" s="21">
        <v>101144</v>
      </c>
    </row>
    <row r="346" spans="1:2">
      <c r="A346" s="70" t="s">
        <v>746</v>
      </c>
      <c r="B346" s="21">
        <v>108262</v>
      </c>
    </row>
    <row r="347" spans="1:2">
      <c r="A347" s="70" t="s">
        <v>747</v>
      </c>
      <c r="B347" s="21"/>
    </row>
    <row r="348" spans="1:2">
      <c r="A348" s="70" t="s">
        <v>748</v>
      </c>
      <c r="B348" s="21">
        <v>111489</v>
      </c>
    </row>
    <row r="349" spans="1:2">
      <c r="A349" s="70" t="s">
        <v>749</v>
      </c>
      <c r="B349" s="21">
        <v>99229</v>
      </c>
    </row>
    <row r="350" spans="1:2">
      <c r="A350" s="70" t="s">
        <v>750</v>
      </c>
      <c r="B350" s="21">
        <v>108966</v>
      </c>
    </row>
    <row r="351" spans="1:2">
      <c r="A351" s="70" t="s">
        <v>751</v>
      </c>
      <c r="B351" s="21">
        <v>104270</v>
      </c>
    </row>
    <row r="352" spans="1:2">
      <c r="A352" s="70" t="s">
        <v>752</v>
      </c>
      <c r="B352" s="21">
        <v>104034</v>
      </c>
    </row>
    <row r="353" spans="1:2">
      <c r="A353" s="70" t="s">
        <v>753</v>
      </c>
      <c r="B353" s="21">
        <v>107271</v>
      </c>
    </row>
    <row r="354" spans="1:2">
      <c r="A354" s="70" t="s">
        <v>754</v>
      </c>
      <c r="B354" s="21"/>
    </row>
    <row r="355" spans="1:2">
      <c r="A355" s="70" t="s">
        <v>755</v>
      </c>
      <c r="B355" s="21">
        <v>110823</v>
      </c>
    </row>
    <row r="356" spans="1:2">
      <c r="A356" s="70" t="s">
        <v>756</v>
      </c>
      <c r="B356" s="21">
        <v>110063</v>
      </c>
    </row>
    <row r="357" spans="1:2">
      <c r="A357" s="70" t="s">
        <v>757</v>
      </c>
      <c r="B357" s="21">
        <v>107870</v>
      </c>
    </row>
    <row r="358" spans="1:2">
      <c r="A358" s="70" t="s">
        <v>758</v>
      </c>
      <c r="B358" s="21">
        <v>104770</v>
      </c>
    </row>
    <row r="359" spans="1:2">
      <c r="A359" s="70" t="s">
        <v>759</v>
      </c>
      <c r="B359" s="21">
        <v>112847</v>
      </c>
    </row>
    <row r="360" spans="1:2">
      <c r="A360" s="70" t="s">
        <v>760</v>
      </c>
      <c r="B360" s="21">
        <v>103108</v>
      </c>
    </row>
    <row r="361" spans="1:2">
      <c r="A361" s="70" t="s">
        <v>761</v>
      </c>
      <c r="B361" s="21"/>
    </row>
    <row r="362" spans="1:2">
      <c r="A362" s="70" t="s">
        <v>762</v>
      </c>
      <c r="B362" s="21">
        <v>101509</v>
      </c>
    </row>
    <row r="363" spans="1:2">
      <c r="A363" s="70" t="s">
        <v>763</v>
      </c>
      <c r="B363" s="21">
        <v>103945</v>
      </c>
    </row>
    <row r="364" spans="1:2">
      <c r="A364" s="70" t="s">
        <v>764</v>
      </c>
      <c r="B364" s="21">
        <v>115293</v>
      </c>
    </row>
    <row r="365" spans="1:2">
      <c r="A365" s="70" t="s">
        <v>765</v>
      </c>
      <c r="B365" s="21">
        <v>97453</v>
      </c>
    </row>
    <row r="366" spans="1:2">
      <c r="A366" s="70" t="s">
        <v>766</v>
      </c>
      <c r="B366" s="21"/>
    </row>
    <row r="367" spans="1:2">
      <c r="A367" s="70" t="s">
        <v>767</v>
      </c>
      <c r="B367" s="21"/>
    </row>
    <row r="368" spans="1:2">
      <c r="A368" s="70" t="s">
        <v>768</v>
      </c>
      <c r="B368" s="21"/>
    </row>
    <row r="369" spans="1:2">
      <c r="A369" s="70" t="s">
        <v>769</v>
      </c>
      <c r="B369" s="21"/>
    </row>
    <row r="370" spans="1:2">
      <c r="A370" s="70" t="s">
        <v>770</v>
      </c>
      <c r="B370" s="21"/>
    </row>
    <row r="371" spans="1:2">
      <c r="A371" s="70" t="s">
        <v>771</v>
      </c>
      <c r="B371" s="21">
        <v>109506</v>
      </c>
    </row>
    <row r="372" spans="1:2">
      <c r="A372" s="70" t="s">
        <v>772</v>
      </c>
      <c r="B372" s="21">
        <v>100659</v>
      </c>
    </row>
    <row r="373" spans="1:2">
      <c r="A373" s="70" t="s">
        <v>773</v>
      </c>
      <c r="B373" s="21">
        <v>99968</v>
      </c>
    </row>
    <row r="374" spans="1:2">
      <c r="A374" s="70" t="s">
        <v>774</v>
      </c>
      <c r="B374" s="21">
        <v>109113</v>
      </c>
    </row>
    <row r="375" spans="1:2">
      <c r="A375" s="70" t="s">
        <v>775</v>
      </c>
      <c r="B375" s="21"/>
    </row>
    <row r="376" spans="1:2">
      <c r="A376" s="70" t="s">
        <v>776</v>
      </c>
      <c r="B376" s="21">
        <v>102757</v>
      </c>
    </row>
    <row r="377" spans="1:2">
      <c r="A377" s="70" t="s">
        <v>777</v>
      </c>
      <c r="B377" s="21">
        <v>102897</v>
      </c>
    </row>
    <row r="378" spans="1:2">
      <c r="A378" s="70" t="s">
        <v>778</v>
      </c>
      <c r="B378" s="21"/>
    </row>
    <row r="379" spans="1:2">
      <c r="A379" s="70" t="s">
        <v>779</v>
      </c>
      <c r="B379" s="21"/>
    </row>
    <row r="380" spans="1:2">
      <c r="A380" s="70" t="s">
        <v>780</v>
      </c>
      <c r="B380" s="21"/>
    </row>
    <row r="381" spans="1:2">
      <c r="A381" s="70" t="s">
        <v>781</v>
      </c>
      <c r="B381" s="21">
        <v>115305</v>
      </c>
    </row>
    <row r="382" spans="1:2">
      <c r="A382" s="70" t="s">
        <v>782</v>
      </c>
      <c r="B382" s="21"/>
    </row>
    <row r="383" spans="1:2">
      <c r="A383" s="70" t="s">
        <v>783</v>
      </c>
      <c r="B383" s="21">
        <v>122189</v>
      </c>
    </row>
    <row r="384" spans="1:2">
      <c r="A384" s="70" t="s">
        <v>784</v>
      </c>
      <c r="B384" s="21">
        <v>109504</v>
      </c>
    </row>
    <row r="385" spans="1:2">
      <c r="A385" s="70" t="s">
        <v>785</v>
      </c>
      <c r="B385" s="21">
        <v>125567</v>
      </c>
    </row>
    <row r="386" spans="1:2">
      <c r="A386" s="70" t="s">
        <v>786</v>
      </c>
      <c r="B386" s="21">
        <v>111617</v>
      </c>
    </row>
    <row r="387" spans="1:2">
      <c r="A387" s="70" t="s">
        <v>787</v>
      </c>
      <c r="B387" s="21">
        <v>111796</v>
      </c>
    </row>
    <row r="388" spans="1:2">
      <c r="A388" s="70" t="s">
        <v>788</v>
      </c>
      <c r="B388" s="21">
        <v>106226</v>
      </c>
    </row>
    <row r="389" spans="1:2">
      <c r="A389" s="70" t="s">
        <v>789</v>
      </c>
      <c r="B389" s="21"/>
    </row>
    <row r="390" spans="1:2">
      <c r="A390" s="70" t="s">
        <v>790</v>
      </c>
      <c r="B390" s="21">
        <v>123139</v>
      </c>
    </row>
    <row r="391" spans="1:2">
      <c r="A391" s="70" t="s">
        <v>791</v>
      </c>
      <c r="B391" s="21">
        <v>105249</v>
      </c>
    </row>
    <row r="392" spans="1:2">
      <c r="A392" s="70" t="s">
        <v>792</v>
      </c>
      <c r="B392" s="21">
        <v>107876</v>
      </c>
    </row>
    <row r="393" spans="1:2">
      <c r="A393" s="70" t="s">
        <v>793</v>
      </c>
      <c r="B393" s="21">
        <v>107089</v>
      </c>
    </row>
    <row r="394" spans="1:2">
      <c r="A394" s="70" t="s">
        <v>794</v>
      </c>
      <c r="B394" s="21">
        <v>109999</v>
      </c>
    </row>
    <row r="395" spans="1:2">
      <c r="A395" s="70" t="s">
        <v>795</v>
      </c>
      <c r="B395" s="21">
        <v>110981</v>
      </c>
    </row>
    <row r="396" spans="1:2">
      <c r="A396" s="70" t="s">
        <v>796</v>
      </c>
      <c r="B396" s="21"/>
    </row>
    <row r="397" spans="1:2">
      <c r="A397" s="70" t="s">
        <v>797</v>
      </c>
      <c r="B397" s="21">
        <v>110585</v>
      </c>
    </row>
    <row r="398" spans="1:2">
      <c r="A398" s="70" t="s">
        <v>798</v>
      </c>
      <c r="B398" s="21"/>
    </row>
    <row r="399" spans="1:2">
      <c r="A399" s="70" t="s">
        <v>799</v>
      </c>
      <c r="B399" s="21">
        <v>114298</v>
      </c>
    </row>
    <row r="400" spans="1:2">
      <c r="A400" s="70" t="s">
        <v>800</v>
      </c>
      <c r="B400" s="21">
        <v>112249</v>
      </c>
    </row>
    <row r="401" spans="1:2">
      <c r="A401" s="70" t="s">
        <v>801</v>
      </c>
      <c r="B401" s="21">
        <v>109606</v>
      </c>
    </row>
    <row r="402" spans="1:2">
      <c r="A402" s="70" t="s">
        <v>802</v>
      </c>
      <c r="B402" s="21">
        <v>110033</v>
      </c>
    </row>
    <row r="403" spans="1:2">
      <c r="A403" s="70" t="s">
        <v>803</v>
      </c>
      <c r="B403" s="21"/>
    </row>
    <row r="404" spans="1:2">
      <c r="A404" s="70" t="s">
        <v>804</v>
      </c>
      <c r="B404" s="21">
        <v>113645</v>
      </c>
    </row>
    <row r="405" spans="1:2">
      <c r="A405" s="70" t="s">
        <v>805</v>
      </c>
      <c r="B405" s="21">
        <v>114766</v>
      </c>
    </row>
    <row r="406" spans="1:2">
      <c r="A406" s="70" t="s">
        <v>806</v>
      </c>
      <c r="B406" s="21">
        <v>112325</v>
      </c>
    </row>
    <row r="407" spans="1:2">
      <c r="A407" s="70" t="s">
        <v>807</v>
      </c>
      <c r="B407" s="21">
        <v>109821</v>
      </c>
    </row>
    <row r="408" spans="1:2">
      <c r="A408" s="70" t="s">
        <v>808</v>
      </c>
      <c r="B408" s="21">
        <v>108890</v>
      </c>
    </row>
    <row r="409" spans="1:2">
      <c r="A409" s="70" t="s">
        <v>809</v>
      </c>
      <c r="B409" s="21">
        <v>108406</v>
      </c>
    </row>
    <row r="410" spans="1:2">
      <c r="A410" s="70" t="s">
        <v>810</v>
      </c>
      <c r="B410" s="21"/>
    </row>
    <row r="411" spans="1:2">
      <c r="A411" s="70" t="s">
        <v>811</v>
      </c>
      <c r="B411" s="21">
        <v>112219</v>
      </c>
    </row>
    <row r="412" spans="1:2">
      <c r="A412" s="70" t="s">
        <v>812</v>
      </c>
      <c r="B412" s="21">
        <v>111397</v>
      </c>
    </row>
    <row r="413" spans="1:2">
      <c r="A413" s="70" t="s">
        <v>813</v>
      </c>
      <c r="B413" s="21">
        <v>113896</v>
      </c>
    </row>
    <row r="414" spans="1:2">
      <c r="A414" s="70" t="s">
        <v>814</v>
      </c>
      <c r="B414" s="21">
        <v>11560</v>
      </c>
    </row>
    <row r="415" spans="1:2">
      <c r="A415" s="70" t="s">
        <v>815</v>
      </c>
      <c r="B415" s="21">
        <v>113443</v>
      </c>
    </row>
    <row r="416" spans="1:2">
      <c r="A416" s="70" t="s">
        <v>816</v>
      </c>
      <c r="B416" s="21">
        <v>118453</v>
      </c>
    </row>
    <row r="417" spans="1:2">
      <c r="A417" s="70" t="s">
        <v>817</v>
      </c>
      <c r="B417" s="21"/>
    </row>
    <row r="418" spans="1:2">
      <c r="A418" s="70" t="s">
        <v>818</v>
      </c>
      <c r="B418" s="21">
        <v>111627</v>
      </c>
    </row>
    <row r="419" spans="1:2">
      <c r="A419" s="70" t="s">
        <v>819</v>
      </c>
      <c r="B419" s="21">
        <v>111666</v>
      </c>
    </row>
    <row r="420" spans="1:2">
      <c r="A420" s="70" t="s">
        <v>820</v>
      </c>
      <c r="B420" s="21">
        <v>115440</v>
      </c>
    </row>
    <row r="421" spans="1:2">
      <c r="A421" s="70" t="s">
        <v>821</v>
      </c>
      <c r="B421" s="21">
        <v>118804</v>
      </c>
    </row>
    <row r="422" spans="1:2">
      <c r="A422" s="70" t="s">
        <v>822</v>
      </c>
      <c r="B422" s="21">
        <v>120290</v>
      </c>
    </row>
    <row r="423" spans="1:2">
      <c r="A423" s="70" t="s">
        <v>823</v>
      </c>
      <c r="B423" s="21">
        <v>102578</v>
      </c>
    </row>
    <row r="424" spans="1:2">
      <c r="A424" s="70" t="s">
        <v>824</v>
      </c>
      <c r="B424" s="21"/>
    </row>
    <row r="425" spans="1:2">
      <c r="A425" s="70" t="s">
        <v>825</v>
      </c>
      <c r="B425" s="21">
        <v>114712</v>
      </c>
    </row>
    <row r="426" spans="1:2">
      <c r="A426" s="70" t="s">
        <v>826</v>
      </c>
      <c r="B426" s="21">
        <v>119581</v>
      </c>
    </row>
    <row r="427" spans="1:2">
      <c r="A427" s="70" t="s">
        <v>827</v>
      </c>
      <c r="B427" s="21">
        <v>119267</v>
      </c>
    </row>
    <row r="428" spans="1:2">
      <c r="A428" s="70" t="s">
        <v>828</v>
      </c>
      <c r="B428" s="21">
        <v>123481</v>
      </c>
    </row>
    <row r="429" spans="1:2">
      <c r="A429" s="70" t="s">
        <v>829</v>
      </c>
      <c r="B429" s="21">
        <v>123426</v>
      </c>
    </row>
    <row r="430" spans="1:2">
      <c r="A430" s="70" t="s">
        <v>830</v>
      </c>
      <c r="B430" s="21">
        <v>121181</v>
      </c>
    </row>
    <row r="431" spans="1:2">
      <c r="A431" s="70" t="s">
        <v>831</v>
      </c>
      <c r="B431" s="21"/>
    </row>
    <row r="432" spans="1:2">
      <c r="A432" s="70" t="s">
        <v>832</v>
      </c>
      <c r="B432" s="21">
        <v>121307</v>
      </c>
    </row>
    <row r="433" spans="1:2">
      <c r="A433" s="70" t="s">
        <v>833</v>
      </c>
      <c r="B433" s="21">
        <v>122438</v>
      </c>
    </row>
    <row r="434" spans="1:2">
      <c r="A434" s="70" t="s">
        <v>834</v>
      </c>
      <c r="B434" s="21"/>
    </row>
    <row r="435" spans="1:2">
      <c r="A435" s="70" t="s">
        <v>835</v>
      </c>
      <c r="B435" s="21">
        <v>125924</v>
      </c>
    </row>
    <row r="436" spans="1:2">
      <c r="A436" s="70" t="s">
        <v>836</v>
      </c>
      <c r="B436" s="21">
        <v>121498</v>
      </c>
    </row>
    <row r="437" spans="1:2">
      <c r="A437" s="70" t="s">
        <v>837</v>
      </c>
      <c r="B437" s="21">
        <v>123350</v>
      </c>
    </row>
    <row r="438" spans="1:2">
      <c r="A438" s="70" t="s">
        <v>838</v>
      </c>
      <c r="B438" s="21"/>
    </row>
    <row r="439" spans="1:2">
      <c r="A439" s="70" t="s">
        <v>839</v>
      </c>
      <c r="B439" s="21">
        <v>124215</v>
      </c>
    </row>
    <row r="440" spans="1:2">
      <c r="A440" s="70" t="s">
        <v>840</v>
      </c>
      <c r="B440" s="21">
        <v>121900</v>
      </c>
    </row>
    <row r="441" spans="1:2">
      <c r="A441" s="70" t="s">
        <v>841</v>
      </c>
      <c r="B441" s="21">
        <v>125188</v>
      </c>
    </row>
    <row r="442" spans="1:2">
      <c r="A442" s="70" t="s">
        <v>842</v>
      </c>
      <c r="B442" s="21"/>
    </row>
    <row r="443" spans="1:2">
      <c r="A443" s="70" t="s">
        <v>843</v>
      </c>
      <c r="B443" s="21"/>
    </row>
    <row r="444" spans="1:2">
      <c r="A444" s="70" t="s">
        <v>844</v>
      </c>
      <c r="B444" s="21"/>
    </row>
    <row r="445" spans="1:2">
      <c r="A445" s="70" t="s">
        <v>845</v>
      </c>
      <c r="B445" s="21"/>
    </row>
    <row r="446" spans="1:2">
      <c r="A446" s="70" t="s">
        <v>846</v>
      </c>
      <c r="B446" s="21">
        <v>123916</v>
      </c>
    </row>
    <row r="447" spans="1:2">
      <c r="A447" s="70" t="s">
        <v>847</v>
      </c>
      <c r="B447" s="21">
        <v>127434</v>
      </c>
    </row>
    <row r="448" spans="1:2">
      <c r="A448" s="70" t="s">
        <v>848</v>
      </c>
      <c r="B448" s="21">
        <v>123914</v>
      </c>
    </row>
    <row r="449" spans="1:2">
      <c r="A449" s="70" t="s">
        <v>849</v>
      </c>
      <c r="B449" s="21">
        <v>122701</v>
      </c>
    </row>
    <row r="450" spans="1:2">
      <c r="A450" s="70" t="s">
        <v>850</v>
      </c>
      <c r="B450" s="21">
        <v>123068</v>
      </c>
    </row>
    <row r="451" spans="1:2">
      <c r="A451" s="70" t="s">
        <v>851</v>
      </c>
      <c r="B451" s="21">
        <v>128969</v>
      </c>
    </row>
    <row r="452" spans="1:2">
      <c r="A452" s="70" t="s">
        <v>852</v>
      </c>
      <c r="B452" s="21"/>
    </row>
    <row r="453" spans="1:2">
      <c r="A453" s="70" t="s">
        <v>853</v>
      </c>
      <c r="B453" s="21">
        <v>121924</v>
      </c>
    </row>
    <row r="454" spans="1:2">
      <c r="A454" s="70" t="s">
        <v>854</v>
      </c>
      <c r="B454" s="21">
        <v>123449</v>
      </c>
    </row>
    <row r="455" spans="1:2">
      <c r="A455" s="70" t="s">
        <v>855</v>
      </c>
      <c r="B455" s="21">
        <v>126431</v>
      </c>
    </row>
    <row r="456" spans="1:2">
      <c r="A456" s="70" t="s">
        <v>856</v>
      </c>
      <c r="B456" s="21">
        <v>124765</v>
      </c>
    </row>
    <row r="457" spans="1:2">
      <c r="A457" s="70" t="s">
        <v>857</v>
      </c>
      <c r="B457" s="21">
        <v>124848</v>
      </c>
    </row>
    <row r="458" spans="1:2">
      <c r="A458" s="70" t="s">
        <v>858</v>
      </c>
      <c r="B458" s="21">
        <v>125939</v>
      </c>
    </row>
    <row r="459" spans="1:2">
      <c r="A459" s="70" t="s">
        <v>859</v>
      </c>
      <c r="B459" s="21"/>
    </row>
    <row r="460" spans="1:2">
      <c r="A460" s="70" t="s">
        <v>860</v>
      </c>
      <c r="B460" s="21">
        <v>123478</v>
      </c>
    </row>
    <row r="461" spans="1:2">
      <c r="A461" s="70" t="s">
        <v>861</v>
      </c>
      <c r="B461" s="21">
        <v>126266</v>
      </c>
    </row>
    <row r="462" spans="1:2">
      <c r="A462" s="70" t="s">
        <v>862</v>
      </c>
      <c r="B462" s="21">
        <v>124421</v>
      </c>
    </row>
    <row r="463" spans="1:2">
      <c r="A463" s="70" t="s">
        <v>863</v>
      </c>
      <c r="B463" s="21">
        <v>123934</v>
      </c>
    </row>
    <row r="464" spans="1:2">
      <c r="A464" s="70" t="s">
        <v>864</v>
      </c>
      <c r="B464" s="21">
        <v>127365</v>
      </c>
    </row>
    <row r="465" spans="1:2">
      <c r="A465" s="70" t="s">
        <v>865</v>
      </c>
      <c r="B465" s="21">
        <v>126803</v>
      </c>
    </row>
    <row r="466" spans="1:2">
      <c r="A466" s="70" t="s">
        <v>866</v>
      </c>
      <c r="B466" s="21"/>
    </row>
    <row r="467" spans="1:2">
      <c r="A467" s="70" t="s">
        <v>867</v>
      </c>
      <c r="B467" s="21"/>
    </row>
    <row r="468" spans="1:2">
      <c r="A468" s="70" t="s">
        <v>868</v>
      </c>
      <c r="B468" s="21">
        <v>125426</v>
      </c>
    </row>
    <row r="469" spans="1:2">
      <c r="A469" s="70" t="s">
        <v>869</v>
      </c>
      <c r="B469" s="21">
        <v>130603</v>
      </c>
    </row>
    <row r="470" spans="1:2">
      <c r="A470" s="70" t="s">
        <v>870</v>
      </c>
      <c r="B470" s="21">
        <v>126418</v>
      </c>
    </row>
    <row r="471" spans="1:2">
      <c r="A471" s="70" t="s">
        <v>871</v>
      </c>
      <c r="B471" s="21">
        <v>128513</v>
      </c>
    </row>
    <row r="472" spans="1:2">
      <c r="A472" s="70" t="s">
        <v>872</v>
      </c>
      <c r="B472" s="21">
        <v>129309</v>
      </c>
    </row>
    <row r="473" spans="1:2">
      <c r="A473" s="70" t="s">
        <v>873</v>
      </c>
      <c r="B473" s="21"/>
    </row>
    <row r="474" spans="1:2">
      <c r="A474" s="70" t="s">
        <v>874</v>
      </c>
      <c r="B474" s="21">
        <v>131271</v>
      </c>
    </row>
    <row r="475" spans="1:2">
      <c r="A475" s="70" t="s">
        <v>875</v>
      </c>
      <c r="B475" s="21">
        <v>130636</v>
      </c>
    </row>
    <row r="476" spans="1:2">
      <c r="A476" s="70" t="s">
        <v>876</v>
      </c>
      <c r="B476" s="21">
        <v>130902</v>
      </c>
    </row>
    <row r="477" spans="1:2">
      <c r="A477" s="70" t="s">
        <v>877</v>
      </c>
      <c r="B477" s="21">
        <v>131021</v>
      </c>
    </row>
    <row r="478" spans="1:2">
      <c r="A478" s="70" t="s">
        <v>878</v>
      </c>
      <c r="B478" s="21">
        <v>131484</v>
      </c>
    </row>
    <row r="479" spans="1:2">
      <c r="A479" s="70" t="s">
        <v>879</v>
      </c>
      <c r="B479" s="21">
        <v>130855</v>
      </c>
    </row>
    <row r="480" spans="1:2">
      <c r="A480" s="70" t="s">
        <v>880</v>
      </c>
      <c r="B480" s="21"/>
    </row>
    <row r="481" spans="1:2">
      <c r="A481" s="70" t="s">
        <v>881</v>
      </c>
      <c r="B481" s="21">
        <v>130933</v>
      </c>
    </row>
    <row r="482" spans="1:2">
      <c r="A482" s="70" t="s">
        <v>882</v>
      </c>
      <c r="B482" s="21">
        <v>131713</v>
      </c>
    </row>
    <row r="483" spans="1:2">
      <c r="A483" s="70" t="s">
        <v>883</v>
      </c>
      <c r="B483" s="21">
        <v>130506</v>
      </c>
    </row>
    <row r="484" spans="1:2">
      <c r="A484" s="70" t="s">
        <v>884</v>
      </c>
      <c r="B484" s="21">
        <v>131023</v>
      </c>
    </row>
    <row r="485" spans="1:2">
      <c r="A485" s="70" t="s">
        <v>885</v>
      </c>
      <c r="B485" s="21">
        <v>131132</v>
      </c>
    </row>
    <row r="486" spans="1:2">
      <c r="A486" s="70" t="s">
        <v>886</v>
      </c>
      <c r="B486" s="21">
        <v>132330</v>
      </c>
    </row>
    <row r="487" spans="1:2">
      <c r="A487" s="70" t="s">
        <v>887</v>
      </c>
      <c r="B487" s="21"/>
    </row>
    <row r="488" spans="1:2">
      <c r="A488" s="70" t="s">
        <v>888</v>
      </c>
      <c r="B488" s="21">
        <v>131445</v>
      </c>
    </row>
    <row r="489" spans="1:2">
      <c r="A489" s="70" t="s">
        <v>889</v>
      </c>
      <c r="B489" s="21">
        <v>129589</v>
      </c>
    </row>
    <row r="490" spans="1:2">
      <c r="A490" s="70" t="s">
        <v>890</v>
      </c>
      <c r="B490" s="21">
        <v>130668</v>
      </c>
    </row>
    <row r="491" spans="1:2">
      <c r="A491" s="70" t="s">
        <v>891</v>
      </c>
      <c r="B491" s="21">
        <v>128744</v>
      </c>
    </row>
    <row r="492" spans="1:2">
      <c r="A492" s="70" t="s">
        <v>892</v>
      </c>
      <c r="B492" s="21">
        <v>129429</v>
      </c>
    </row>
    <row r="493" spans="1:2">
      <c r="A493" s="70" t="s">
        <v>893</v>
      </c>
      <c r="B493" s="21">
        <v>129816</v>
      </c>
    </row>
    <row r="494" spans="1:2">
      <c r="A494" s="70" t="s">
        <v>894</v>
      </c>
      <c r="B494" s="21"/>
    </row>
    <row r="495" spans="1:2">
      <c r="A495" s="70" t="s">
        <v>895</v>
      </c>
      <c r="B495" s="21">
        <v>128992</v>
      </c>
    </row>
    <row r="496" spans="1:2">
      <c r="A496" s="70" t="s">
        <v>896</v>
      </c>
      <c r="B496" s="21">
        <v>129356</v>
      </c>
    </row>
    <row r="497" spans="1:2">
      <c r="A497" s="70" t="s">
        <v>897</v>
      </c>
      <c r="B497" s="21">
        <v>129611</v>
      </c>
    </row>
    <row r="498" spans="1:2">
      <c r="A498" s="70" t="s">
        <v>898</v>
      </c>
      <c r="B498" s="21">
        <v>130354</v>
      </c>
    </row>
    <row r="499" spans="1:2">
      <c r="A499" s="70" t="s">
        <v>899</v>
      </c>
      <c r="B499" s="21">
        <v>128590</v>
      </c>
    </row>
    <row r="500" spans="1:2">
      <c r="A500" s="70" t="s">
        <v>900</v>
      </c>
      <c r="B500" s="21">
        <v>129896</v>
      </c>
    </row>
    <row r="501" spans="1:2">
      <c r="A501" s="70" t="s">
        <v>901</v>
      </c>
      <c r="B501" s="21"/>
    </row>
    <row r="502" spans="1:2">
      <c r="A502" s="70" t="s">
        <v>902</v>
      </c>
      <c r="B502" s="21">
        <v>129670</v>
      </c>
    </row>
    <row r="503" spans="1:2">
      <c r="A503" s="70" t="s">
        <v>903</v>
      </c>
      <c r="B503" s="21">
        <v>129117</v>
      </c>
    </row>
    <row r="504" spans="1:2">
      <c r="A504" s="70" t="s">
        <v>904</v>
      </c>
      <c r="B504" s="21">
        <v>129970</v>
      </c>
    </row>
    <row r="505" spans="1:2">
      <c r="A505" s="70" t="s">
        <v>905</v>
      </c>
      <c r="B505" s="21">
        <v>127868</v>
      </c>
    </row>
    <row r="506" spans="1:2">
      <c r="A506" s="70" t="s">
        <v>906</v>
      </c>
      <c r="B506" s="21">
        <v>130335</v>
      </c>
    </row>
    <row r="507" spans="1:2">
      <c r="A507" s="70" t="s">
        <v>907</v>
      </c>
      <c r="B507" s="21">
        <v>130282</v>
      </c>
    </row>
    <row r="508" spans="1:2">
      <c r="A508" s="70" t="s">
        <v>908</v>
      </c>
      <c r="B508" s="21"/>
    </row>
    <row r="509" spans="1:2">
      <c r="A509" s="70" t="s">
        <v>909</v>
      </c>
      <c r="B509" s="21">
        <v>128610</v>
      </c>
    </row>
    <row r="510" spans="1:2">
      <c r="A510" s="70" t="s">
        <v>910</v>
      </c>
      <c r="B510" s="21">
        <v>127747</v>
      </c>
    </row>
    <row r="511" spans="1:2">
      <c r="A511" s="70" t="s">
        <v>911</v>
      </c>
      <c r="B511" s="21"/>
    </row>
    <row r="512" spans="1:2">
      <c r="A512" s="70" t="s">
        <v>912</v>
      </c>
      <c r="B512" s="21">
        <v>128859</v>
      </c>
    </row>
    <row r="513" spans="1:2">
      <c r="A513" s="70" t="s">
        <v>913</v>
      </c>
      <c r="B513" s="21">
        <v>127340</v>
      </c>
    </row>
    <row r="514" spans="1:2">
      <c r="A514" s="70" t="s">
        <v>914</v>
      </c>
      <c r="B514" s="21">
        <v>127636</v>
      </c>
    </row>
    <row r="515" spans="1:2">
      <c r="A515" s="70" t="s">
        <v>915</v>
      </c>
      <c r="B515" s="21"/>
    </row>
    <row r="516" spans="1:2">
      <c r="A516" s="70" t="s">
        <v>916</v>
      </c>
      <c r="B516" s="21">
        <v>129179</v>
      </c>
    </row>
    <row r="517" spans="1:2">
      <c r="A517" s="70" t="s">
        <v>917</v>
      </c>
      <c r="B517" s="21">
        <v>128265</v>
      </c>
    </row>
    <row r="518" spans="1:2">
      <c r="A518" s="70" t="s">
        <v>918</v>
      </c>
      <c r="B518" s="21">
        <v>126665</v>
      </c>
    </row>
    <row r="519" spans="1:2">
      <c r="A519" s="70" t="s">
        <v>919</v>
      </c>
      <c r="B519" s="21"/>
    </row>
    <row r="520" spans="1:2">
      <c r="A520" s="70" t="s">
        <v>920</v>
      </c>
      <c r="B520" s="21">
        <v>127368</v>
      </c>
    </row>
    <row r="521" spans="1:2">
      <c r="A521" s="70" t="s">
        <v>921</v>
      </c>
      <c r="B521" s="21">
        <v>126863</v>
      </c>
    </row>
    <row r="522" spans="1:2">
      <c r="A522" s="70" t="s">
        <v>922</v>
      </c>
      <c r="B522" s="21"/>
    </row>
    <row r="523" spans="1:2">
      <c r="A523" s="70" t="s">
        <v>923</v>
      </c>
      <c r="B523" s="21">
        <v>126166</v>
      </c>
    </row>
    <row r="524" spans="1:2">
      <c r="A524" s="70" t="s">
        <v>924</v>
      </c>
      <c r="B524" s="21">
        <v>126329</v>
      </c>
    </row>
    <row r="525" spans="1:2">
      <c r="A525" s="70" t="s">
        <v>925</v>
      </c>
      <c r="B525" s="21">
        <v>125820</v>
      </c>
    </row>
    <row r="526" spans="1:2">
      <c r="A526" s="70" t="s">
        <v>926</v>
      </c>
      <c r="B526" s="21">
        <v>125340</v>
      </c>
    </row>
    <row r="527" spans="1:2">
      <c r="A527" s="70" t="s">
        <v>927</v>
      </c>
      <c r="B527" s="21">
        <v>124936</v>
      </c>
    </row>
    <row r="528" spans="1:2">
      <c r="A528" s="70" t="s">
        <v>928</v>
      </c>
      <c r="B528" s="21">
        <v>125409</v>
      </c>
    </row>
    <row r="529" spans="1:2">
      <c r="A529" s="70" t="s">
        <v>929</v>
      </c>
      <c r="B529" s="21"/>
    </row>
    <row r="530" spans="1:2">
      <c r="A530" s="70" t="s">
        <v>930</v>
      </c>
      <c r="B530" s="21">
        <v>126236</v>
      </c>
    </row>
    <row r="531" spans="1:2">
      <c r="A531" s="70" t="s">
        <v>931</v>
      </c>
      <c r="B531" s="21">
        <v>119572</v>
      </c>
    </row>
    <row r="532" spans="1:2">
      <c r="A532" s="70" t="s">
        <v>932</v>
      </c>
      <c r="B532" s="21">
        <v>120906</v>
      </c>
    </row>
    <row r="533" spans="1:2">
      <c r="A533" s="70" t="s">
        <v>933</v>
      </c>
      <c r="B533" s="21">
        <v>121891</v>
      </c>
    </row>
    <row r="534" spans="1:2">
      <c r="A534" s="70" t="s">
        <v>934</v>
      </c>
      <c r="B534" s="21">
        <v>120865</v>
      </c>
    </row>
    <row r="535" spans="1:2">
      <c r="A535" s="70" t="s">
        <v>935</v>
      </c>
      <c r="B535" s="21">
        <v>121755</v>
      </c>
    </row>
    <row r="536" spans="1:2">
      <c r="A536" s="70" t="s">
        <v>936</v>
      </c>
      <c r="B536" s="21"/>
    </row>
    <row r="537" spans="1:2">
      <c r="A537" s="70" t="s">
        <v>937</v>
      </c>
      <c r="B537" s="21">
        <v>120991</v>
      </c>
    </row>
    <row r="538" spans="1:2">
      <c r="A538" s="70" t="s">
        <v>938</v>
      </c>
      <c r="B538" s="21">
        <v>122298</v>
      </c>
    </row>
    <row r="539" spans="1:2">
      <c r="A539" s="70" t="s">
        <v>939</v>
      </c>
      <c r="B539" s="21"/>
    </row>
    <row r="540" spans="1:2">
      <c r="A540" s="70" t="s">
        <v>940</v>
      </c>
      <c r="B540" s="21"/>
    </row>
    <row r="541" spans="1:2">
      <c r="A541" s="70" t="s">
        <v>941</v>
      </c>
      <c r="B541" s="21">
        <v>120018</v>
      </c>
    </row>
    <row r="542" spans="1:2">
      <c r="A542" s="70" t="s">
        <v>942</v>
      </c>
      <c r="B542" s="21">
        <v>122551</v>
      </c>
    </row>
    <row r="543" spans="1:2">
      <c r="A543" s="70" t="s">
        <v>943</v>
      </c>
      <c r="B543" s="21"/>
    </row>
    <row r="544" spans="1:2">
      <c r="A544" s="70" t="s">
        <v>944</v>
      </c>
      <c r="B544" s="21">
        <v>123981</v>
      </c>
    </row>
    <row r="545" spans="1:2">
      <c r="A545" s="70" t="s">
        <v>945</v>
      </c>
      <c r="B545" s="21">
        <v>122615</v>
      </c>
    </row>
    <row r="546" spans="1:2">
      <c r="A546" s="70" t="s">
        <v>946</v>
      </c>
      <c r="B546" s="21">
        <v>122662</v>
      </c>
    </row>
    <row r="547" spans="1:2">
      <c r="A547" s="70" t="s">
        <v>947</v>
      </c>
      <c r="B547" s="21">
        <v>121620</v>
      </c>
    </row>
    <row r="548" spans="1:2">
      <c r="A548" s="70" t="s">
        <v>948</v>
      </c>
      <c r="B548" s="21">
        <v>121937</v>
      </c>
    </row>
    <row r="549" spans="1:2">
      <c r="A549" s="70" t="s">
        <v>949</v>
      </c>
      <c r="B549" s="21">
        <v>122843</v>
      </c>
    </row>
    <row r="550" spans="1:2">
      <c r="A550" s="70" t="s">
        <v>950</v>
      </c>
      <c r="B550" s="21"/>
    </row>
    <row r="551" spans="1:2">
      <c r="A551" s="70" t="s">
        <v>951</v>
      </c>
      <c r="B551" s="21">
        <v>122328</v>
      </c>
    </row>
    <row r="552" spans="1:2">
      <c r="A552" s="70" t="s">
        <v>952</v>
      </c>
      <c r="B552" s="21">
        <v>120318</v>
      </c>
    </row>
    <row r="553" spans="1:2">
      <c r="A553" s="70" t="s">
        <v>953</v>
      </c>
      <c r="B553" s="21">
        <v>121747</v>
      </c>
    </row>
    <row r="554" spans="1:2">
      <c r="A554" s="70" t="s">
        <v>954</v>
      </c>
      <c r="B554" s="21">
        <v>122129</v>
      </c>
    </row>
    <row r="555" spans="1:2">
      <c r="A555" s="70" t="s">
        <v>955</v>
      </c>
      <c r="B555" s="21">
        <v>121947</v>
      </c>
    </row>
    <row r="556" spans="1:2">
      <c r="A556" s="70" t="s">
        <v>956</v>
      </c>
      <c r="B556" s="21">
        <v>121565</v>
      </c>
    </row>
    <row r="557" spans="1:2">
      <c r="A557" s="70" t="s">
        <v>957</v>
      </c>
      <c r="B557" s="21"/>
    </row>
    <row r="558" spans="1:2">
      <c r="A558" s="70" t="s">
        <v>958</v>
      </c>
      <c r="B558" s="21">
        <v>121451</v>
      </c>
    </row>
    <row r="559" spans="1:2">
      <c r="A559" s="70" t="s">
        <v>959</v>
      </c>
      <c r="B559" s="21">
        <v>119869</v>
      </c>
    </row>
    <row r="560" spans="1:2">
      <c r="A560" s="70" t="s">
        <v>960</v>
      </c>
      <c r="B560" s="21">
        <v>119861</v>
      </c>
    </row>
    <row r="561" spans="1:2">
      <c r="A561" s="70" t="s">
        <v>961</v>
      </c>
      <c r="B561" s="21">
        <v>121329</v>
      </c>
    </row>
    <row r="562" spans="1:2">
      <c r="A562" s="70" t="s">
        <v>962</v>
      </c>
      <c r="B562" s="21">
        <v>120935</v>
      </c>
    </row>
    <row r="563" spans="1:2">
      <c r="A563" s="70" t="s">
        <v>963</v>
      </c>
      <c r="B563" s="21">
        <v>120835</v>
      </c>
    </row>
    <row r="564" spans="1:2">
      <c r="A564" s="70" t="s">
        <v>964</v>
      </c>
      <c r="B564" s="21"/>
    </row>
    <row r="565" spans="1:2">
      <c r="A565" s="70" t="s">
        <v>965</v>
      </c>
      <c r="B565" s="21">
        <v>119355</v>
      </c>
    </row>
    <row r="566" spans="1:2">
      <c r="A566" s="70" t="s">
        <v>966</v>
      </c>
      <c r="B566" s="21">
        <v>121792</v>
      </c>
    </row>
    <row r="567" spans="1:2">
      <c r="A567" s="70" t="s">
        <v>967</v>
      </c>
      <c r="B567" s="21">
        <v>118843</v>
      </c>
    </row>
    <row r="568" spans="1:2">
      <c r="A568" s="70" t="s">
        <v>968</v>
      </c>
      <c r="B568" s="21">
        <v>119788</v>
      </c>
    </row>
    <row r="569" spans="1:2">
      <c r="A569" s="70" t="s">
        <v>969</v>
      </c>
      <c r="B569" s="21">
        <v>107436</v>
      </c>
    </row>
    <row r="570" spans="1:2">
      <c r="A570" s="70" t="s">
        <v>970</v>
      </c>
      <c r="B570" s="21">
        <v>118111</v>
      </c>
    </row>
    <row r="571" spans="1:2">
      <c r="A571" s="70" t="s">
        <v>971</v>
      </c>
      <c r="B571" s="21"/>
    </row>
    <row r="572" spans="1:2">
      <c r="A572" s="70" t="s">
        <v>972</v>
      </c>
      <c r="B572" s="21">
        <v>117843</v>
      </c>
    </row>
    <row r="573" spans="1:2">
      <c r="A573" s="70" t="s">
        <v>973</v>
      </c>
      <c r="B573" s="21">
        <v>119916</v>
      </c>
    </row>
    <row r="574" spans="1:2">
      <c r="A574" s="70" t="s">
        <v>974</v>
      </c>
      <c r="B574" s="21">
        <v>119639</v>
      </c>
    </row>
    <row r="575" spans="1:2">
      <c r="A575" s="70" t="s">
        <v>975</v>
      </c>
      <c r="B575" s="21">
        <v>119118</v>
      </c>
    </row>
    <row r="576" spans="1:2">
      <c r="A576" s="70" t="s">
        <v>976</v>
      </c>
      <c r="B576" s="21">
        <v>120198</v>
      </c>
    </row>
    <row r="577" spans="1:2">
      <c r="A577" s="70" t="s">
        <v>977</v>
      </c>
      <c r="B577" s="21">
        <v>119141</v>
      </c>
    </row>
    <row r="578" spans="1:2">
      <c r="A578" s="70" t="s">
        <v>978</v>
      </c>
      <c r="B578" s="21"/>
    </row>
    <row r="579" spans="1:2">
      <c r="A579" s="70" t="s">
        <v>979</v>
      </c>
      <c r="B579" s="21"/>
    </row>
    <row r="580" spans="1:2">
      <c r="A580" s="70" t="s">
        <v>980</v>
      </c>
      <c r="B580" s="21">
        <v>118957</v>
      </c>
    </row>
    <row r="581" spans="1:2">
      <c r="A581" s="70" t="s">
        <v>981</v>
      </c>
      <c r="B581" s="21">
        <v>119824</v>
      </c>
    </row>
    <row r="582" spans="1:2">
      <c r="A582" s="70" t="s">
        <v>982</v>
      </c>
      <c r="B582" s="21">
        <v>119376</v>
      </c>
    </row>
    <row r="583" spans="1:2">
      <c r="A583" s="70" t="s">
        <v>983</v>
      </c>
      <c r="B583" s="21">
        <v>120019</v>
      </c>
    </row>
    <row r="584" spans="1:2">
      <c r="A584" s="70" t="s">
        <v>984</v>
      </c>
      <c r="B584" s="21">
        <v>119913</v>
      </c>
    </row>
    <row r="585" spans="1:2">
      <c r="A585" s="70" t="s">
        <v>985</v>
      </c>
      <c r="B585" s="21"/>
    </row>
    <row r="586" spans="1:2">
      <c r="A586" s="70" t="s">
        <v>986</v>
      </c>
      <c r="B586" s="21">
        <v>119698</v>
      </c>
    </row>
    <row r="587" spans="1:2">
      <c r="A587" s="70" t="s">
        <v>987</v>
      </c>
      <c r="B587" s="21"/>
    </row>
    <row r="588" spans="1:2">
      <c r="A588" s="70" t="s">
        <v>988</v>
      </c>
      <c r="B588" s="21">
        <v>119187</v>
      </c>
    </row>
    <row r="589" spans="1:2">
      <c r="A589" s="70" t="s">
        <v>989</v>
      </c>
      <c r="B589" s="21"/>
    </row>
    <row r="590" spans="1:2">
      <c r="A590" s="70" t="s">
        <v>990</v>
      </c>
      <c r="B590" s="21">
        <v>118787</v>
      </c>
    </row>
    <row r="591" spans="1:2">
      <c r="A591" s="70" t="s">
        <v>991</v>
      </c>
      <c r="B591" s="21">
        <v>119781</v>
      </c>
    </row>
    <row r="592" spans="1:2">
      <c r="A592" s="70" t="s">
        <v>992</v>
      </c>
      <c r="B592" s="21"/>
    </row>
    <row r="593" spans="1:2">
      <c r="A593" s="70" t="s">
        <v>993</v>
      </c>
      <c r="B593" s="21">
        <v>119566</v>
      </c>
    </row>
    <row r="594" spans="1:2">
      <c r="A594" s="70" t="s">
        <v>994</v>
      </c>
      <c r="B594" s="21">
        <v>118555</v>
      </c>
    </row>
    <row r="595" spans="1:2">
      <c r="A595" s="70" t="s">
        <v>995</v>
      </c>
      <c r="B595" s="21">
        <v>120377</v>
      </c>
    </row>
    <row r="596" spans="1:2">
      <c r="A596" s="70" t="s">
        <v>996</v>
      </c>
      <c r="B596" s="21">
        <v>119562</v>
      </c>
    </row>
    <row r="597" spans="1:2">
      <c r="A597" s="70" t="s">
        <v>997</v>
      </c>
      <c r="B597" s="21"/>
    </row>
    <row r="598" spans="1:2">
      <c r="A598" s="70" t="s">
        <v>998</v>
      </c>
      <c r="B598" s="21">
        <v>118056</v>
      </c>
    </row>
    <row r="599" spans="1:2">
      <c r="A599" s="70" t="s">
        <v>999</v>
      </c>
      <c r="B599" s="21"/>
    </row>
    <row r="600" spans="1:2">
      <c r="A600" s="70" t="s">
        <v>1000</v>
      </c>
      <c r="B600" s="21">
        <v>121278</v>
      </c>
    </row>
    <row r="601" spans="1:2">
      <c r="A601" s="70" t="s">
        <v>1001</v>
      </c>
      <c r="B601" s="21">
        <v>119035</v>
      </c>
    </row>
    <row r="602" spans="1:2">
      <c r="A602" s="70" t="s">
        <v>1002</v>
      </c>
      <c r="B602" s="21">
        <v>119255</v>
      </c>
    </row>
    <row r="603" spans="1:2">
      <c r="A603" s="70" t="s">
        <v>1003</v>
      </c>
      <c r="B603" s="21">
        <v>119644</v>
      </c>
    </row>
    <row r="604" spans="1:2">
      <c r="A604" s="70" t="s">
        <v>1004</v>
      </c>
      <c r="B604" s="21">
        <v>118543</v>
      </c>
    </row>
    <row r="605" spans="1:2">
      <c r="A605" s="70" t="s">
        <v>1005</v>
      </c>
      <c r="B605" s="21">
        <v>118716</v>
      </c>
    </row>
    <row r="606" spans="1:2">
      <c r="A606" s="70" t="s">
        <v>1006</v>
      </c>
      <c r="B606" s="21"/>
    </row>
    <row r="607" spans="1:2">
      <c r="A607" s="70" t="s">
        <v>1007</v>
      </c>
      <c r="B607" s="21">
        <v>118459</v>
      </c>
    </row>
    <row r="608" spans="1:2">
      <c r="A608" s="70" t="s">
        <v>1008</v>
      </c>
      <c r="B608" s="21">
        <v>118885</v>
      </c>
    </row>
    <row r="609" spans="1:2">
      <c r="A609" s="70" t="s">
        <v>1009</v>
      </c>
      <c r="B609" s="21">
        <v>119622</v>
      </c>
    </row>
    <row r="610" spans="1:2">
      <c r="A610" s="70" t="s">
        <v>1010</v>
      </c>
      <c r="B610" s="21">
        <v>120372</v>
      </c>
    </row>
    <row r="611" spans="1:2">
      <c r="A611" s="70" t="s">
        <v>1011</v>
      </c>
      <c r="B611" s="21">
        <v>120134</v>
      </c>
    </row>
    <row r="612" spans="1:2">
      <c r="A612" s="70" t="s">
        <v>1012</v>
      </c>
      <c r="B612" s="21">
        <v>119031</v>
      </c>
    </row>
    <row r="613" spans="1:2">
      <c r="A613" s="70" t="s">
        <v>1013</v>
      </c>
      <c r="B613" s="21"/>
    </row>
    <row r="614" spans="1:2">
      <c r="A614" s="70" t="s">
        <v>1014</v>
      </c>
      <c r="B614" s="21">
        <v>119248</v>
      </c>
    </row>
    <row r="615" spans="1:2">
      <c r="A615" s="70" t="s">
        <v>1015</v>
      </c>
      <c r="B615" s="21">
        <v>120021</v>
      </c>
    </row>
    <row r="616" spans="1:2">
      <c r="A616" s="70" t="s">
        <v>1016</v>
      </c>
      <c r="B616" s="21">
        <v>120296</v>
      </c>
    </row>
    <row r="617" spans="1:2">
      <c r="A617" s="70" t="s">
        <v>1017</v>
      </c>
      <c r="B617" s="21">
        <v>119060</v>
      </c>
    </row>
    <row r="618" spans="1:2">
      <c r="A618" s="70" t="s">
        <v>1018</v>
      </c>
      <c r="B618" s="21">
        <v>120848</v>
      </c>
    </row>
    <row r="619" spans="1:2">
      <c r="A619" s="70" t="s">
        <v>1019</v>
      </c>
      <c r="B619" s="21">
        <v>118980</v>
      </c>
    </row>
    <row r="620" spans="1:2">
      <c r="A620" s="70" t="s">
        <v>1020</v>
      </c>
      <c r="B620" s="21"/>
    </row>
    <row r="621" spans="1:2">
      <c r="A621" s="70" t="s">
        <v>1021</v>
      </c>
      <c r="B621" s="21">
        <v>120395</v>
      </c>
    </row>
    <row r="622" spans="1:2">
      <c r="A622" s="70" t="s">
        <v>1022</v>
      </c>
      <c r="B622" s="21">
        <v>120223</v>
      </c>
    </row>
    <row r="623" spans="1:2">
      <c r="A623" s="70" t="s">
        <v>1023</v>
      </c>
      <c r="B623" s="21">
        <v>121361</v>
      </c>
    </row>
    <row r="624" spans="1:2">
      <c r="A624" s="70" t="s">
        <v>1024</v>
      </c>
      <c r="B624" s="21">
        <v>120624</v>
      </c>
    </row>
    <row r="625" spans="1:2">
      <c r="A625" s="70" t="s">
        <v>1025</v>
      </c>
      <c r="B625" s="21">
        <v>121173</v>
      </c>
    </row>
    <row r="626" spans="1:2">
      <c r="A626" s="70" t="s">
        <v>1026</v>
      </c>
      <c r="B626" s="21">
        <v>120255</v>
      </c>
    </row>
    <row r="627" spans="1:2">
      <c r="A627" s="70" t="s">
        <v>1027</v>
      </c>
      <c r="B627" s="21"/>
    </row>
    <row r="628" spans="1:2">
      <c r="A628" s="70" t="s">
        <v>1028</v>
      </c>
      <c r="B628" s="21">
        <v>122144</v>
      </c>
    </row>
    <row r="629" spans="1:2">
      <c r="A629" s="70" t="s">
        <v>1029</v>
      </c>
      <c r="B629" s="21">
        <v>121826</v>
      </c>
    </row>
    <row r="630" spans="1:2">
      <c r="A630" s="70" t="s">
        <v>1030</v>
      </c>
      <c r="B630" s="21">
        <v>123176</v>
      </c>
    </row>
    <row r="631" spans="1:2">
      <c r="A631" s="70" t="s">
        <v>1031</v>
      </c>
      <c r="B631" s="21">
        <v>121323</v>
      </c>
    </row>
    <row r="632" spans="1:2">
      <c r="A632" s="70" t="s">
        <v>1032</v>
      </c>
      <c r="B632" s="21">
        <v>124038</v>
      </c>
    </row>
    <row r="633" spans="1:2">
      <c r="A633" s="70" t="s">
        <v>1033</v>
      </c>
      <c r="B633" s="21">
        <v>124310</v>
      </c>
    </row>
    <row r="634" spans="1:2">
      <c r="A634" s="70" t="s">
        <v>1034</v>
      </c>
      <c r="B634" s="21"/>
    </row>
    <row r="635" spans="1:2">
      <c r="A635" s="70" t="s">
        <v>1035</v>
      </c>
      <c r="B635" s="21">
        <v>121646</v>
      </c>
    </row>
    <row r="636" spans="1:2">
      <c r="A636" s="70" t="s">
        <v>1036</v>
      </c>
      <c r="B636" s="21">
        <v>123898</v>
      </c>
    </row>
    <row r="637" spans="1:2">
      <c r="A637" s="70" t="s">
        <v>1037</v>
      </c>
      <c r="B637" s="21">
        <v>124700</v>
      </c>
    </row>
    <row r="638" spans="1:2">
      <c r="A638" s="70" t="s">
        <v>1038</v>
      </c>
      <c r="B638" s="21">
        <v>123421</v>
      </c>
    </row>
    <row r="639" spans="1:2">
      <c r="A639" s="70" t="s">
        <v>1039</v>
      </c>
      <c r="B639" s="21">
        <v>124847</v>
      </c>
    </row>
    <row r="640" spans="1:2">
      <c r="A640" s="70" t="s">
        <v>1040</v>
      </c>
      <c r="B640" s="21">
        <v>125515</v>
      </c>
    </row>
    <row r="641" spans="1:2">
      <c r="A641" s="70" t="s">
        <v>1041</v>
      </c>
      <c r="B641" s="21"/>
    </row>
    <row r="642" spans="1:2">
      <c r="A642" s="70" t="s">
        <v>1042</v>
      </c>
      <c r="B642" s="21">
        <v>125221</v>
      </c>
    </row>
    <row r="643" spans="1:2">
      <c r="A643" s="70" t="s">
        <v>1043</v>
      </c>
      <c r="B643" s="21">
        <v>126742</v>
      </c>
    </row>
    <row r="644" spans="1:2">
      <c r="A644" s="70" t="s">
        <v>1044</v>
      </c>
      <c r="B644" s="21">
        <v>126919</v>
      </c>
    </row>
    <row r="645" spans="1:2">
      <c r="A645" s="70" t="s">
        <v>1045</v>
      </c>
      <c r="B645" s="21">
        <v>126149</v>
      </c>
    </row>
    <row r="646" spans="1:2">
      <c r="A646" s="70" t="s">
        <v>1046</v>
      </c>
      <c r="B646" s="21">
        <v>127917</v>
      </c>
    </row>
    <row r="647" spans="1:2">
      <c r="A647" s="70" t="s">
        <v>1047</v>
      </c>
      <c r="B647" s="21">
        <v>128117</v>
      </c>
    </row>
    <row r="648" spans="1:2">
      <c r="A648" s="70" t="s">
        <v>1048</v>
      </c>
      <c r="B648" s="21"/>
    </row>
    <row r="649" spans="1:2">
      <c r="A649" s="70" t="s">
        <v>1049</v>
      </c>
      <c r="B649" s="21">
        <v>126908</v>
      </c>
    </row>
    <row r="650" spans="1:2">
      <c r="A650" s="70" t="s">
        <v>1050</v>
      </c>
      <c r="B650" s="21">
        <v>127533</v>
      </c>
    </row>
    <row r="651" spans="1:2">
      <c r="A651" s="70" t="s">
        <v>1051</v>
      </c>
      <c r="B651" s="21">
        <v>128622</v>
      </c>
    </row>
    <row r="652" spans="1:2">
      <c r="A652" s="70" t="s">
        <v>1052</v>
      </c>
      <c r="B652" s="21">
        <v>125308</v>
      </c>
    </row>
    <row r="653" spans="1:2">
      <c r="A653" s="70" t="s">
        <v>1053</v>
      </c>
      <c r="B653" s="21">
        <v>128373</v>
      </c>
    </row>
    <row r="654" spans="1:2">
      <c r="A654" s="70" t="s">
        <v>1054</v>
      </c>
      <c r="B654" s="21">
        <v>128524</v>
      </c>
    </row>
    <row r="655" spans="1:2">
      <c r="A655" s="70" t="s">
        <v>1055</v>
      </c>
      <c r="B655" s="21"/>
    </row>
    <row r="656" spans="1:2">
      <c r="A656" s="70" t="s">
        <v>1056</v>
      </c>
      <c r="B656" s="21">
        <v>129718</v>
      </c>
    </row>
    <row r="657" spans="1:2">
      <c r="A657" s="70" t="s">
        <v>1057</v>
      </c>
      <c r="B657" s="21">
        <v>129787</v>
      </c>
    </row>
    <row r="658" spans="1:2">
      <c r="A658" s="70" t="s">
        <v>1058</v>
      </c>
      <c r="B658" s="21">
        <v>127908</v>
      </c>
    </row>
    <row r="659" spans="1:2">
      <c r="A659" s="70" t="s">
        <v>1059</v>
      </c>
      <c r="B659" s="21">
        <v>130917</v>
      </c>
    </row>
    <row r="660" spans="1:2">
      <c r="A660" s="70" t="s">
        <v>1060</v>
      </c>
      <c r="B660" s="21">
        <v>134817</v>
      </c>
    </row>
    <row r="661" spans="1:2">
      <c r="A661" s="70" t="s">
        <v>1061</v>
      </c>
      <c r="B661" s="21">
        <v>131670</v>
      </c>
    </row>
    <row r="662" spans="1:2">
      <c r="A662" s="70" t="s">
        <v>1062</v>
      </c>
      <c r="B662" s="21"/>
    </row>
    <row r="663" spans="1:2">
      <c r="A663" s="70" t="s">
        <v>1063</v>
      </c>
      <c r="B663" s="21">
        <v>125547</v>
      </c>
    </row>
    <row r="664" spans="1:2">
      <c r="A664" s="70" t="s">
        <v>1064</v>
      </c>
      <c r="B664" s="21">
        <v>131679</v>
      </c>
    </row>
    <row r="665" spans="1:2">
      <c r="A665" s="70" t="s">
        <v>1065</v>
      </c>
      <c r="B665" s="21">
        <v>131318</v>
      </c>
    </row>
    <row r="666" spans="1:2">
      <c r="A666" s="70" t="s">
        <v>1066</v>
      </c>
      <c r="B666" s="21">
        <v>131547</v>
      </c>
    </row>
    <row r="667" spans="1:2">
      <c r="A667" s="70" t="s">
        <v>1067</v>
      </c>
      <c r="B667" s="21">
        <v>131599</v>
      </c>
    </row>
    <row r="668" spans="1:2">
      <c r="A668" s="70" t="s">
        <v>1068</v>
      </c>
      <c r="B668" s="21">
        <v>129996</v>
      </c>
    </row>
    <row r="669" spans="1:2">
      <c r="A669" s="70" t="s">
        <v>1069</v>
      </c>
      <c r="B669" s="21"/>
    </row>
    <row r="670" spans="1:2">
      <c r="A670" s="70" t="s">
        <v>1070</v>
      </c>
      <c r="B670" s="21">
        <v>124773</v>
      </c>
    </row>
    <row r="671" spans="1:2">
      <c r="A671" s="70" t="s">
        <v>1071</v>
      </c>
      <c r="B671" s="21">
        <v>131485</v>
      </c>
    </row>
    <row r="672" spans="1:2">
      <c r="A672" s="70" t="s">
        <v>1072</v>
      </c>
      <c r="B672" s="21">
        <v>131696</v>
      </c>
    </row>
    <row r="673" spans="1:2">
      <c r="A673" s="70" t="s">
        <v>1073</v>
      </c>
      <c r="B673" s="21">
        <v>132530</v>
      </c>
    </row>
    <row r="674" spans="1:2">
      <c r="A674" s="70" t="s">
        <v>1074</v>
      </c>
      <c r="B674" s="21">
        <v>133214</v>
      </c>
    </row>
    <row r="675" spans="1:2">
      <c r="A675" s="70" t="s">
        <v>1075</v>
      </c>
      <c r="B675" s="21">
        <v>133849</v>
      </c>
    </row>
    <row r="676" spans="1:2">
      <c r="A676" s="70" t="s">
        <v>1076</v>
      </c>
      <c r="B676" s="21"/>
    </row>
    <row r="677" spans="1:2">
      <c r="A677" s="70" t="s">
        <v>1077</v>
      </c>
      <c r="B677" s="21">
        <v>132841</v>
      </c>
    </row>
    <row r="678" spans="1:2">
      <c r="A678" s="70" t="s">
        <v>1078</v>
      </c>
      <c r="B678" s="21">
        <v>134068</v>
      </c>
    </row>
    <row r="679" spans="1:2">
      <c r="A679" s="70" t="s">
        <v>1079</v>
      </c>
      <c r="B679" s="21">
        <v>134195</v>
      </c>
    </row>
    <row r="680" spans="1:2">
      <c r="A680" s="70" t="s">
        <v>1080</v>
      </c>
      <c r="B680" s="21">
        <v>134232</v>
      </c>
    </row>
    <row r="681" spans="1:2">
      <c r="A681" s="70" t="s">
        <v>1081</v>
      </c>
      <c r="B681" s="21"/>
    </row>
    <row r="682" spans="1:2">
      <c r="A682" s="70" t="s">
        <v>1082</v>
      </c>
      <c r="B682" s="21">
        <v>134990</v>
      </c>
    </row>
    <row r="683" spans="1:2">
      <c r="A683" s="70" t="s">
        <v>1083</v>
      </c>
      <c r="B683" s="21"/>
    </row>
    <row r="684" spans="1:2">
      <c r="A684" s="70" t="s">
        <v>1084</v>
      </c>
      <c r="B684" s="21">
        <v>133004</v>
      </c>
    </row>
    <row r="685" spans="1:2">
      <c r="A685" s="70" t="s">
        <v>1085</v>
      </c>
      <c r="B685" s="21">
        <v>137638</v>
      </c>
    </row>
    <row r="686" spans="1:2">
      <c r="A686" s="70" t="s">
        <v>1086</v>
      </c>
      <c r="B686" s="21">
        <v>137802</v>
      </c>
    </row>
    <row r="687" spans="1:2">
      <c r="A687" s="70" t="s">
        <v>1087</v>
      </c>
      <c r="B687" s="21">
        <v>135574</v>
      </c>
    </row>
    <row r="688" spans="1:2">
      <c r="A688" s="70" t="s">
        <v>1088</v>
      </c>
      <c r="B688" s="21">
        <v>137365</v>
      </c>
    </row>
    <row r="689" spans="1:2">
      <c r="A689" s="70" t="s">
        <v>1089</v>
      </c>
      <c r="B689" s="21">
        <v>133893</v>
      </c>
    </row>
    <row r="690" spans="1:2">
      <c r="A690" s="70" t="s">
        <v>1090</v>
      </c>
      <c r="B690" s="21"/>
    </row>
    <row r="691" spans="1:2">
      <c r="A691" s="70" t="s">
        <v>1091</v>
      </c>
      <c r="B691" s="21">
        <v>134305</v>
      </c>
    </row>
    <row r="692" spans="1:2">
      <c r="A692" s="70" t="s">
        <v>1092</v>
      </c>
      <c r="B692" s="21">
        <v>134379</v>
      </c>
    </row>
    <row r="693" spans="1:2">
      <c r="A693" s="70" t="s">
        <v>1093</v>
      </c>
      <c r="B693" s="21">
        <v>135071</v>
      </c>
    </row>
    <row r="694" spans="1:2">
      <c r="A694" s="70" t="s">
        <v>1094</v>
      </c>
      <c r="B694" s="21"/>
    </row>
    <row r="695" spans="1:2">
      <c r="A695" s="70" t="s">
        <v>1095</v>
      </c>
      <c r="B695" s="21">
        <v>140298</v>
      </c>
    </row>
    <row r="696" spans="1:2">
      <c r="A696" s="70" t="s">
        <v>1096</v>
      </c>
      <c r="B696" s="21">
        <v>141297</v>
      </c>
    </row>
    <row r="697" spans="1:2">
      <c r="A697" s="70" t="s">
        <v>1097</v>
      </c>
      <c r="B697" s="21"/>
    </row>
    <row r="698" spans="1:2">
      <c r="A698" s="70" t="s">
        <v>1098</v>
      </c>
      <c r="B698" s="21">
        <v>136987</v>
      </c>
    </row>
    <row r="699" spans="1:2">
      <c r="A699" s="70" t="s">
        <v>1099</v>
      </c>
      <c r="B699" s="21">
        <v>140695</v>
      </c>
    </row>
    <row r="700" spans="1:2">
      <c r="A700" s="70" t="s">
        <v>1100</v>
      </c>
      <c r="B700" s="21">
        <v>139478</v>
      </c>
    </row>
    <row r="701" spans="1:2">
      <c r="A701" s="70" t="s">
        <v>1101</v>
      </c>
      <c r="B701" s="21">
        <v>142844</v>
      </c>
    </row>
    <row r="702" spans="1:2">
      <c r="A702" s="70" t="s">
        <v>1102</v>
      </c>
      <c r="B702" s="21">
        <v>143875</v>
      </c>
    </row>
    <row r="703" spans="1:2">
      <c r="A703" s="70" t="s">
        <v>1103</v>
      </c>
      <c r="B703" s="21">
        <v>139782</v>
      </c>
    </row>
    <row r="704" spans="1:2">
      <c r="A704" s="70" t="s">
        <v>1104</v>
      </c>
      <c r="B704" s="21" t="s">
        <v>1105</v>
      </c>
    </row>
    <row r="705" spans="1:2">
      <c r="A705" s="70" t="s">
        <v>1106</v>
      </c>
      <c r="B705" s="21">
        <v>142161</v>
      </c>
    </row>
    <row r="706" spans="1:2">
      <c r="A706" s="70" t="s">
        <v>1107</v>
      </c>
      <c r="B706" s="21">
        <v>146621</v>
      </c>
    </row>
    <row r="707" spans="1:2">
      <c r="A707" s="70" t="s">
        <v>1108</v>
      </c>
      <c r="B707" s="21">
        <v>144287</v>
      </c>
    </row>
    <row r="708" spans="1:2">
      <c r="A708" s="70" t="s">
        <v>1109</v>
      </c>
      <c r="B708" s="21">
        <v>146498</v>
      </c>
    </row>
    <row r="709" spans="1:2">
      <c r="A709" s="70" t="s">
        <v>1110</v>
      </c>
      <c r="B709" s="21">
        <v>146503</v>
      </c>
    </row>
    <row r="710" spans="1:2">
      <c r="A710" s="70" t="s">
        <v>1111</v>
      </c>
      <c r="B710" s="21">
        <v>146943</v>
      </c>
    </row>
    <row r="711" spans="1:2">
      <c r="A711" s="70" t="s">
        <v>1112</v>
      </c>
      <c r="B711" s="21"/>
    </row>
    <row r="712" spans="1:2">
      <c r="A712" s="70" t="s">
        <v>1113</v>
      </c>
      <c r="B712" s="21">
        <v>149665</v>
      </c>
    </row>
    <row r="713" spans="1:2">
      <c r="A713" s="70" t="s">
        <v>1114</v>
      </c>
      <c r="B713" s="21">
        <v>147255</v>
      </c>
    </row>
    <row r="714" spans="1:2">
      <c r="A714" s="70" t="s">
        <v>1115</v>
      </c>
      <c r="B714" s="21">
        <v>148662</v>
      </c>
    </row>
    <row r="715" spans="1:2">
      <c r="A715" s="70" t="s">
        <v>1116</v>
      </c>
      <c r="B715" s="21">
        <v>155493</v>
      </c>
    </row>
    <row r="716" spans="1:2">
      <c r="A716" s="70" t="s">
        <v>1117</v>
      </c>
      <c r="B716" s="21">
        <v>153296</v>
      </c>
    </row>
    <row r="717" spans="1:2">
      <c r="A717" s="70" t="s">
        <v>1118</v>
      </c>
      <c r="B717" s="21">
        <v>150657</v>
      </c>
    </row>
    <row r="718" spans="1:2">
      <c r="A718" s="70" t="s">
        <v>1119</v>
      </c>
      <c r="B718" s="21"/>
    </row>
    <row r="719" spans="1:2">
      <c r="A719" s="70" t="s">
        <v>1120</v>
      </c>
      <c r="B719" s="21">
        <v>153673</v>
      </c>
    </row>
    <row r="720" spans="1:2">
      <c r="A720" s="70" t="s">
        <v>1121</v>
      </c>
      <c r="B720" s="21"/>
    </row>
    <row r="721" spans="1:2">
      <c r="A721" s="70" t="s">
        <v>1122</v>
      </c>
      <c r="B721" s="21">
        <v>154328</v>
      </c>
    </row>
    <row r="722" spans="1:2">
      <c r="A722" s="70" t="s">
        <v>1123</v>
      </c>
      <c r="B722" s="21">
        <v>154390</v>
      </c>
    </row>
    <row r="723" spans="1:2">
      <c r="A723" s="70" t="s">
        <v>1124</v>
      </c>
      <c r="B723" s="21">
        <v>149192</v>
      </c>
    </row>
    <row r="724" spans="1:2">
      <c r="A724" s="70" t="s">
        <v>1125</v>
      </c>
      <c r="B724" s="21">
        <v>149467</v>
      </c>
    </row>
    <row r="725" spans="1:2">
      <c r="A725" s="70" t="s">
        <v>1126</v>
      </c>
      <c r="B725" s="21"/>
    </row>
    <row r="726" spans="1:2">
      <c r="A726" s="70" t="s">
        <v>1127</v>
      </c>
      <c r="B726" s="21">
        <v>154500</v>
      </c>
    </row>
    <row r="727" spans="1:2">
      <c r="A727" s="70" t="s">
        <v>1128</v>
      </c>
      <c r="B727" s="21">
        <v>156693</v>
      </c>
    </row>
    <row r="728" spans="1:2">
      <c r="A728" s="70" t="s">
        <v>1129</v>
      </c>
      <c r="B728" s="21">
        <v>155230</v>
      </c>
    </row>
    <row r="729" spans="1:2">
      <c r="A729" s="70" t="s">
        <v>1130</v>
      </c>
      <c r="B729" s="21">
        <v>157238</v>
      </c>
    </row>
    <row r="730" spans="1:2">
      <c r="A730" s="70" t="s">
        <v>1131</v>
      </c>
      <c r="B730" s="21">
        <v>156790</v>
      </c>
    </row>
    <row r="731" spans="1:2">
      <c r="A731" s="70" t="s">
        <v>1132</v>
      </c>
      <c r="B731" s="21"/>
    </row>
    <row r="732" spans="1:2">
      <c r="A732" s="70" t="s">
        <v>1133</v>
      </c>
      <c r="B732" s="21"/>
    </row>
    <row r="733" spans="1:2">
      <c r="A733" s="70" t="s">
        <v>1134</v>
      </c>
      <c r="B733" s="21"/>
    </row>
    <row r="734" spans="1:2">
      <c r="A734" s="70" t="s">
        <v>1135</v>
      </c>
      <c r="B734" s="21"/>
    </row>
    <row r="735" spans="1:2">
      <c r="A735" s="70" t="s">
        <v>1136</v>
      </c>
      <c r="B735" s="21"/>
    </row>
    <row r="736" spans="1:2">
      <c r="A736" s="70" t="s">
        <v>1137</v>
      </c>
      <c r="B736" s="21">
        <v>149236</v>
      </c>
    </row>
    <row r="737" spans="1:2">
      <c r="A737" s="70" t="s">
        <v>1138</v>
      </c>
      <c r="B737" s="21">
        <v>156721</v>
      </c>
    </row>
    <row r="738" spans="1:2">
      <c r="A738" s="70" t="s">
        <v>1139</v>
      </c>
      <c r="B738" s="21"/>
    </row>
    <row r="739" spans="1:2">
      <c r="A739" s="70" t="s">
        <v>1140</v>
      </c>
      <c r="B739" s="21"/>
    </row>
    <row r="740" spans="1:2">
      <c r="A740" s="70" t="s">
        <v>1141</v>
      </c>
      <c r="B740" s="21">
        <v>158166</v>
      </c>
    </row>
    <row r="741" spans="1:2">
      <c r="A741" s="70" t="s">
        <v>1142</v>
      </c>
      <c r="B741" s="21">
        <v>154339</v>
      </c>
    </row>
    <row r="742" spans="1:2">
      <c r="A742" s="70" t="s">
        <v>1143</v>
      </c>
      <c r="B742" s="21">
        <v>151142</v>
      </c>
    </row>
    <row r="743" spans="1:2">
      <c r="A743" s="70" t="s">
        <v>1144</v>
      </c>
      <c r="B743" s="21"/>
    </row>
    <row r="744" spans="1:2">
      <c r="A744" s="70" t="s">
        <v>1145</v>
      </c>
      <c r="B744" s="21"/>
    </row>
    <row r="745" spans="1:2">
      <c r="A745" s="70" t="s">
        <v>1146</v>
      </c>
      <c r="B745" s="21">
        <v>151815</v>
      </c>
    </row>
    <row r="746" spans="1:2">
      <c r="A746" s="70" t="s">
        <v>1147</v>
      </c>
      <c r="B746" s="21"/>
    </row>
    <row r="747" spans="1:2">
      <c r="A747" s="70" t="s">
        <v>1148</v>
      </c>
      <c r="B747" s="21">
        <v>146943</v>
      </c>
    </row>
    <row r="748" spans="1:2">
      <c r="A748" s="70" t="s">
        <v>1149</v>
      </c>
      <c r="B748" s="21">
        <v>154209</v>
      </c>
    </row>
    <row r="749" spans="1:2">
      <c r="A749" s="70" t="s">
        <v>1150</v>
      </c>
      <c r="B749" s="21">
        <v>152503</v>
      </c>
    </row>
    <row r="750" spans="1:2">
      <c r="A750" s="70" t="s">
        <v>1151</v>
      </c>
      <c r="B750" s="21">
        <v>150616</v>
      </c>
    </row>
    <row r="751" spans="1:2">
      <c r="A751" s="70" t="s">
        <v>1152</v>
      </c>
      <c r="B751" s="21">
        <v>152096</v>
      </c>
    </row>
    <row r="752" spans="1:2">
      <c r="A752" s="70" t="s">
        <v>1153</v>
      </c>
      <c r="B752" s="21"/>
    </row>
    <row r="753" spans="1:2">
      <c r="A753" s="70" t="s">
        <v>1154</v>
      </c>
      <c r="B753" s="21"/>
    </row>
    <row r="754" spans="1:2">
      <c r="A754" s="70" t="s">
        <v>1155</v>
      </c>
      <c r="B754" s="21">
        <v>153797</v>
      </c>
    </row>
    <row r="755" spans="1:2">
      <c r="A755" s="70" t="s">
        <v>1156</v>
      </c>
      <c r="B755" s="21">
        <v>151160</v>
      </c>
    </row>
    <row r="756" spans="1:2">
      <c r="A756" s="70" t="s">
        <v>1157</v>
      </c>
      <c r="B756" s="21">
        <v>149989</v>
      </c>
    </row>
    <row r="757" spans="1:2">
      <c r="A757" s="70" t="s">
        <v>1158</v>
      </c>
      <c r="B757" s="21">
        <v>151099</v>
      </c>
    </row>
    <row r="758" spans="1:2">
      <c r="A758" s="70" t="s">
        <v>1159</v>
      </c>
      <c r="B758" s="21">
        <v>151095</v>
      </c>
    </row>
    <row r="759" spans="1:2">
      <c r="A759" s="70" t="s">
        <v>1160</v>
      </c>
      <c r="B759" s="21"/>
    </row>
    <row r="760" spans="1:2">
      <c r="A760" s="70" t="s">
        <v>1161</v>
      </c>
      <c r="B760" s="21"/>
    </row>
    <row r="761" spans="1:2">
      <c r="A761" s="70" t="s">
        <v>1162</v>
      </c>
      <c r="B761" s="21"/>
    </row>
    <row r="762" spans="1:2">
      <c r="A762" s="70" t="s">
        <v>1163</v>
      </c>
      <c r="B762" s="21">
        <v>149407</v>
      </c>
    </row>
    <row r="763" spans="1:2">
      <c r="A763" s="70" t="s">
        <v>1164</v>
      </c>
      <c r="B763" s="21">
        <v>153506</v>
      </c>
    </row>
    <row r="764" spans="1:2">
      <c r="A764" s="70" t="s">
        <v>1165</v>
      </c>
      <c r="B764" s="21">
        <v>156308</v>
      </c>
    </row>
    <row r="765" spans="1:2">
      <c r="A765" s="70" t="s">
        <v>1166</v>
      </c>
      <c r="B765" s="21">
        <v>159804</v>
      </c>
    </row>
    <row r="766" spans="1:2">
      <c r="A766" s="70" t="s">
        <v>1167</v>
      </c>
      <c r="B766" s="21">
        <v>148965</v>
      </c>
    </row>
    <row r="767" spans="1:2">
      <c r="A767" s="70" t="s">
        <v>1168</v>
      </c>
      <c r="B767" s="21"/>
    </row>
    <row r="768" spans="1:2">
      <c r="A768" s="70" t="s">
        <v>1169</v>
      </c>
      <c r="B768" s="21">
        <v>148132</v>
      </c>
    </row>
    <row r="769" spans="1:2">
      <c r="A769" s="70" t="s">
        <v>1170</v>
      </c>
      <c r="B769" s="21">
        <v>155529</v>
      </c>
    </row>
    <row r="770" spans="1:2">
      <c r="A770" s="70" t="s">
        <v>1171</v>
      </c>
      <c r="B770" s="21">
        <v>157023</v>
      </c>
    </row>
    <row r="771" spans="1:2">
      <c r="A771" s="70" t="s">
        <v>1172</v>
      </c>
      <c r="B771" s="21">
        <v>155626</v>
      </c>
    </row>
    <row r="772" spans="1:2">
      <c r="A772" s="70" t="s">
        <v>1173</v>
      </c>
      <c r="B772" s="21">
        <v>158588</v>
      </c>
    </row>
    <row r="773" spans="1:2">
      <c r="A773" s="70" t="s">
        <v>1174</v>
      </c>
      <c r="B773" s="21">
        <v>156925</v>
      </c>
    </row>
    <row r="774" spans="1:2">
      <c r="A774" s="70" t="s">
        <v>1175</v>
      </c>
      <c r="B774" s="21"/>
    </row>
    <row r="775" spans="1:2">
      <c r="A775" s="70" t="s">
        <v>1176</v>
      </c>
      <c r="B775" s="21"/>
    </row>
    <row r="776" spans="1:2">
      <c r="A776" s="70" t="s">
        <v>1177</v>
      </c>
      <c r="B776" s="21">
        <v>158157</v>
      </c>
    </row>
    <row r="777" spans="1:2">
      <c r="A777" s="70" t="s">
        <v>1178</v>
      </c>
      <c r="B777" s="21">
        <v>160480</v>
      </c>
    </row>
    <row r="778" spans="1:2">
      <c r="A778" s="70" t="s">
        <v>1179</v>
      </c>
      <c r="B778" s="21">
        <v>160502</v>
      </c>
    </row>
    <row r="779" spans="1:2">
      <c r="A779" s="70" t="s">
        <v>1180</v>
      </c>
      <c r="B779" s="21">
        <v>153828</v>
      </c>
    </row>
    <row r="780" spans="1:2">
      <c r="A780" s="70" t="s">
        <v>1181</v>
      </c>
      <c r="B780" s="21">
        <v>152850</v>
      </c>
    </row>
    <row r="781" spans="1:2">
      <c r="A781" s="70" t="s">
        <v>1182</v>
      </c>
      <c r="B781" s="21"/>
    </row>
    <row r="782" spans="1:2">
      <c r="A782" s="70" t="s">
        <v>1183</v>
      </c>
      <c r="B782" s="21">
        <v>156099</v>
      </c>
    </row>
    <row r="783" spans="1:2">
      <c r="A783" s="70" t="s">
        <v>1184</v>
      </c>
      <c r="B783" s="21">
        <v>163407</v>
      </c>
    </row>
    <row r="784" spans="1:2">
      <c r="A784" s="70" t="s">
        <v>1185</v>
      </c>
      <c r="B784" s="21">
        <v>169343</v>
      </c>
    </row>
    <row r="785" spans="1:2">
      <c r="A785" s="70" t="s">
        <v>1186</v>
      </c>
      <c r="B785" s="21">
        <v>160670</v>
      </c>
    </row>
    <row r="786" spans="1:2">
      <c r="A786" s="70" t="s">
        <v>1187</v>
      </c>
      <c r="B786" s="21">
        <v>158436</v>
      </c>
    </row>
    <row r="787" spans="1:2">
      <c r="A787" s="70" t="s">
        <v>1188</v>
      </c>
      <c r="B787" s="21">
        <v>158727</v>
      </c>
    </row>
    <row r="788" spans="1:2">
      <c r="A788" s="70" t="s">
        <v>1189</v>
      </c>
      <c r="B788" s="21"/>
    </row>
    <row r="789" spans="1:2">
      <c r="A789" s="70" t="s">
        <v>1190</v>
      </c>
      <c r="B789" s="21">
        <v>160664</v>
      </c>
    </row>
    <row r="790" spans="1:2">
      <c r="A790" s="70" t="s">
        <v>1191</v>
      </c>
      <c r="B790" s="21">
        <v>169197</v>
      </c>
    </row>
    <row r="791" spans="1:2">
      <c r="A791" s="70" t="s">
        <v>1192</v>
      </c>
      <c r="B791" s="21">
        <v>163982</v>
      </c>
    </row>
    <row r="792" spans="1:2">
      <c r="A792" s="70" t="s">
        <v>1193</v>
      </c>
      <c r="B792" s="21">
        <v>166457</v>
      </c>
    </row>
    <row r="793" spans="1:2">
      <c r="A793" s="70" t="s">
        <v>1194</v>
      </c>
      <c r="B793" s="21">
        <v>167791</v>
      </c>
    </row>
    <row r="794" spans="1:2">
      <c r="A794" s="70" t="s">
        <v>1195</v>
      </c>
      <c r="B794" s="21">
        <v>167238</v>
      </c>
    </row>
    <row r="795" spans="1:2">
      <c r="A795" s="70" t="s">
        <v>1196</v>
      </c>
      <c r="B795" s="21"/>
    </row>
    <row r="796" spans="1:2">
      <c r="A796" s="70" t="s">
        <v>1197</v>
      </c>
      <c r="B796" s="21">
        <v>172998</v>
      </c>
    </row>
    <row r="797" spans="1:2">
      <c r="A797" s="70" t="s">
        <v>1198</v>
      </c>
      <c r="B797" s="21"/>
    </row>
    <row r="798" spans="1:2">
      <c r="A798" s="70" t="s">
        <v>1199</v>
      </c>
      <c r="B798" s="21"/>
    </row>
    <row r="799" spans="1:2">
      <c r="A799" s="70" t="s">
        <v>1200</v>
      </c>
      <c r="B799" s="21">
        <v>167176</v>
      </c>
    </row>
    <row r="800" spans="1:2">
      <c r="A800" s="70" t="s">
        <v>1201</v>
      </c>
      <c r="B800" s="21">
        <v>167172</v>
      </c>
    </row>
    <row r="801" spans="1:2">
      <c r="A801" s="70" t="s">
        <v>1202</v>
      </c>
      <c r="B801" s="21"/>
    </row>
    <row r="802" spans="1:2">
      <c r="A802" s="70" t="s">
        <v>1203</v>
      </c>
      <c r="B802" s="21"/>
    </row>
    <row r="803" spans="1:2">
      <c r="A803" s="70" t="s">
        <v>1204</v>
      </c>
      <c r="B803" s="21">
        <v>173074</v>
      </c>
    </row>
    <row r="804" spans="1:2">
      <c r="A804" s="70" t="s">
        <v>1205</v>
      </c>
      <c r="B804" s="21">
        <v>172554</v>
      </c>
    </row>
    <row r="805" spans="1:2">
      <c r="A805" s="70" t="s">
        <v>1206</v>
      </c>
      <c r="B805" s="21">
        <v>180546</v>
      </c>
    </row>
    <row r="806" spans="1:2">
      <c r="A806" s="70" t="s">
        <v>1207</v>
      </c>
      <c r="B806" s="21">
        <v>178043</v>
      </c>
    </row>
    <row r="807" spans="1:2">
      <c r="A807" s="70" t="s">
        <v>1208</v>
      </c>
      <c r="B807" s="21"/>
    </row>
    <row r="808" spans="1:2">
      <c r="A808" s="70" t="s">
        <v>1209</v>
      </c>
      <c r="B808" s="21"/>
    </row>
    <row r="809" spans="1:2">
      <c r="A809" s="70" t="s">
        <v>1210</v>
      </c>
      <c r="B809" s="21"/>
    </row>
    <row r="810" spans="1:2">
      <c r="A810" s="70" t="s">
        <v>1211</v>
      </c>
      <c r="B810" s="21">
        <v>176369</v>
      </c>
    </row>
    <row r="811" spans="1:2">
      <c r="A811" s="70" t="s">
        <v>1212</v>
      </c>
      <c r="B811" s="21">
        <v>176918</v>
      </c>
    </row>
    <row r="812" spans="1:2">
      <c r="A812" s="70" t="s">
        <v>1213</v>
      </c>
      <c r="B812" s="21">
        <v>178476</v>
      </c>
    </row>
    <row r="813" spans="1:2">
      <c r="A813" s="70" t="s">
        <v>1214</v>
      </c>
      <c r="B813" s="21">
        <v>178224</v>
      </c>
    </row>
    <row r="814" spans="1:2">
      <c r="A814" s="70" t="s">
        <v>1215</v>
      </c>
      <c r="B814" s="21">
        <v>177269</v>
      </c>
    </row>
    <row r="815" spans="1:2">
      <c r="A815" s="70" t="s">
        <v>1216</v>
      </c>
      <c r="B815" s="21">
        <v>181385</v>
      </c>
    </row>
    <row r="816" spans="1:2">
      <c r="A816" s="70" t="s">
        <v>1217</v>
      </c>
      <c r="B816" s="21"/>
    </row>
    <row r="817" spans="1:2">
      <c r="A817" s="70" t="s">
        <v>1218</v>
      </c>
      <c r="B817" s="21">
        <v>179151</v>
      </c>
    </row>
    <row r="818" spans="1:2">
      <c r="A818" s="70" t="s">
        <v>1219</v>
      </c>
      <c r="B818" s="21">
        <v>177723</v>
      </c>
    </row>
    <row r="819" spans="1:2">
      <c r="A819" s="70" t="s">
        <v>1220</v>
      </c>
      <c r="B819" s="21">
        <v>179896</v>
      </c>
    </row>
    <row r="820" spans="1:2">
      <c r="A820" s="70" t="s">
        <v>1221</v>
      </c>
      <c r="B820" s="21">
        <v>180638</v>
      </c>
    </row>
    <row r="821" spans="1:2">
      <c r="A821" s="70" t="s">
        <v>1222</v>
      </c>
      <c r="B821" s="21"/>
    </row>
    <row r="822" spans="1:2">
      <c r="A822" s="70" t="s">
        <v>1223</v>
      </c>
      <c r="B822" s="21">
        <v>179701</v>
      </c>
    </row>
    <row r="823" spans="1:2">
      <c r="A823" s="70" t="s">
        <v>1224</v>
      </c>
      <c r="B823" s="21"/>
    </row>
    <row r="824" spans="1:2">
      <c r="A824" s="70" t="s">
        <v>1225</v>
      </c>
      <c r="B824" s="21">
        <v>180019</v>
      </c>
    </row>
    <row r="825" spans="1:2">
      <c r="A825" s="70" t="s">
        <v>1226</v>
      </c>
      <c r="B825" s="21">
        <v>183548</v>
      </c>
    </row>
    <row r="826" spans="1:2">
      <c r="A826" s="70" t="s">
        <v>1227</v>
      </c>
      <c r="B826" s="21">
        <v>184846</v>
      </c>
    </row>
    <row r="827" spans="1:2">
      <c r="A827" s="70" t="s">
        <v>1228</v>
      </c>
      <c r="B827" s="21">
        <v>187066</v>
      </c>
    </row>
    <row r="828" spans="1:2">
      <c r="A828" s="70" t="s">
        <v>1229</v>
      </c>
      <c r="B828" s="21">
        <v>188588</v>
      </c>
    </row>
    <row r="829" spans="1:2">
      <c r="A829" s="70" t="s">
        <v>1230</v>
      </c>
      <c r="B829" s="21">
        <v>186617</v>
      </c>
    </row>
    <row r="830" spans="1:2">
      <c r="A830" s="70" t="s">
        <v>1231</v>
      </c>
      <c r="B830" s="21"/>
    </row>
    <row r="831" spans="1:2">
      <c r="A831" s="70" t="s">
        <v>1232</v>
      </c>
      <c r="B831" s="21">
        <v>181000</v>
      </c>
    </row>
    <row r="832" spans="1:2">
      <c r="A832" s="70" t="s">
        <v>1233</v>
      </c>
      <c r="B832" s="21">
        <v>187243</v>
      </c>
    </row>
    <row r="833" spans="1:2">
      <c r="A833" s="70" t="s">
        <v>1234</v>
      </c>
      <c r="B833" s="21">
        <v>189513</v>
      </c>
    </row>
    <row r="834" spans="1:2">
      <c r="A834" s="70" t="s">
        <v>1235</v>
      </c>
      <c r="B834" s="21">
        <v>191225</v>
      </c>
    </row>
    <row r="835" spans="1:2">
      <c r="A835" s="70" t="s">
        <v>1236</v>
      </c>
      <c r="B835" s="21">
        <v>192860</v>
      </c>
    </row>
    <row r="836" spans="1:2">
      <c r="A836" s="70" t="s">
        <v>1237</v>
      </c>
      <c r="B836" s="21">
        <v>193487</v>
      </c>
    </row>
    <row r="837" spans="1:2">
      <c r="A837" s="70" t="s">
        <v>1238</v>
      </c>
      <c r="B837" s="21"/>
    </row>
    <row r="838" spans="1:2">
      <c r="A838" s="70" t="s">
        <v>1239</v>
      </c>
      <c r="B838" s="21">
        <v>189635</v>
      </c>
    </row>
    <row r="839" spans="1:2">
      <c r="A839" s="70" t="s">
        <v>1240</v>
      </c>
      <c r="B839" s="21">
        <v>193137</v>
      </c>
    </row>
    <row r="840" spans="1:2">
      <c r="A840" s="70" t="s">
        <v>1241</v>
      </c>
      <c r="B840" s="21">
        <v>191944</v>
      </c>
    </row>
    <row r="841" spans="1:2">
      <c r="A841" s="70" t="s">
        <v>1242</v>
      </c>
      <c r="B841" s="21">
        <v>188102</v>
      </c>
    </row>
    <row r="842" spans="1:2">
      <c r="A842" s="70" t="s">
        <v>1243</v>
      </c>
      <c r="B842" s="21">
        <v>197465</v>
      </c>
    </row>
    <row r="843" spans="1:2">
      <c r="A843" s="70" t="s">
        <v>1244</v>
      </c>
      <c r="B843" s="21">
        <v>191575</v>
      </c>
    </row>
    <row r="844" spans="1:2">
      <c r="A844" s="70" t="s">
        <v>1245</v>
      </c>
      <c r="B844" s="21"/>
    </row>
    <row r="845" spans="1:2">
      <c r="A845" s="70" t="s">
        <v>1246</v>
      </c>
      <c r="B845" s="21">
        <v>2057436</v>
      </c>
    </row>
    <row r="846" spans="1:2">
      <c r="A846" s="70" t="s">
        <v>1247</v>
      </c>
      <c r="B846" s="21">
        <v>199091</v>
      </c>
    </row>
    <row r="847" spans="1:2">
      <c r="A847" s="70" t="s">
        <v>1248</v>
      </c>
      <c r="B847" s="21">
        <v>184329</v>
      </c>
    </row>
    <row r="848" spans="1:2">
      <c r="A848" s="70" t="s">
        <v>1249</v>
      </c>
      <c r="B848" s="21">
        <v>198597</v>
      </c>
    </row>
    <row r="849" spans="1:2">
      <c r="A849" s="70" t="s">
        <v>1250</v>
      </c>
      <c r="B849" s="21">
        <v>196333</v>
      </c>
    </row>
    <row r="850" spans="1:2">
      <c r="A850" s="70" t="s">
        <v>1251</v>
      </c>
      <c r="B850" s="21">
        <v>202460</v>
      </c>
    </row>
    <row r="851" spans="1:2">
      <c r="A851" s="70" t="s">
        <v>1252</v>
      </c>
      <c r="B851" s="21"/>
    </row>
    <row r="852" spans="1:2">
      <c r="A852" s="70" t="s">
        <v>1253</v>
      </c>
      <c r="B852" s="21">
        <v>209311</v>
      </c>
    </row>
    <row r="853" spans="1:2">
      <c r="A853" s="70" t="s">
        <v>1254</v>
      </c>
      <c r="B853" s="21">
        <v>205713</v>
      </c>
    </row>
    <row r="854" spans="1:2">
      <c r="A854" s="70" t="s">
        <v>1255</v>
      </c>
      <c r="B854" s="21">
        <v>208933</v>
      </c>
    </row>
    <row r="855" spans="1:2">
      <c r="A855" s="70" t="s">
        <v>1256</v>
      </c>
      <c r="B855" s="21">
        <v>203265</v>
      </c>
    </row>
    <row r="856" spans="1:2">
      <c r="A856" s="70" t="s">
        <v>1257</v>
      </c>
      <c r="B856" s="21">
        <v>206998</v>
      </c>
    </row>
    <row r="857" spans="1:2">
      <c r="A857" s="70" t="s">
        <v>1258</v>
      </c>
      <c r="B857" s="21">
        <v>212268</v>
      </c>
    </row>
    <row r="858" spans="1:2">
      <c r="A858" s="70" t="s">
        <v>1259</v>
      </c>
      <c r="B858" s="21"/>
    </row>
    <row r="859" spans="1:2">
      <c r="A859" s="70" t="s">
        <v>1260</v>
      </c>
      <c r="B859" s="21">
        <v>208715</v>
      </c>
    </row>
    <row r="860" spans="1:2">
      <c r="A860" s="70" t="s">
        <v>1261</v>
      </c>
      <c r="B860" s="21">
        <v>206299</v>
      </c>
    </row>
    <row r="861" spans="1:2">
      <c r="A861" s="70" t="s">
        <v>1262</v>
      </c>
      <c r="B861" s="21">
        <v>205809</v>
      </c>
    </row>
    <row r="862" spans="1:2">
      <c r="A862" s="70" t="s">
        <v>1263</v>
      </c>
      <c r="B862" s="21">
        <v>212751</v>
      </c>
    </row>
    <row r="863" spans="1:2">
      <c r="A863" s="70" t="s">
        <v>1264</v>
      </c>
      <c r="B863" s="21">
        <v>209898</v>
      </c>
    </row>
    <row r="864" spans="1:2">
      <c r="A864" s="70" t="s">
        <v>1265</v>
      </c>
      <c r="B864" s="21">
        <v>217536</v>
      </c>
    </row>
    <row r="865" spans="1:2">
      <c r="A865" s="70" t="s">
        <v>1266</v>
      </c>
      <c r="B865" s="21"/>
    </row>
    <row r="866" spans="1:2">
      <c r="A866" s="70" t="s">
        <v>1267</v>
      </c>
      <c r="B866" s="21">
        <v>210393</v>
      </c>
    </row>
    <row r="867" spans="1:2">
      <c r="A867" s="70" t="s">
        <v>1268</v>
      </c>
      <c r="B867" s="21">
        <v>216341</v>
      </c>
    </row>
    <row r="868" spans="1:2">
      <c r="A868" s="70" t="s">
        <v>1269</v>
      </c>
      <c r="B868" s="21">
        <v>213990</v>
      </c>
    </row>
    <row r="869" spans="1:2">
      <c r="A869" s="70" t="s">
        <v>1270</v>
      </c>
      <c r="B869" s="21">
        <v>216903</v>
      </c>
    </row>
    <row r="870" spans="1:2">
      <c r="A870" s="70" t="s">
        <v>1271</v>
      </c>
      <c r="B870" s="21">
        <v>214744</v>
      </c>
    </row>
    <row r="871" spans="1:2">
      <c r="A871" s="70" t="s">
        <v>1272</v>
      </c>
      <c r="B871" s="21">
        <v>221307</v>
      </c>
    </row>
    <row r="872" spans="1:2">
      <c r="A872" s="70" t="s">
        <v>1273</v>
      </c>
      <c r="B872" s="21"/>
    </row>
    <row r="873" spans="1:2">
      <c r="A873" s="70" t="s">
        <v>1274</v>
      </c>
      <c r="B873" s="21"/>
    </row>
    <row r="874" spans="1:2">
      <c r="A874" s="70" t="s">
        <v>1275</v>
      </c>
      <c r="B874" s="21">
        <v>218250</v>
      </c>
    </row>
    <row r="875" spans="1:2">
      <c r="A875" s="70" t="s">
        <v>1276</v>
      </c>
      <c r="B875" s="21">
        <v>220337</v>
      </c>
    </row>
    <row r="876" spans="1:2">
      <c r="A876" s="70" t="s">
        <v>1277</v>
      </c>
      <c r="B876" s="21">
        <v>221898</v>
      </c>
    </row>
    <row r="877" spans="1:2">
      <c r="A877" s="70" t="s">
        <v>1278</v>
      </c>
      <c r="B877" s="21">
        <v>223707</v>
      </c>
    </row>
    <row r="878" spans="1:2">
      <c r="A878" s="70" t="s">
        <v>1279</v>
      </c>
      <c r="B878" s="21">
        <v>231543</v>
      </c>
    </row>
    <row r="879" spans="1:2">
      <c r="A879" s="70" t="s">
        <v>1280</v>
      </c>
      <c r="B879" s="21"/>
    </row>
    <row r="880" spans="1:2">
      <c r="A880" s="70" t="s">
        <v>1281</v>
      </c>
      <c r="B880" s="21">
        <v>224827</v>
      </c>
    </row>
    <row r="881" spans="1:2">
      <c r="A881" s="70" t="s">
        <v>1282</v>
      </c>
      <c r="B881" s="21">
        <v>235007</v>
      </c>
    </row>
    <row r="882" spans="1:2">
      <c r="A882" s="70" t="s">
        <v>1283</v>
      </c>
      <c r="B882" s="21">
        <v>232199</v>
      </c>
    </row>
    <row r="883" spans="1:2">
      <c r="A883" s="70" t="s">
        <v>1284</v>
      </c>
      <c r="B883" s="21">
        <v>230027</v>
      </c>
    </row>
    <row r="884" spans="1:2">
      <c r="A884" s="70" t="s">
        <v>1285</v>
      </c>
      <c r="B884" s="21">
        <v>238434</v>
      </c>
    </row>
    <row r="885" spans="1:2">
      <c r="A885" s="70" t="s">
        <v>1286</v>
      </c>
      <c r="B885" s="21">
        <v>235458</v>
      </c>
    </row>
    <row r="886" spans="1:2">
      <c r="A886" s="70" t="s">
        <v>1287</v>
      </c>
      <c r="B886" s="21"/>
    </row>
    <row r="887" spans="1:2">
      <c r="A887" s="70" t="s">
        <v>1288</v>
      </c>
      <c r="B887" s="21"/>
    </row>
    <row r="888" spans="1:2">
      <c r="A888" s="70" t="s">
        <v>1289</v>
      </c>
      <c r="B888" s="21">
        <v>246920</v>
      </c>
    </row>
    <row r="889" spans="1:2">
      <c r="A889" s="70" t="s">
        <v>1290</v>
      </c>
      <c r="B889" s="21">
        <v>238368</v>
      </c>
    </row>
    <row r="890" spans="1:2">
      <c r="A890" s="70" t="s">
        <v>1291</v>
      </c>
      <c r="B890" s="21">
        <v>258185</v>
      </c>
    </row>
    <row r="891" spans="1:2">
      <c r="A891" s="70" t="s">
        <v>1292</v>
      </c>
      <c r="B891" s="21">
        <v>259342</v>
      </c>
    </row>
    <row r="892" spans="1:2">
      <c r="A892" s="70" t="s">
        <v>1293</v>
      </c>
      <c r="B892" s="21">
        <v>251064</v>
      </c>
    </row>
    <row r="893" spans="1:2">
      <c r="A893" s="70" t="s">
        <v>1294</v>
      </c>
      <c r="B893" s="21"/>
    </row>
    <row r="894" spans="1:2">
      <c r="A894" s="70" t="s">
        <v>1295</v>
      </c>
      <c r="B894" s="21"/>
    </row>
    <row r="895" spans="1:2">
      <c r="A895" s="70" t="s">
        <v>1296</v>
      </c>
      <c r="B895" s="21"/>
    </row>
    <row r="896" spans="1:2">
      <c r="A896" s="70" t="s">
        <v>1297</v>
      </c>
      <c r="B896" s="21">
        <v>260486</v>
      </c>
    </row>
    <row r="897" spans="1:2">
      <c r="A897" s="70" t="s">
        <v>1298</v>
      </c>
      <c r="B897" s="21">
        <v>264350</v>
      </c>
    </row>
    <row r="898" spans="1:2">
      <c r="A898" s="70" t="s">
        <v>1299</v>
      </c>
      <c r="B898" s="21">
        <v>261864</v>
      </c>
    </row>
    <row r="899" spans="1:2">
      <c r="A899" s="70" t="s">
        <v>1300</v>
      </c>
      <c r="B899" s="21"/>
    </row>
    <row r="900" spans="1:2">
      <c r="A900" s="70" t="s">
        <v>1301</v>
      </c>
      <c r="B900" s="21"/>
    </row>
    <row r="901" spans="1:2">
      <c r="A901" s="70" t="s">
        <v>1302</v>
      </c>
      <c r="B901" s="21">
        <v>258730</v>
      </c>
    </row>
    <row r="902" spans="1:2">
      <c r="A902" s="70" t="s">
        <v>1303</v>
      </c>
      <c r="B902" s="21">
        <v>261001</v>
      </c>
    </row>
    <row r="903" spans="1:2">
      <c r="A903" s="70" t="s">
        <v>1304</v>
      </c>
      <c r="B903" s="21">
        <v>258947</v>
      </c>
    </row>
    <row r="904" spans="1:2">
      <c r="A904" s="70" t="s">
        <v>1305</v>
      </c>
      <c r="B904" s="21">
        <v>266211</v>
      </c>
    </row>
    <row r="905" spans="1:2">
      <c r="A905" s="70" t="s">
        <v>1306</v>
      </c>
      <c r="B905" s="21">
        <v>255844</v>
      </c>
    </row>
    <row r="906" spans="1:2">
      <c r="A906" s="70" t="s">
        <v>1307</v>
      </c>
      <c r="B906" s="21">
        <v>259545</v>
      </c>
    </row>
    <row r="907" spans="1:2">
      <c r="A907" s="70" t="s">
        <v>1308</v>
      </c>
      <c r="B907" s="21"/>
    </row>
    <row r="908" spans="1:2">
      <c r="A908" s="70" t="s">
        <v>1309</v>
      </c>
      <c r="B908" s="21">
        <v>250775</v>
      </c>
    </row>
    <row r="909" spans="1:2">
      <c r="A909" s="70" t="s">
        <v>1310</v>
      </c>
      <c r="B909" s="21">
        <v>264663</v>
      </c>
    </row>
    <row r="910" spans="1:2">
      <c r="A910" s="70" t="s">
        <v>1311</v>
      </c>
      <c r="B910" s="21">
        <v>259942</v>
      </c>
    </row>
    <row r="911" spans="1:2">
      <c r="A911" s="70" t="s">
        <v>1312</v>
      </c>
      <c r="B911" s="21">
        <v>266572</v>
      </c>
    </row>
    <row r="912" spans="1:2">
      <c r="A912" s="70" t="s">
        <v>1313</v>
      </c>
      <c r="B912" s="21">
        <v>287995</v>
      </c>
    </row>
    <row r="913" spans="1:2">
      <c r="A913" s="70" t="s">
        <v>1314</v>
      </c>
      <c r="B913" s="21">
        <v>280922</v>
      </c>
    </row>
    <row r="914" spans="1:2">
      <c r="A914" s="70" t="s">
        <v>1315</v>
      </c>
      <c r="B914" s="21"/>
    </row>
    <row r="915" spans="1:2">
      <c r="A915" s="70" t="s">
        <v>1316</v>
      </c>
      <c r="B915" s="21">
        <v>278057</v>
      </c>
    </row>
    <row r="916" spans="1:2">
      <c r="A916" s="70" t="s">
        <v>1317</v>
      </c>
      <c r="B916" s="21">
        <v>286887</v>
      </c>
    </row>
    <row r="917" spans="1:2">
      <c r="A917" s="70" t="s">
        <v>1318</v>
      </c>
      <c r="B917" s="21">
        <v>279390</v>
      </c>
    </row>
    <row r="918" spans="1:2">
      <c r="A918" s="70" t="s">
        <v>1319</v>
      </c>
      <c r="B918" s="21">
        <v>273605</v>
      </c>
    </row>
    <row r="919" spans="1:2">
      <c r="A919" s="70" t="s">
        <v>1320</v>
      </c>
      <c r="B919" s="21">
        <v>268046</v>
      </c>
    </row>
    <row r="920" spans="1:2">
      <c r="A920" s="70" t="s">
        <v>1321</v>
      </c>
      <c r="B920" s="21">
        <v>292949</v>
      </c>
    </row>
    <row r="921" spans="1:2">
      <c r="A921" s="70" t="s">
        <v>1322</v>
      </c>
      <c r="B921" s="21"/>
    </row>
    <row r="922" spans="1:2">
      <c r="A922" s="70" t="s">
        <v>1323</v>
      </c>
      <c r="B922" s="21">
        <v>286908</v>
      </c>
    </row>
    <row r="923" spans="1:2">
      <c r="A923" s="70" t="s">
        <v>1324</v>
      </c>
      <c r="B923" s="21">
        <v>274664</v>
      </c>
    </row>
    <row r="924" spans="1:2">
      <c r="A924" s="70" t="s">
        <v>1325</v>
      </c>
      <c r="B924" s="21">
        <v>274931</v>
      </c>
    </row>
    <row r="925" spans="1:2">
      <c r="A925" s="70" t="s">
        <v>1326</v>
      </c>
      <c r="B925" s="21">
        <v>278087</v>
      </c>
    </row>
    <row r="926" spans="1:2">
      <c r="A926" s="70" t="s">
        <v>1327</v>
      </c>
      <c r="B926" s="21">
        <v>296220</v>
      </c>
    </row>
    <row r="927" spans="1:2">
      <c r="A927" s="70" t="s">
        <v>1328</v>
      </c>
      <c r="B927" s="21">
        <v>271178</v>
      </c>
    </row>
    <row r="928" spans="1:2">
      <c r="A928" s="70" t="s">
        <v>1329</v>
      </c>
      <c r="B928" s="21"/>
    </row>
    <row r="929" spans="1:2">
      <c r="A929" s="70" t="s">
        <v>1330</v>
      </c>
      <c r="B929" s="21">
        <v>275281</v>
      </c>
    </row>
    <row r="930" spans="1:2">
      <c r="A930" s="70" t="s">
        <v>1331</v>
      </c>
      <c r="B930" s="21">
        <v>275518</v>
      </c>
    </row>
    <row r="931" spans="1:2">
      <c r="A931" s="70" t="s">
        <v>1332</v>
      </c>
      <c r="B931" s="21">
        <v>280844</v>
      </c>
    </row>
    <row r="932" spans="1:2">
      <c r="A932" s="70" t="s">
        <v>1333</v>
      </c>
      <c r="B932" s="21">
        <v>285956</v>
      </c>
    </row>
    <row r="933" spans="1:2">
      <c r="A933" s="70" t="s">
        <v>1334</v>
      </c>
      <c r="B933" s="21">
        <v>286956</v>
      </c>
    </row>
    <row r="934" spans="1:2">
      <c r="A934" s="70" t="s">
        <v>1335</v>
      </c>
      <c r="B934" s="21"/>
    </row>
    <row r="935" spans="1:2">
      <c r="A935" s="70" t="s">
        <v>1336</v>
      </c>
      <c r="B935" s="21"/>
    </row>
    <row r="936" spans="1:2">
      <c r="A936" s="70" t="s">
        <v>1337</v>
      </c>
      <c r="B936" s="21">
        <v>283420</v>
      </c>
    </row>
    <row r="937" spans="1:2">
      <c r="A937" s="70" t="s">
        <v>1338</v>
      </c>
      <c r="B937" s="21">
        <v>295086</v>
      </c>
    </row>
    <row r="938" spans="1:2">
      <c r="A938" s="70" t="s">
        <v>1339</v>
      </c>
      <c r="B938" s="21">
        <v>305588</v>
      </c>
    </row>
    <row r="939" spans="1:2">
      <c r="A939" s="70" t="s">
        <v>1340</v>
      </c>
      <c r="B939" s="21">
        <v>307937</v>
      </c>
    </row>
    <row r="940" spans="1:2">
      <c r="A940" s="70" t="s">
        <v>1341</v>
      </c>
      <c r="B940" s="21">
        <v>327731</v>
      </c>
    </row>
    <row r="941" spans="1:2">
      <c r="A941" s="70" t="s">
        <v>1342</v>
      </c>
      <c r="B941" s="21">
        <v>329792</v>
      </c>
    </row>
    <row r="942" spans="1:2">
      <c r="A942" s="70" t="s">
        <v>1343</v>
      </c>
      <c r="B942" s="21"/>
    </row>
    <row r="943" spans="1:2">
      <c r="A943" s="70" t="s">
        <v>1344</v>
      </c>
      <c r="B943" s="21"/>
    </row>
    <row r="944" spans="1:2">
      <c r="A944" s="70" t="s">
        <v>1345</v>
      </c>
      <c r="B944" s="21">
        <v>325226</v>
      </c>
    </row>
    <row r="945" spans="1:2">
      <c r="A945" s="70" t="s">
        <v>1346</v>
      </c>
      <c r="B945" s="21">
        <v>316404</v>
      </c>
    </row>
    <row r="946" spans="1:2">
      <c r="A946" s="70" t="s">
        <v>1347</v>
      </c>
      <c r="B946" s="21">
        <v>353602</v>
      </c>
    </row>
    <row r="947" spans="1:2">
      <c r="A947" s="70" t="s">
        <v>1348</v>
      </c>
      <c r="B947" s="21">
        <v>319209</v>
      </c>
    </row>
    <row r="948" spans="1:2">
      <c r="A948" s="70" t="s">
        <v>1349</v>
      </c>
      <c r="B948" s="21">
        <v>320390</v>
      </c>
    </row>
    <row r="949" spans="1:2">
      <c r="A949" s="70" t="s">
        <v>1350</v>
      </c>
      <c r="B949" s="21"/>
    </row>
    <row r="950" spans="1:2">
      <c r="A950" s="70" t="s">
        <v>1351</v>
      </c>
      <c r="B950" s="21">
        <v>317014</v>
      </c>
    </row>
    <row r="951" spans="1:2">
      <c r="A951" s="70" t="s">
        <v>1352</v>
      </c>
      <c r="B951" s="21"/>
    </row>
    <row r="952" spans="1:2">
      <c r="A952" s="70" t="s">
        <v>1353</v>
      </c>
      <c r="B952" s="21"/>
    </row>
    <row r="953" spans="1:2">
      <c r="A953" s="70" t="s">
        <v>1354</v>
      </c>
      <c r="B953" s="21">
        <v>330273</v>
      </c>
    </row>
    <row r="954" spans="1:2">
      <c r="A954" s="70" t="s">
        <v>1355</v>
      </c>
      <c r="B954" s="21">
        <v>327744</v>
      </c>
    </row>
    <row r="955" spans="1:2">
      <c r="A955" s="70" t="s">
        <v>1356</v>
      </c>
      <c r="B955" s="21">
        <v>319048</v>
      </c>
    </row>
    <row r="956" spans="1:2">
      <c r="A956" s="70" t="s">
        <v>1357</v>
      </c>
      <c r="B956" s="21"/>
    </row>
    <row r="957" spans="1:2">
      <c r="A957" s="70" t="s">
        <v>1358</v>
      </c>
      <c r="B957" s="21">
        <v>325395</v>
      </c>
    </row>
    <row r="958" spans="1:2">
      <c r="A958" s="70" t="s">
        <v>1359</v>
      </c>
      <c r="B958" s="21">
        <v>318992</v>
      </c>
    </row>
    <row r="959" spans="1:2">
      <c r="A959" s="70" t="s">
        <v>1360</v>
      </c>
      <c r="B959" s="21">
        <v>317692</v>
      </c>
    </row>
    <row r="960" spans="1:2">
      <c r="A960" s="70" t="s">
        <v>1361</v>
      </c>
      <c r="B960" s="21"/>
    </row>
    <row r="961" spans="1:2">
      <c r="A961" s="70" t="s">
        <v>1362</v>
      </c>
      <c r="B961" s="21">
        <v>320295</v>
      </c>
    </row>
    <row r="962" spans="1:2">
      <c r="A962" s="70" t="s">
        <v>1363</v>
      </c>
      <c r="B962" s="21">
        <v>319837</v>
      </c>
    </row>
    <row r="963" spans="1:2">
      <c r="A963" s="70" t="s">
        <v>1364</v>
      </c>
      <c r="B963" s="21"/>
    </row>
    <row r="964" spans="1:2">
      <c r="A964" s="70" t="s">
        <v>1365</v>
      </c>
      <c r="B964" s="21">
        <v>319549</v>
      </c>
    </row>
    <row r="965" spans="1:2">
      <c r="A965" s="70" t="s">
        <v>1366</v>
      </c>
      <c r="B965" s="21">
        <v>305360</v>
      </c>
    </row>
    <row r="966" spans="1:2">
      <c r="A966" s="70" t="s">
        <v>1367</v>
      </c>
      <c r="B966" s="21">
        <v>306269</v>
      </c>
    </row>
    <row r="967" spans="1:2">
      <c r="A967" s="70" t="s">
        <v>1368</v>
      </c>
      <c r="B967" s="21">
        <v>297125</v>
      </c>
    </row>
    <row r="968" spans="1:2">
      <c r="A968" s="70" t="s">
        <v>1369</v>
      </c>
      <c r="B968" s="21">
        <v>301853</v>
      </c>
    </row>
    <row r="969" spans="1:2">
      <c r="A969" s="70" t="s">
        <v>1370</v>
      </c>
      <c r="B969" s="21">
        <v>312225</v>
      </c>
    </row>
    <row r="970" spans="1:2">
      <c r="A970" s="70" t="s">
        <v>1371</v>
      </c>
      <c r="B970" s="21"/>
    </row>
    <row r="971" spans="1:2">
      <c r="A971" s="70" t="s">
        <v>1372</v>
      </c>
      <c r="B971" s="21">
        <v>318336</v>
      </c>
    </row>
    <row r="972" spans="1:2">
      <c r="A972" s="70" t="s">
        <v>1373</v>
      </c>
      <c r="B972" s="21">
        <v>316320</v>
      </c>
    </row>
    <row r="973" spans="1:2">
      <c r="A973" s="70" t="s">
        <v>1374</v>
      </c>
      <c r="B973" s="21">
        <v>310569</v>
      </c>
    </row>
    <row r="974" spans="1:2">
      <c r="A974" s="70" t="s">
        <v>1375</v>
      </c>
      <c r="B974" s="21">
        <v>307971</v>
      </c>
    </row>
    <row r="975" spans="1:2">
      <c r="A975" s="70" t="s">
        <v>1376</v>
      </c>
      <c r="B975" s="21">
        <v>312236</v>
      </c>
    </row>
    <row r="976" spans="1:2">
      <c r="A976" s="70" t="s">
        <v>1377</v>
      </c>
      <c r="B976" s="21">
        <v>312993</v>
      </c>
    </row>
    <row r="977" spans="1:2">
      <c r="A977" s="70" t="s">
        <v>1378</v>
      </c>
      <c r="B977" s="21"/>
    </row>
    <row r="978" spans="1:2">
      <c r="A978" s="70" t="s">
        <v>1379</v>
      </c>
      <c r="B978" s="21">
        <v>313316</v>
      </c>
    </row>
    <row r="979" spans="1:2">
      <c r="A979" s="70" t="s">
        <v>1380</v>
      </c>
      <c r="B979" s="21">
        <v>313679</v>
      </c>
    </row>
    <row r="980" spans="1:2">
      <c r="A980" s="70" t="s">
        <v>1381</v>
      </c>
      <c r="B980" s="21">
        <v>313219</v>
      </c>
    </row>
    <row r="981" spans="1:2">
      <c r="A981" s="70" t="s">
        <v>1382</v>
      </c>
      <c r="B981" s="21">
        <v>315167</v>
      </c>
    </row>
    <row r="982" spans="1:2">
      <c r="A982" s="70" t="s">
        <v>1383</v>
      </c>
      <c r="B982" s="21">
        <v>314292</v>
      </c>
    </row>
    <row r="983" spans="1:2">
      <c r="A983" s="70" t="s">
        <v>1384</v>
      </c>
      <c r="B983" s="21">
        <v>302276</v>
      </c>
    </row>
    <row r="984" spans="1:2">
      <c r="A984" s="70" t="s">
        <v>1385</v>
      </c>
      <c r="B984" s="21"/>
    </row>
    <row r="985" spans="1:2">
      <c r="A985" s="70" t="s">
        <v>1386</v>
      </c>
      <c r="B985" s="21">
        <v>309064</v>
      </c>
    </row>
    <row r="986" spans="1:2">
      <c r="A986" s="70" t="s">
        <v>1387</v>
      </c>
      <c r="B986" s="21">
        <v>303122</v>
      </c>
    </row>
    <row r="987" spans="1:2">
      <c r="A987" s="70" t="s">
        <v>1388</v>
      </c>
      <c r="B987" s="21">
        <v>306151</v>
      </c>
    </row>
    <row r="988" spans="1:2">
      <c r="A988" s="70" t="s">
        <v>1389</v>
      </c>
      <c r="B988" s="21">
        <v>308365</v>
      </c>
    </row>
    <row r="989" spans="1:2">
      <c r="A989" s="70" t="s">
        <v>1390</v>
      </c>
      <c r="B989" s="21">
        <v>309863</v>
      </c>
    </row>
    <row r="990" spans="1:2">
      <c r="A990" s="70" t="s">
        <v>1391</v>
      </c>
      <c r="B990" s="21">
        <v>305467</v>
      </c>
    </row>
    <row r="991" spans="1:2">
      <c r="A991" s="70" t="s">
        <v>1392</v>
      </c>
      <c r="B991" s="21"/>
    </row>
    <row r="992" spans="1:2">
      <c r="A992" s="70" t="s">
        <v>1393</v>
      </c>
      <c r="B992" s="21">
        <v>306174</v>
      </c>
    </row>
    <row r="993" spans="1:2">
      <c r="A993" s="70" t="s">
        <v>1394</v>
      </c>
      <c r="B993" s="21">
        <v>302667</v>
      </c>
    </row>
    <row r="994" spans="1:2">
      <c r="A994" s="70" t="s">
        <v>1395</v>
      </c>
      <c r="B994" s="21">
        <v>313891</v>
      </c>
    </row>
    <row r="995" spans="1:2">
      <c r="A995" s="70" t="s">
        <v>1396</v>
      </c>
      <c r="B995" s="21">
        <v>308631</v>
      </c>
    </row>
    <row r="996" spans="1:2">
      <c r="A996" s="70" t="s">
        <v>1397</v>
      </c>
      <c r="B996" s="21">
        <v>313252</v>
      </c>
    </row>
    <row r="997" spans="1:2">
      <c r="A997" s="70" t="s">
        <v>1398</v>
      </c>
      <c r="B997" s="21">
        <v>313129</v>
      </c>
    </row>
    <row r="998" spans="1:2">
      <c r="A998" s="70" t="s">
        <v>1399</v>
      </c>
      <c r="B998" s="21"/>
    </row>
    <row r="999" spans="1:2">
      <c r="A999" s="70" t="s">
        <v>1400</v>
      </c>
      <c r="B999" s="21">
        <v>311140</v>
      </c>
    </row>
    <row r="1000" spans="1:2">
      <c r="A1000" s="70" t="s">
        <v>1401</v>
      </c>
      <c r="B1000" s="21">
        <v>313175</v>
      </c>
    </row>
    <row r="1001" spans="1:2">
      <c r="A1001" s="70" t="s">
        <v>1402</v>
      </c>
      <c r="B1001" s="21">
        <v>312879</v>
      </c>
    </row>
    <row r="1002" spans="1:2">
      <c r="A1002" s="70" t="s">
        <v>1403</v>
      </c>
      <c r="B1002" s="21">
        <v>312160</v>
      </c>
    </row>
    <row r="1003" spans="1:2">
      <c r="A1003" s="70" t="s">
        <v>1404</v>
      </c>
      <c r="B1003" s="21">
        <v>310680</v>
      </c>
    </row>
    <row r="1004" spans="1:2">
      <c r="A1004" s="70" t="s">
        <v>1405</v>
      </c>
      <c r="B1004" s="21">
        <v>312857</v>
      </c>
    </row>
    <row r="1005" spans="1:2">
      <c r="A1005" s="70" t="s">
        <v>1406</v>
      </c>
      <c r="B1005" s="21"/>
    </row>
    <row r="1006" spans="1:2">
      <c r="A1006" s="70" t="s">
        <v>1407</v>
      </c>
      <c r="B1006" s="21">
        <v>314847</v>
      </c>
    </row>
    <row r="1007" spans="1:2">
      <c r="A1007" s="70" t="s">
        <v>1408</v>
      </c>
      <c r="B1007" s="21">
        <v>310981</v>
      </c>
    </row>
    <row r="1008" spans="1:2">
      <c r="A1008" s="70" t="s">
        <v>1409</v>
      </c>
      <c r="B1008" s="21">
        <v>315265</v>
      </c>
    </row>
    <row r="1009" spans="1:2">
      <c r="A1009" s="70" t="s">
        <v>1410</v>
      </c>
      <c r="B1009" s="21">
        <v>312426</v>
      </c>
    </row>
    <row r="1010" spans="1:2">
      <c r="A1010" s="70" t="s">
        <v>1411</v>
      </c>
      <c r="B1010" s="21">
        <v>313183</v>
      </c>
    </row>
    <row r="1011" spans="1:2">
      <c r="A1011" s="70" t="s">
        <v>1412</v>
      </c>
      <c r="B1011" s="21">
        <v>313495</v>
      </c>
    </row>
    <row r="1012" spans="1:2">
      <c r="A1012" s="70" t="s">
        <v>1413</v>
      </c>
      <c r="B1012" s="21"/>
    </row>
    <row r="1013" spans="1:2">
      <c r="A1013" s="70" t="s">
        <v>1414</v>
      </c>
      <c r="B1013" s="21">
        <v>312627</v>
      </c>
    </row>
    <row r="1014" spans="1:2">
      <c r="A1014" s="70" t="s">
        <v>1415</v>
      </c>
      <c r="B1014" s="21">
        <v>315015</v>
      </c>
    </row>
    <row r="1015" spans="1:2">
      <c r="A1015" s="70" t="s">
        <v>1416</v>
      </c>
      <c r="B1015" s="21">
        <v>316092</v>
      </c>
    </row>
    <row r="1016" spans="1:2">
      <c r="A1016" s="70" t="s">
        <v>1417</v>
      </c>
      <c r="B1016" s="21">
        <v>314138</v>
      </c>
    </row>
    <row r="1017" spans="1:2">
      <c r="A1017" s="70" t="s">
        <v>1418</v>
      </c>
      <c r="B1017" s="21">
        <v>316885</v>
      </c>
    </row>
    <row r="1018" spans="1:2">
      <c r="A1018" s="70" t="s">
        <v>1419</v>
      </c>
      <c r="B1018" s="21">
        <v>316940</v>
      </c>
    </row>
    <row r="1019" spans="1:2">
      <c r="A1019" s="70" t="s">
        <v>1420</v>
      </c>
      <c r="B1019" s="21"/>
    </row>
    <row r="1020" spans="1:2">
      <c r="A1020" s="70" t="s">
        <v>1421</v>
      </c>
      <c r="B1020" s="21">
        <v>317714</v>
      </c>
    </row>
    <row r="1021" spans="1:2">
      <c r="A1021" s="70" t="s">
        <v>1422</v>
      </c>
      <c r="B1021" s="21">
        <v>311228</v>
      </c>
    </row>
    <row r="1022" spans="1:2">
      <c r="A1022" s="70" t="s">
        <v>1423</v>
      </c>
      <c r="B1022" s="21">
        <v>317138</v>
      </c>
    </row>
    <row r="1023" spans="1:2">
      <c r="A1023" s="70" t="s">
        <v>1424</v>
      </c>
      <c r="B1023" s="21">
        <v>317439</v>
      </c>
    </row>
    <row r="1024" spans="1:2">
      <c r="A1024" s="70" t="s">
        <v>1425</v>
      </c>
      <c r="B1024" s="21">
        <v>318310</v>
      </c>
    </row>
    <row r="1025" spans="1:2">
      <c r="A1025" s="70" t="s">
        <v>1426</v>
      </c>
      <c r="B1025" s="21">
        <v>320774</v>
      </c>
    </row>
    <row r="1026" spans="1:2">
      <c r="A1026" s="70" t="s">
        <v>1427</v>
      </c>
      <c r="B1026" s="21"/>
    </row>
    <row r="1027" spans="1:2">
      <c r="A1027" s="70" t="s">
        <v>1428</v>
      </c>
      <c r="B1027" s="21">
        <v>316951</v>
      </c>
    </row>
    <row r="1028" spans="1:2">
      <c r="A1028" s="70" t="s">
        <v>1429</v>
      </c>
      <c r="B1028" s="21">
        <v>313604</v>
      </c>
    </row>
    <row r="1029" spans="1:2">
      <c r="A1029" s="70" t="s">
        <v>1430</v>
      </c>
      <c r="B1029" s="21">
        <v>313847</v>
      </c>
    </row>
    <row r="1030" spans="1:2">
      <c r="A1030" s="70" t="s">
        <v>1431</v>
      </c>
      <c r="B1030" s="21">
        <v>309310</v>
      </c>
    </row>
    <row r="1031" spans="1:2">
      <c r="A1031" s="70" t="s">
        <v>1432</v>
      </c>
      <c r="B1031" s="21">
        <v>311591</v>
      </c>
    </row>
    <row r="1032" spans="1:2">
      <c r="A1032" s="70" t="s">
        <v>1433</v>
      </c>
      <c r="B1032" s="21">
        <v>312285</v>
      </c>
    </row>
    <row r="1033" spans="1:2">
      <c r="A1033" s="70" t="s">
        <v>1434</v>
      </c>
      <c r="B1033" s="21"/>
    </row>
    <row r="1034" spans="1:2">
      <c r="A1034" s="70" t="s">
        <v>1435</v>
      </c>
      <c r="B1034" s="21">
        <v>308972</v>
      </c>
    </row>
    <row r="1035" spans="1:2">
      <c r="A1035" s="70" t="s">
        <v>1436</v>
      </c>
      <c r="B1035" s="21"/>
    </row>
    <row r="1036" spans="1:2">
      <c r="A1036" s="70" t="s">
        <v>1437</v>
      </c>
      <c r="B1036" s="21">
        <v>295604</v>
      </c>
    </row>
    <row r="1037" spans="1:2">
      <c r="A1037" s="70" t="s">
        <v>1438</v>
      </c>
      <c r="B1037" s="21">
        <v>287472</v>
      </c>
    </row>
    <row r="1038" spans="1:2">
      <c r="A1038" s="70" t="s">
        <v>1439</v>
      </c>
      <c r="B1038" s="21">
        <v>281354</v>
      </c>
    </row>
    <row r="1039" spans="1:2">
      <c r="A1039" s="70" t="s">
        <v>1440</v>
      </c>
      <c r="B1039" s="21">
        <v>289022</v>
      </c>
    </row>
    <row r="1040" spans="1:2">
      <c r="A1040" s="70" t="s">
        <v>1441</v>
      </c>
      <c r="B1040" s="21"/>
    </row>
    <row r="1041" spans="1:2">
      <c r="A1041" s="70" t="s">
        <v>1442</v>
      </c>
      <c r="B1041" s="21">
        <v>282808</v>
      </c>
    </row>
    <row r="1042" spans="1:2">
      <c r="A1042" s="70" t="s">
        <v>1443</v>
      </c>
      <c r="B1042" s="21">
        <v>284446</v>
      </c>
    </row>
    <row r="1043" spans="1:2">
      <c r="A1043" s="70" t="s">
        <v>1444</v>
      </c>
      <c r="B1043" s="21">
        <v>287669</v>
      </c>
    </row>
    <row r="1044" spans="1:2">
      <c r="A1044" s="70" t="s">
        <v>1445</v>
      </c>
      <c r="B1044" s="21">
        <v>286262</v>
      </c>
    </row>
    <row r="1045" spans="1:2">
      <c r="A1045" s="70" t="s">
        <v>1446</v>
      </c>
      <c r="B1045" s="21">
        <v>286654</v>
      </c>
    </row>
    <row r="1046" spans="1:2">
      <c r="A1046" s="70" t="s">
        <v>1447</v>
      </c>
      <c r="B1046" s="21">
        <v>285003</v>
      </c>
    </row>
    <row r="1047" spans="1:2">
      <c r="A1047" s="70" t="s">
        <v>1448</v>
      </c>
      <c r="B1047" s="21"/>
    </row>
    <row r="1048" spans="1:2">
      <c r="A1048" s="70" t="s">
        <v>1449</v>
      </c>
      <c r="B1048" s="21">
        <v>288582</v>
      </c>
    </row>
    <row r="1049" spans="1:2">
      <c r="A1049" s="70" t="s">
        <v>1450</v>
      </c>
      <c r="B1049" s="21">
        <v>292736</v>
      </c>
    </row>
    <row r="1050" spans="1:2">
      <c r="A1050" s="70" t="s">
        <v>1451</v>
      </c>
      <c r="B1050" s="21">
        <v>296248</v>
      </c>
    </row>
    <row r="1051" spans="1:2">
      <c r="A1051" s="70" t="s">
        <v>1452</v>
      </c>
      <c r="B1051" s="21">
        <v>291823</v>
      </c>
    </row>
    <row r="1052" spans="1:2">
      <c r="A1052" s="70" t="s">
        <v>1453</v>
      </c>
      <c r="B1052" s="21">
        <v>292044</v>
      </c>
    </row>
    <row r="1053" spans="1:2">
      <c r="A1053" s="70" t="s">
        <v>1454</v>
      </c>
      <c r="B1053" s="21">
        <v>288260</v>
      </c>
    </row>
    <row r="1054" spans="1:2">
      <c r="A1054" s="70" t="s">
        <v>1455</v>
      </c>
      <c r="B1054" s="21"/>
    </row>
    <row r="1055" spans="1:2">
      <c r="A1055" s="70" t="s">
        <v>1456</v>
      </c>
      <c r="B1055" s="21">
        <v>271922</v>
      </c>
    </row>
    <row r="1056" spans="1:2">
      <c r="A1056" s="70" t="s">
        <v>1457</v>
      </c>
      <c r="B1056" s="21">
        <v>290495</v>
      </c>
    </row>
    <row r="1057" spans="1:2">
      <c r="A1057" s="70" t="s">
        <v>1458</v>
      </c>
      <c r="B1057" s="21">
        <v>282758</v>
      </c>
    </row>
    <row r="1058" spans="1:2">
      <c r="A1058" s="70" t="s">
        <v>1459</v>
      </c>
      <c r="B1058" s="21">
        <v>286234</v>
      </c>
    </row>
    <row r="1059" spans="1:2">
      <c r="A1059" s="70" t="s">
        <v>1460</v>
      </c>
      <c r="B1059" s="21"/>
    </row>
    <row r="1060" spans="1:2">
      <c r="A1060" s="70" t="s">
        <v>1461</v>
      </c>
      <c r="B1060" s="21">
        <v>283519</v>
      </c>
    </row>
    <row r="1061" spans="1:2">
      <c r="A1061" s="70" t="s">
        <v>1462</v>
      </c>
      <c r="B1061" s="21"/>
    </row>
    <row r="1062" spans="1:2">
      <c r="A1062" s="70" t="s">
        <v>1463</v>
      </c>
      <c r="B1062" s="21">
        <v>288699</v>
      </c>
    </row>
    <row r="1063" spans="1:2">
      <c r="A1063" s="70" t="s">
        <v>1464</v>
      </c>
      <c r="B1063" s="21">
        <v>287956</v>
      </c>
    </row>
    <row r="1064" spans="1:2">
      <c r="A1064" s="70" t="s">
        <v>1465</v>
      </c>
      <c r="B1064" s="21">
        <v>287796</v>
      </c>
    </row>
    <row r="1065" spans="1:2">
      <c r="A1065" s="70" t="s">
        <v>1466</v>
      </c>
      <c r="B1065" s="21">
        <v>286994</v>
      </c>
    </row>
    <row r="1066" spans="1:2">
      <c r="A1066" s="70" t="s">
        <v>1467</v>
      </c>
      <c r="B1066" s="21">
        <v>288651</v>
      </c>
    </row>
    <row r="1067" spans="1:2">
      <c r="A1067" s="70" t="s">
        <v>1468</v>
      </c>
      <c r="B1067" s="21">
        <v>290136</v>
      </c>
    </row>
    <row r="1068" spans="1:2">
      <c r="A1068" s="70" t="s">
        <v>1469</v>
      </c>
      <c r="B1068" s="21"/>
    </row>
    <row r="1069" spans="1:2">
      <c r="A1069" s="70" t="s">
        <v>1470</v>
      </c>
      <c r="B1069" s="21">
        <v>292405</v>
      </c>
    </row>
    <row r="1070" spans="1:2">
      <c r="A1070" s="70" t="s">
        <v>1471</v>
      </c>
      <c r="B1070" s="21">
        <v>291076</v>
      </c>
    </row>
    <row r="1071" spans="1:2">
      <c r="A1071" s="70" t="s">
        <v>1472</v>
      </c>
      <c r="B1071" s="21">
        <v>290965</v>
      </c>
    </row>
    <row r="1072" spans="1:2">
      <c r="A1072" s="70" t="s">
        <v>1473</v>
      </c>
      <c r="B1072" s="21">
        <v>292387</v>
      </c>
    </row>
    <row r="1073" spans="1:2">
      <c r="A1073" s="70" t="s">
        <v>1474</v>
      </c>
      <c r="B1073" s="21">
        <v>290912</v>
      </c>
    </row>
    <row r="1074" spans="1:2">
      <c r="A1074" s="70" t="s">
        <v>1475</v>
      </c>
      <c r="B1074" s="21"/>
    </row>
    <row r="1075" spans="1:2">
      <c r="A1075" s="70" t="s">
        <v>1476</v>
      </c>
      <c r="B1075" s="21"/>
    </row>
    <row r="1076" spans="1:2">
      <c r="A1076" s="70" t="s">
        <v>1477</v>
      </c>
      <c r="B1076" s="21">
        <v>289641</v>
      </c>
    </row>
    <row r="1077" spans="1:2">
      <c r="A1077" s="70" t="s">
        <v>1478</v>
      </c>
      <c r="B1077" s="21">
        <v>290190</v>
      </c>
    </row>
    <row r="1078" spans="1:2">
      <c r="A1078" s="70" t="s">
        <v>1479</v>
      </c>
      <c r="B1078" s="21">
        <v>290537</v>
      </c>
    </row>
    <row r="1079" spans="1:2">
      <c r="A1079" s="70" t="s">
        <v>1480</v>
      </c>
      <c r="B1079" s="21">
        <v>291174</v>
      </c>
    </row>
    <row r="1080" spans="1:2">
      <c r="A1080" s="70" t="s">
        <v>1481</v>
      </c>
      <c r="B1080" s="21">
        <v>284000</v>
      </c>
    </row>
    <row r="1081" spans="1:2">
      <c r="A1081" s="70" t="s">
        <v>1482</v>
      </c>
      <c r="B1081" s="21">
        <v>307523</v>
      </c>
    </row>
    <row r="1082" spans="1:2">
      <c r="A1082" s="70" t="s">
        <v>1483</v>
      </c>
      <c r="B1082" s="21"/>
    </row>
    <row r="1083" spans="1:2">
      <c r="A1083" s="70" t="s">
        <v>1484</v>
      </c>
      <c r="B1083" s="21">
        <v>290344</v>
      </c>
    </row>
    <row r="1084" spans="1:2">
      <c r="A1084" s="70" t="s">
        <v>1485</v>
      </c>
      <c r="B1084" s="21">
        <v>280390</v>
      </c>
    </row>
    <row r="1085" spans="1:2">
      <c r="A1085" s="70" t="s">
        <v>1486</v>
      </c>
      <c r="B1085" s="21">
        <v>284270</v>
      </c>
    </row>
    <row r="1086" spans="1:2">
      <c r="A1086" s="70" t="s">
        <v>1487</v>
      </c>
      <c r="B1086" s="21">
        <v>277051</v>
      </c>
    </row>
    <row r="1087" spans="1:2">
      <c r="A1087" s="70" t="s">
        <v>1488</v>
      </c>
      <c r="B1087" s="21">
        <v>274469</v>
      </c>
    </row>
    <row r="1088" spans="1:2">
      <c r="A1088" s="70" t="s">
        <v>1489</v>
      </c>
      <c r="B1088" s="21"/>
    </row>
    <row r="1089" spans="1:2">
      <c r="A1089" s="70" t="s">
        <v>1490</v>
      </c>
      <c r="B1089" s="21"/>
    </row>
    <row r="1090" spans="1:2">
      <c r="A1090" s="70" t="s">
        <v>1491</v>
      </c>
      <c r="B1090" s="21">
        <v>277870</v>
      </c>
    </row>
    <row r="1091" spans="1:2">
      <c r="A1091" s="70" t="s">
        <v>1492</v>
      </c>
      <c r="B1091" s="21">
        <v>277863</v>
      </c>
    </row>
    <row r="1092" spans="1:2">
      <c r="A1092" s="70" t="s">
        <v>1493</v>
      </c>
      <c r="B1092" s="21">
        <v>277009</v>
      </c>
    </row>
    <row r="1093" spans="1:2">
      <c r="A1093" s="70" t="s">
        <v>1494</v>
      </c>
      <c r="B1093" s="21">
        <v>276437</v>
      </c>
    </row>
    <row r="1094" spans="1:2">
      <c r="A1094" s="70" t="s">
        <v>1495</v>
      </c>
      <c r="B1094" s="21">
        <v>272232</v>
      </c>
    </row>
    <row r="1095" spans="1:2">
      <c r="A1095" s="70" t="s">
        <v>1496</v>
      </c>
      <c r="B1095" s="21">
        <v>276376</v>
      </c>
    </row>
    <row r="1096" spans="1:2">
      <c r="A1096" s="70" t="s">
        <v>1497</v>
      </c>
      <c r="B1096" s="21"/>
    </row>
    <row r="1097" spans="1:2">
      <c r="A1097" s="70" t="s">
        <v>1498</v>
      </c>
      <c r="B1097" s="21"/>
    </row>
    <row r="1098" spans="1:2">
      <c r="A1098" s="70" t="s">
        <v>1499</v>
      </c>
      <c r="B1098" s="21"/>
    </row>
    <row r="1099" spans="1:2">
      <c r="A1099" s="70" t="s">
        <v>1500</v>
      </c>
      <c r="B1099" s="21"/>
    </row>
    <row r="1100" spans="1:2">
      <c r="A1100" s="70" t="s">
        <v>1501</v>
      </c>
      <c r="B1100" s="21"/>
    </row>
    <row r="1101" spans="1:2">
      <c r="A1101" s="70" t="s">
        <v>1502</v>
      </c>
      <c r="B1101" s="21"/>
    </row>
    <row r="1102" spans="1:2">
      <c r="A1102" s="70" t="s">
        <v>1503</v>
      </c>
      <c r="B1102" s="21">
        <v>301508</v>
      </c>
    </row>
    <row r="1103" spans="1:2">
      <c r="A1103" s="70" t="s">
        <v>1504</v>
      </c>
      <c r="B1103" s="21"/>
    </row>
    <row r="1104" spans="1:2">
      <c r="A1104" s="70" t="s">
        <v>1505</v>
      </c>
      <c r="B1104" s="21">
        <v>275586</v>
      </c>
    </row>
    <row r="1105" spans="1:2">
      <c r="A1105" s="70" t="s">
        <v>1506</v>
      </c>
      <c r="B1105" s="21">
        <v>268331</v>
      </c>
    </row>
    <row r="1106" spans="1:2">
      <c r="A1106" s="70" t="s">
        <v>1507</v>
      </c>
      <c r="B1106" s="21"/>
    </row>
    <row r="1107" spans="1:2">
      <c r="A1107" s="70" t="s">
        <v>1508</v>
      </c>
      <c r="B1107" s="21">
        <v>274440</v>
      </c>
    </row>
    <row r="1108" spans="1:2">
      <c r="A1108" s="70" t="s">
        <v>1509</v>
      </c>
      <c r="B1108" s="21">
        <v>269996</v>
      </c>
    </row>
    <row r="1109" spans="1:2">
      <c r="A1109" s="70" t="s">
        <v>1510</v>
      </c>
      <c r="B1109" s="21"/>
    </row>
    <row r="1110" spans="1:2">
      <c r="A1110" s="70" t="s">
        <v>1511</v>
      </c>
      <c r="B1110" s="21"/>
    </row>
    <row r="1111" spans="1:2">
      <c r="A1111" s="70" t="s">
        <v>1512</v>
      </c>
      <c r="B1111" s="21">
        <v>275321</v>
      </c>
    </row>
    <row r="1112" spans="1:2">
      <c r="A1112" s="70" t="s">
        <v>1513</v>
      </c>
      <c r="B1112" s="21">
        <v>275643</v>
      </c>
    </row>
    <row r="1113" spans="1:2">
      <c r="A1113" s="70" t="s">
        <v>1514</v>
      </c>
      <c r="B1113" s="21">
        <v>275038</v>
      </c>
    </row>
    <row r="1114" spans="1:2">
      <c r="A1114" s="70" t="s">
        <v>1515</v>
      </c>
      <c r="B1114" s="21">
        <v>277862</v>
      </c>
    </row>
    <row r="1115" spans="1:2">
      <c r="A1115" s="70" t="s">
        <v>1516</v>
      </c>
      <c r="B1115" s="21">
        <v>275286</v>
      </c>
    </row>
    <row r="1116" spans="1:2">
      <c r="A1116" s="70" t="s">
        <v>1517</v>
      </c>
      <c r="B1116" s="21">
        <v>275675</v>
      </c>
    </row>
    <row r="1117" spans="1:2">
      <c r="A1117" s="70" t="s">
        <v>1518</v>
      </c>
      <c r="B1117" s="21"/>
    </row>
    <row r="1118" spans="1:2">
      <c r="A1118" s="70" t="s">
        <v>1519</v>
      </c>
      <c r="B1118" s="21">
        <v>276746</v>
      </c>
    </row>
    <row r="1119" spans="1:2">
      <c r="A1119" s="70" t="s">
        <v>1520</v>
      </c>
      <c r="B1119" s="21">
        <v>278027</v>
      </c>
    </row>
    <row r="1120" spans="1:2">
      <c r="A1120" s="70" t="s">
        <v>1521</v>
      </c>
      <c r="B1120" s="21">
        <v>280071</v>
      </c>
    </row>
    <row r="1121" spans="1:2">
      <c r="A1121" s="70" t="s">
        <v>1522</v>
      </c>
      <c r="B1121" s="21">
        <v>275940</v>
      </c>
    </row>
    <row r="1122" spans="1:2">
      <c r="A1122" s="70" t="s">
        <v>1523</v>
      </c>
      <c r="B1122" s="21">
        <v>280229</v>
      </c>
    </row>
    <row r="1123" spans="1:2">
      <c r="A1123" s="70" t="s">
        <v>1524</v>
      </c>
      <c r="B1123" s="21">
        <v>278112</v>
      </c>
    </row>
    <row r="1124" spans="1:2">
      <c r="A1124" s="70" t="s">
        <v>1525</v>
      </c>
      <c r="B1124" s="21"/>
    </row>
    <row r="1125" spans="1:2">
      <c r="A1125" s="70" t="s">
        <v>1526</v>
      </c>
      <c r="B1125" s="21">
        <v>279834</v>
      </c>
    </row>
    <row r="1126" spans="1:2">
      <c r="A1126" s="70" t="s">
        <v>1527</v>
      </c>
      <c r="B1126" s="21">
        <v>284083</v>
      </c>
    </row>
    <row r="1127" spans="1:2">
      <c r="A1127" s="70" t="s">
        <v>1528</v>
      </c>
      <c r="B1127" s="21">
        <v>278443</v>
      </c>
    </row>
    <row r="1128" spans="1:2">
      <c r="A1128" s="70" t="s">
        <v>1529</v>
      </c>
      <c r="B1128" s="21">
        <v>280796</v>
      </c>
    </row>
    <row r="1129" spans="1:2">
      <c r="A1129" s="70" t="s">
        <v>1530</v>
      </c>
      <c r="B1129" s="21">
        <v>279597</v>
      </c>
    </row>
    <row r="1130" spans="1:2">
      <c r="A1130" s="70" t="s">
        <v>1531</v>
      </c>
      <c r="B1130" s="21">
        <v>278503</v>
      </c>
    </row>
    <row r="1131" spans="1:2">
      <c r="A1131" s="70" t="s">
        <v>1532</v>
      </c>
      <c r="B1131" s="21"/>
    </row>
    <row r="1132" spans="1:2">
      <c r="A1132" s="70" t="s">
        <v>1533</v>
      </c>
      <c r="B1132" s="21">
        <v>278904</v>
      </c>
    </row>
    <row r="1133" spans="1:2">
      <c r="A1133" s="70" t="s">
        <v>1534</v>
      </c>
      <c r="B1133" s="21">
        <v>278565</v>
      </c>
    </row>
    <row r="1134" spans="1:2">
      <c r="A1134" s="70" t="s">
        <v>1535</v>
      </c>
      <c r="B1134" s="21">
        <v>278686</v>
      </c>
    </row>
    <row r="1135" spans="1:2">
      <c r="A1135" s="70" t="s">
        <v>1536</v>
      </c>
      <c r="B1135" s="21">
        <v>278340</v>
      </c>
    </row>
    <row r="1136" spans="1:2">
      <c r="A1136" s="70" t="s">
        <v>1537</v>
      </c>
      <c r="B1136" s="21">
        <v>276213</v>
      </c>
    </row>
    <row r="1137" spans="1:2">
      <c r="A1137" s="70" t="s">
        <v>1538</v>
      </c>
      <c r="B1137" s="21">
        <v>274610</v>
      </c>
    </row>
    <row r="1138" spans="1:2">
      <c r="A1138" s="70" t="s">
        <v>1539</v>
      </c>
      <c r="B1138" s="21"/>
    </row>
    <row r="1139" spans="1:2">
      <c r="A1139" s="70" t="s">
        <v>1540</v>
      </c>
      <c r="B1139" s="21">
        <v>276039</v>
      </c>
    </row>
    <row r="1140" spans="1:2">
      <c r="A1140" s="70" t="s">
        <v>1541</v>
      </c>
      <c r="B1140" s="21">
        <v>275341</v>
      </c>
    </row>
    <row r="1141" spans="1:2">
      <c r="A1141" s="70" t="s">
        <v>1542</v>
      </c>
      <c r="B1141" s="21">
        <v>269280</v>
      </c>
    </row>
    <row r="1142" spans="1:2">
      <c r="A1142" s="70" t="s">
        <v>1543</v>
      </c>
      <c r="B1142" s="21"/>
    </row>
    <row r="1143" spans="1:2">
      <c r="A1143" s="70" t="s">
        <v>1544</v>
      </c>
      <c r="B1143" s="21">
        <v>265287</v>
      </c>
    </row>
    <row r="1144" spans="1:2">
      <c r="A1144" s="70" t="s">
        <v>1545</v>
      </c>
      <c r="B1144" s="21">
        <v>265178</v>
      </c>
    </row>
    <row r="1145" spans="1:2">
      <c r="A1145" s="70" t="s">
        <v>1546</v>
      </c>
      <c r="B1145" s="21"/>
    </row>
    <row r="1146" spans="1:2">
      <c r="A1146" s="70" t="s">
        <v>1547</v>
      </c>
      <c r="B1146" s="21">
        <v>259277</v>
      </c>
    </row>
    <row r="1147" spans="1:2">
      <c r="A1147" s="70" t="s">
        <v>1548</v>
      </c>
      <c r="B1147" s="21">
        <v>254229</v>
      </c>
    </row>
    <row r="1148" spans="1:2">
      <c r="A1148" s="70" t="s">
        <v>1549</v>
      </c>
      <c r="B1148" s="21">
        <v>249332</v>
      </c>
    </row>
    <row r="1149" spans="1:2">
      <c r="A1149" s="70" t="s">
        <v>1550</v>
      </c>
      <c r="B1149" s="21">
        <v>255204</v>
      </c>
    </row>
    <row r="1150" spans="1:2">
      <c r="A1150" s="70" t="s">
        <v>1551</v>
      </c>
      <c r="B1150" s="21">
        <v>251183</v>
      </c>
    </row>
    <row r="1151" spans="1:2">
      <c r="A1151" s="70" t="s">
        <v>1552</v>
      </c>
      <c r="B1151" s="21"/>
    </row>
    <row r="1152" spans="1:2">
      <c r="A1152" s="70" t="s">
        <v>1553</v>
      </c>
      <c r="B1152" s="21"/>
    </row>
    <row r="1153" spans="1:2">
      <c r="A1153" s="70" t="s">
        <v>1554</v>
      </c>
      <c r="B1153" s="21">
        <v>251141</v>
      </c>
    </row>
    <row r="1154" spans="1:2">
      <c r="A1154" s="70" t="s">
        <v>1555</v>
      </c>
      <c r="B1154" s="21">
        <v>249133</v>
      </c>
    </row>
    <row r="1155" spans="1:2">
      <c r="A1155" s="70" t="s">
        <v>1556</v>
      </c>
      <c r="B1155" s="21">
        <v>250448</v>
      </c>
    </row>
    <row r="1156" spans="1:2">
      <c r="A1156" s="70" t="s">
        <v>1557</v>
      </c>
      <c r="B1156" s="21">
        <v>249555</v>
      </c>
    </row>
    <row r="1157" spans="1:2">
      <c r="A1157" s="70" t="s">
        <v>1558</v>
      </c>
      <c r="B1157" s="21">
        <v>251020</v>
      </c>
    </row>
    <row r="1158" spans="1:2">
      <c r="A1158" s="70" t="s">
        <v>1559</v>
      </c>
      <c r="B1158" s="21">
        <v>251680</v>
      </c>
    </row>
    <row r="1159" spans="1:2">
      <c r="A1159" s="70" t="s">
        <v>1560</v>
      </c>
      <c r="B1159" s="21"/>
    </row>
    <row r="1160" spans="1:2">
      <c r="A1160" s="70" t="s">
        <v>1561</v>
      </c>
      <c r="B1160" s="21">
        <v>250706</v>
      </c>
    </row>
    <row r="1161" spans="1:2">
      <c r="A1161" s="70" t="s">
        <v>1562</v>
      </c>
      <c r="B1161" s="21">
        <v>250737</v>
      </c>
    </row>
    <row r="1162" spans="1:2">
      <c r="A1162" s="70" t="s">
        <v>1563</v>
      </c>
      <c r="B1162" s="21">
        <v>249683</v>
      </c>
    </row>
    <row r="1163" spans="1:2">
      <c r="A1163" s="70" t="s">
        <v>1564</v>
      </c>
      <c r="B1163" s="21">
        <v>249762</v>
      </c>
    </row>
    <row r="1164" spans="1:2">
      <c r="A1164" s="70" t="s">
        <v>1565</v>
      </c>
      <c r="B1164" s="21">
        <v>249765</v>
      </c>
    </row>
    <row r="1165" spans="1:2">
      <c r="A1165" s="70" t="s">
        <v>1566</v>
      </c>
      <c r="B1165" s="21">
        <v>249229</v>
      </c>
    </row>
    <row r="1166" spans="1:2">
      <c r="A1166" s="70" t="s">
        <v>1567</v>
      </c>
      <c r="B1166" s="21"/>
    </row>
    <row r="1167" spans="1:2">
      <c r="A1167" s="70" t="s">
        <v>1568</v>
      </c>
      <c r="B1167" s="21">
        <v>249091</v>
      </c>
    </row>
    <row r="1168" spans="1:2">
      <c r="A1168" s="70" t="s">
        <v>1569</v>
      </c>
      <c r="B1168" s="21">
        <v>249240</v>
      </c>
    </row>
    <row r="1169" spans="1:2">
      <c r="A1169" s="70" t="s">
        <v>1570</v>
      </c>
      <c r="B1169" s="21">
        <v>249187</v>
      </c>
    </row>
    <row r="1170" spans="1:2">
      <c r="A1170" s="70" t="s">
        <v>1571</v>
      </c>
      <c r="B1170" s="21">
        <v>248828</v>
      </c>
    </row>
    <row r="1171" spans="1:2">
      <c r="A1171" s="70" t="s">
        <v>1572</v>
      </c>
      <c r="B1171" s="21">
        <v>249685</v>
      </c>
    </row>
    <row r="1172" spans="1:2">
      <c r="A1172" s="70" t="s">
        <v>1573</v>
      </c>
      <c r="B1172" s="21">
        <v>249021</v>
      </c>
    </row>
    <row r="1173" spans="1:2">
      <c r="A1173" s="70" t="s">
        <v>1574</v>
      </c>
      <c r="B1173" s="21"/>
    </row>
    <row r="1174" spans="1:2">
      <c r="A1174" s="70" t="s">
        <v>1575</v>
      </c>
      <c r="B1174" s="21"/>
    </row>
    <row r="1175" spans="1:2">
      <c r="A1175" s="70" t="s">
        <v>1576</v>
      </c>
      <c r="B1175" s="21"/>
    </row>
    <row r="1176" spans="1:2">
      <c r="A1176" s="70" t="s">
        <v>1577</v>
      </c>
      <c r="B1176" s="21">
        <v>248046</v>
      </c>
    </row>
    <row r="1177" spans="1:2">
      <c r="A1177" s="70" t="s">
        <v>1578</v>
      </c>
      <c r="B1177" s="21">
        <v>248468</v>
      </c>
    </row>
    <row r="1178" spans="1:2">
      <c r="A1178" s="70" t="s">
        <v>1579</v>
      </c>
      <c r="B1178" s="21">
        <v>248462</v>
      </c>
    </row>
    <row r="1179" spans="1:2">
      <c r="A1179" s="71" t="s">
        <v>1580</v>
      </c>
      <c r="B1179" s="21">
        <v>248633</v>
      </c>
    </row>
    <row r="1180" spans="1:2">
      <c r="A1180" s="70" t="s">
        <v>1581</v>
      </c>
      <c r="B1180" s="21"/>
    </row>
    <row r="1181" spans="1:2">
      <c r="A1181" s="70" t="s">
        <v>1582</v>
      </c>
      <c r="B1181" s="21">
        <v>247057</v>
      </c>
    </row>
    <row r="1182" spans="1:2">
      <c r="A1182" s="70" t="s">
        <v>1583</v>
      </c>
      <c r="B1182" s="21">
        <v>249060</v>
      </c>
    </row>
    <row r="1183" spans="1:2">
      <c r="A1183" s="70" t="s">
        <v>1584</v>
      </c>
      <c r="B1183" s="21">
        <v>248794</v>
      </c>
    </row>
    <row r="1184" spans="1:2">
      <c r="A1184" s="70" t="s">
        <v>1585</v>
      </c>
      <c r="B1184" s="21">
        <v>249606</v>
      </c>
    </row>
    <row r="1185" spans="1:2">
      <c r="A1185" s="70" t="s">
        <v>1586</v>
      </c>
      <c r="B1185" s="21">
        <v>250881</v>
      </c>
    </row>
    <row r="1186" spans="1:2">
      <c r="A1186" s="70" t="s">
        <v>1587</v>
      </c>
      <c r="B1186" s="21">
        <v>250701</v>
      </c>
    </row>
    <row r="1187" spans="1:2">
      <c r="A1187" s="70" t="s">
        <v>1588</v>
      </c>
      <c r="B1187" s="21"/>
    </row>
    <row r="1188" spans="1:2">
      <c r="A1188" s="70" t="s">
        <v>1589</v>
      </c>
      <c r="B1188" s="21">
        <v>248021</v>
      </c>
    </row>
    <row r="1189" spans="1:2">
      <c r="A1189" s="70" t="s">
        <v>1590</v>
      </c>
      <c r="B1189" s="21">
        <v>249395</v>
      </c>
    </row>
    <row r="1190" spans="1:2">
      <c r="A1190" s="70" t="s">
        <v>1591</v>
      </c>
      <c r="B1190" s="21">
        <v>248885</v>
      </c>
    </row>
    <row r="1191" spans="1:2">
      <c r="A1191" s="70" t="s">
        <v>1592</v>
      </c>
      <c r="B1191" s="21">
        <v>250493</v>
      </c>
    </row>
    <row r="1192" spans="1:2">
      <c r="A1192" s="70" t="s">
        <v>1593</v>
      </c>
      <c r="B1192" s="21">
        <v>248895</v>
      </c>
    </row>
    <row r="1193" spans="1:2">
      <c r="A1193" s="70" t="s">
        <v>1594</v>
      </c>
      <c r="B1193" s="21">
        <v>253729</v>
      </c>
    </row>
    <row r="1194" spans="1:2">
      <c r="A1194" s="70" t="s">
        <v>1595</v>
      </c>
      <c r="B1194" s="21"/>
    </row>
    <row r="1195" spans="1:2">
      <c r="A1195" s="70" t="s">
        <v>1596</v>
      </c>
      <c r="B1195" s="21">
        <v>255031</v>
      </c>
    </row>
    <row r="1196" spans="1:2">
      <c r="A1196" s="70" t="s">
        <v>1597</v>
      </c>
      <c r="B1196" s="21">
        <v>255011</v>
      </c>
    </row>
    <row r="1197" spans="1:2">
      <c r="A1197" s="70" t="s">
        <v>1598</v>
      </c>
      <c r="B1197" s="21">
        <v>257758</v>
      </c>
    </row>
    <row r="1198" spans="1:2">
      <c r="A1198" s="70" t="s">
        <v>1599</v>
      </c>
      <c r="B1198" s="21">
        <v>258159</v>
      </c>
    </row>
    <row r="1199" spans="1:2">
      <c r="A1199" s="70" t="s">
        <v>1600</v>
      </c>
      <c r="B1199" s="21">
        <v>259859</v>
      </c>
    </row>
    <row r="1200" spans="1:2">
      <c r="A1200" s="70" t="s">
        <v>1601</v>
      </c>
      <c r="B1200" s="21">
        <v>260478</v>
      </c>
    </row>
    <row r="1201" spans="1:2">
      <c r="A1201" s="70" t="s">
        <v>1602</v>
      </c>
      <c r="B1201" s="21"/>
    </row>
    <row r="1202" spans="1:2">
      <c r="A1202" s="70" t="s">
        <v>1603</v>
      </c>
      <c r="B1202" s="21">
        <v>259579</v>
      </c>
    </row>
    <row r="1203" spans="1:2">
      <c r="A1203" s="70" t="s">
        <v>1604</v>
      </c>
      <c r="B1203" s="21">
        <v>262249</v>
      </c>
    </row>
    <row r="1204" spans="1:2">
      <c r="A1204" s="70" t="s">
        <v>1605</v>
      </c>
      <c r="B1204" s="21">
        <v>262704</v>
      </c>
    </row>
    <row r="1205" spans="1:2">
      <c r="A1205" s="70" t="s">
        <v>1606</v>
      </c>
      <c r="B1205" s="21">
        <v>264809</v>
      </c>
    </row>
    <row r="1206" spans="1:2">
      <c r="A1206" s="70" t="s">
        <v>1607</v>
      </c>
      <c r="B1206" s="21">
        <v>264808</v>
      </c>
    </row>
    <row r="1207" spans="1:2">
      <c r="A1207" s="70" t="s">
        <v>1608</v>
      </c>
      <c r="B1207" s="21">
        <v>264321</v>
      </c>
    </row>
    <row r="1208" spans="1:2">
      <c r="A1208" s="70" t="s">
        <v>1609</v>
      </c>
      <c r="B1208" s="21"/>
    </row>
    <row r="1209" spans="1:2">
      <c r="A1209" s="70" t="s">
        <v>1610</v>
      </c>
      <c r="B1209" s="21">
        <v>262332</v>
      </c>
    </row>
    <row r="1210" spans="1:2">
      <c r="A1210" s="70" t="s">
        <v>1611</v>
      </c>
      <c r="B1210" s="21">
        <v>265228</v>
      </c>
    </row>
    <row r="1211" spans="1:2">
      <c r="A1211" s="70" t="s">
        <v>1612</v>
      </c>
      <c r="B1211" s="21">
        <v>265110</v>
      </c>
    </row>
    <row r="1212" spans="1:2">
      <c r="A1212" s="70" t="s">
        <v>1613</v>
      </c>
      <c r="B1212" s="21">
        <v>264917</v>
      </c>
    </row>
    <row r="1213" spans="1:2">
      <c r="A1213" s="70" t="s">
        <v>1614</v>
      </c>
      <c r="B1213" s="21">
        <v>264574</v>
      </c>
    </row>
    <row r="1214" spans="1:2">
      <c r="A1214" s="70" t="s">
        <v>1615</v>
      </c>
      <c r="B1214" s="21"/>
    </row>
    <row r="1215" spans="1:2">
      <c r="A1215" s="70" t="s">
        <v>1616</v>
      </c>
      <c r="B1215" s="21"/>
    </row>
    <row r="1216" spans="1:2">
      <c r="A1216" s="70" t="s">
        <v>1617</v>
      </c>
      <c r="B1216" s="21">
        <v>264130</v>
      </c>
    </row>
    <row r="1217" spans="1:2">
      <c r="A1217" s="70" t="s">
        <v>1618</v>
      </c>
      <c r="B1217" s="21">
        <v>264441</v>
      </c>
    </row>
    <row r="1218" spans="1:2">
      <c r="A1218" s="70" t="s">
        <v>1619</v>
      </c>
      <c r="B1218" s="21">
        <v>263340</v>
      </c>
    </row>
    <row r="1219" spans="1:2">
      <c r="A1219" s="70" t="s">
        <v>1620</v>
      </c>
      <c r="B1219" s="21"/>
    </row>
    <row r="1220" spans="1:2">
      <c r="A1220" s="70" t="s">
        <v>1621</v>
      </c>
      <c r="B1220" s="21"/>
    </row>
    <row r="1221" spans="1:2">
      <c r="A1221" s="70" t="s">
        <v>1622</v>
      </c>
      <c r="B1221" s="21"/>
    </row>
    <row r="1222" spans="1:2">
      <c r="A1222" s="70" t="s">
        <v>1623</v>
      </c>
      <c r="B1222" s="21"/>
    </row>
    <row r="1223" spans="1:2">
      <c r="A1223" s="70" t="s">
        <v>1624</v>
      </c>
      <c r="B1223" s="21"/>
    </row>
    <row r="1224" spans="1:2">
      <c r="A1224" s="70" t="s">
        <v>1625</v>
      </c>
      <c r="B1224" s="21"/>
    </row>
    <row r="1225" spans="1:2">
      <c r="A1225" s="70" t="s">
        <v>1626</v>
      </c>
      <c r="B1225" s="21">
        <v>264052</v>
      </c>
    </row>
    <row r="1226" spans="1:2">
      <c r="A1226" s="70" t="s">
        <v>1627</v>
      </c>
      <c r="B1226" s="21">
        <v>263767</v>
      </c>
    </row>
    <row r="1227" spans="1:2">
      <c r="A1227" s="70" t="s">
        <v>1628</v>
      </c>
      <c r="B1227" s="21">
        <v>264842</v>
      </c>
    </row>
    <row r="1228" spans="1:2">
      <c r="A1228" s="70" t="s">
        <v>1629</v>
      </c>
      <c r="B1228" s="21"/>
    </row>
    <row r="1229" spans="1:2">
      <c r="A1229" s="70" t="s">
        <v>1630</v>
      </c>
      <c r="B1229" s="21"/>
    </row>
    <row r="1230" spans="1:2">
      <c r="A1230" s="70" t="s">
        <v>1631</v>
      </c>
      <c r="B1230" s="21">
        <v>265772</v>
      </c>
    </row>
    <row r="1231" spans="1:2">
      <c r="A1231" s="70" t="s">
        <v>1632</v>
      </c>
      <c r="B1231" s="21">
        <v>266069</v>
      </c>
    </row>
    <row r="1232" spans="1:2">
      <c r="A1232" s="70" t="s">
        <v>1633</v>
      </c>
      <c r="B1232" s="21">
        <v>266206</v>
      </c>
    </row>
    <row r="1233" spans="1:2">
      <c r="A1233" s="70" t="s">
        <v>1634</v>
      </c>
      <c r="B1233" s="21">
        <v>264706</v>
      </c>
    </row>
    <row r="1234" spans="1:2">
      <c r="A1234" s="70" t="s">
        <v>1635</v>
      </c>
      <c r="B1234" s="21">
        <v>265722</v>
      </c>
    </row>
    <row r="1235" spans="1:2">
      <c r="A1235" s="70" t="s">
        <v>1636</v>
      </c>
      <c r="B1235" s="21"/>
    </row>
    <row r="1236" spans="1:2">
      <c r="A1236" s="70" t="s">
        <v>1637</v>
      </c>
      <c r="B1236" s="21"/>
    </row>
    <row r="1237" spans="1:2">
      <c r="A1237" s="70" t="s">
        <v>1638</v>
      </c>
      <c r="B1237" s="21">
        <v>265780</v>
      </c>
    </row>
    <row r="1238" spans="1:2">
      <c r="A1238" s="70" t="s">
        <v>1639</v>
      </c>
      <c r="B1238" s="21">
        <v>266986</v>
      </c>
    </row>
    <row r="1239" spans="1:2">
      <c r="A1239" s="70" t="s">
        <v>1640</v>
      </c>
      <c r="B1239" s="21">
        <v>266321</v>
      </c>
    </row>
    <row r="1240" spans="1:2">
      <c r="A1240" s="70" t="s">
        <v>1641</v>
      </c>
      <c r="B1240" s="21">
        <v>266216</v>
      </c>
    </row>
    <row r="1241" spans="1:2">
      <c r="A1241" s="70" t="s">
        <v>1642</v>
      </c>
      <c r="B1241" s="21">
        <v>267637</v>
      </c>
    </row>
    <row r="1242" spans="1:2">
      <c r="A1242" s="70" t="s">
        <v>1643</v>
      </c>
      <c r="B1242" s="21"/>
    </row>
    <row r="1243" spans="1:2">
      <c r="A1243" s="70" t="s">
        <v>1644</v>
      </c>
      <c r="B1243" s="21"/>
    </row>
    <row r="1244" spans="1:2">
      <c r="A1244" s="70" t="s">
        <v>1645</v>
      </c>
      <c r="B1244" s="21">
        <v>269825</v>
      </c>
    </row>
    <row r="1245" spans="1:2">
      <c r="A1245" s="70" t="s">
        <v>1646</v>
      </c>
      <c r="B1245" s="21">
        <v>269208</v>
      </c>
    </row>
    <row r="1246" spans="1:2">
      <c r="A1246" s="70" t="s">
        <v>1647</v>
      </c>
      <c r="B1246" s="21"/>
    </row>
    <row r="1247" spans="1:2">
      <c r="A1247" s="70" t="s">
        <v>1648</v>
      </c>
      <c r="B1247" s="21"/>
    </row>
    <row r="1248" spans="1:2">
      <c r="A1248" s="70" t="s">
        <v>1649</v>
      </c>
      <c r="B1248" s="21"/>
    </row>
    <row r="1249" spans="1:2">
      <c r="A1249" s="70" t="s">
        <v>1650</v>
      </c>
      <c r="B1249" s="21"/>
    </row>
    <row r="1250" spans="1:2">
      <c r="A1250" s="70" t="s">
        <v>1651</v>
      </c>
      <c r="B1250" s="21"/>
    </row>
    <row r="1251" spans="1:2">
      <c r="A1251" s="70" t="s">
        <v>1652</v>
      </c>
      <c r="B1251" s="21"/>
    </row>
    <row r="1252" spans="1:2">
      <c r="A1252" s="70" t="s">
        <v>1653</v>
      </c>
      <c r="B1252" s="21">
        <v>269874</v>
      </c>
    </row>
    <row r="1253" spans="1:2">
      <c r="A1253" s="70" t="s">
        <v>1654</v>
      </c>
      <c r="B1253" s="21">
        <v>268759</v>
      </c>
    </row>
    <row r="1254" spans="1:2">
      <c r="A1254" s="70" t="s">
        <v>1655</v>
      </c>
      <c r="B1254" s="21">
        <v>270128</v>
      </c>
    </row>
    <row r="1255" spans="1:2">
      <c r="A1255" s="71" t="s">
        <v>1656</v>
      </c>
      <c r="B1255" s="21">
        <v>271617</v>
      </c>
    </row>
    <row r="1256" spans="1:2">
      <c r="A1256" s="70" t="s">
        <v>1657</v>
      </c>
      <c r="B1256" s="21">
        <v>271846</v>
      </c>
    </row>
    <row r="1257" spans="1:2">
      <c r="A1257" s="70" t="s">
        <v>1658</v>
      </c>
      <c r="B1257" s="21"/>
    </row>
    <row r="1258" spans="1:2">
      <c r="A1258" s="70" t="s">
        <v>1659</v>
      </c>
      <c r="B1258" s="21">
        <v>272654</v>
      </c>
    </row>
    <row r="1259" spans="1:2">
      <c r="A1259" s="70" t="s">
        <v>1660</v>
      </c>
      <c r="B1259" s="21">
        <v>272349</v>
      </c>
    </row>
    <row r="1260" spans="1:2">
      <c r="A1260" s="70" t="s">
        <v>1661</v>
      </c>
      <c r="B1260" s="21">
        <v>271883</v>
      </c>
    </row>
    <row r="1261" spans="1:2">
      <c r="A1261" s="70" t="s">
        <v>1662</v>
      </c>
      <c r="B1261" s="21">
        <v>271394</v>
      </c>
    </row>
    <row r="1262" spans="1:2">
      <c r="A1262" s="70" t="s">
        <v>1663</v>
      </c>
      <c r="B1262" s="21">
        <v>272245</v>
      </c>
    </row>
    <row r="1263" spans="1:2">
      <c r="A1263" s="70" t="s">
        <v>1664</v>
      </c>
      <c r="B1263" s="21">
        <v>274257</v>
      </c>
    </row>
    <row r="1264" spans="1:2">
      <c r="A1264" s="70" t="s">
        <v>1665</v>
      </c>
      <c r="B1264" s="21"/>
    </row>
    <row r="1265" spans="1:2">
      <c r="A1265" s="70" t="s">
        <v>1666</v>
      </c>
      <c r="B1265" s="21">
        <v>272983</v>
      </c>
    </row>
    <row r="1266" spans="1:2">
      <c r="A1266" s="70" t="s">
        <v>1667</v>
      </c>
      <c r="B1266" s="21">
        <v>273084</v>
      </c>
    </row>
    <row r="1267" spans="1:2">
      <c r="A1267" s="70" t="s">
        <v>1668</v>
      </c>
      <c r="B1267" s="21">
        <v>273123</v>
      </c>
    </row>
    <row r="1268" spans="1:2">
      <c r="A1268" s="70" t="s">
        <v>1669</v>
      </c>
      <c r="B1268" s="21">
        <v>273093</v>
      </c>
    </row>
    <row r="1269" spans="1:2">
      <c r="A1269" s="70" t="s">
        <v>1670</v>
      </c>
      <c r="B1269" s="21">
        <v>271033</v>
      </c>
    </row>
    <row r="1270" spans="1:2">
      <c r="A1270" s="70" t="s">
        <v>1671</v>
      </c>
      <c r="B1270" s="21">
        <v>272793</v>
      </c>
    </row>
    <row r="1271" spans="1:2">
      <c r="A1271" s="70" t="s">
        <v>1672</v>
      </c>
      <c r="B1271" s="21"/>
    </row>
    <row r="1272" spans="1:2">
      <c r="A1272" s="70" t="s">
        <v>1673</v>
      </c>
      <c r="B1272" s="21">
        <v>273091</v>
      </c>
    </row>
    <row r="1273" spans="1:2">
      <c r="A1273" s="70" t="s">
        <v>1674</v>
      </c>
      <c r="B1273" s="21">
        <v>273830</v>
      </c>
    </row>
    <row r="1274" spans="1:2">
      <c r="A1274" s="70" t="s">
        <v>1675</v>
      </c>
      <c r="B1274" s="21">
        <v>272358</v>
      </c>
    </row>
    <row r="1275" spans="1:2">
      <c r="A1275" s="70" t="s">
        <v>1676</v>
      </c>
      <c r="B1275" s="21">
        <v>272984</v>
      </c>
    </row>
    <row r="1276" spans="1:2">
      <c r="A1276" s="70" t="s">
        <v>1677</v>
      </c>
      <c r="B1276" s="21">
        <v>272961</v>
      </c>
    </row>
    <row r="1277" spans="1:2">
      <c r="A1277" s="70" t="s">
        <v>1678</v>
      </c>
      <c r="B1277" s="21">
        <v>273150</v>
      </c>
    </row>
    <row r="1278" spans="1:2">
      <c r="A1278" s="70" t="s">
        <v>1679</v>
      </c>
      <c r="B1278" s="21"/>
    </row>
    <row r="1279" spans="1:2">
      <c r="A1279" s="70" t="s">
        <v>1680</v>
      </c>
      <c r="B1279" s="21">
        <v>271963</v>
      </c>
    </row>
    <row r="1280" spans="1:2">
      <c r="A1280" s="70" t="s">
        <v>1681</v>
      </c>
      <c r="B1280" s="21">
        <v>272355</v>
      </c>
    </row>
    <row r="1281" spans="1:2">
      <c r="A1281" s="70" t="s">
        <v>1682</v>
      </c>
      <c r="B1281" s="21">
        <v>271132</v>
      </c>
    </row>
    <row r="1282" spans="1:2">
      <c r="A1282" s="70" t="s">
        <v>1683</v>
      </c>
      <c r="B1282" s="21">
        <v>271987</v>
      </c>
    </row>
    <row r="1283" spans="1:2">
      <c r="A1283" s="70" t="s">
        <v>1684</v>
      </c>
      <c r="B1283" s="21">
        <v>271346</v>
      </c>
    </row>
    <row r="1284" spans="1:2">
      <c r="A1284" s="70" t="s">
        <v>1685</v>
      </c>
      <c r="B1284" s="21">
        <v>272602</v>
      </c>
    </row>
    <row r="1285" spans="1:2">
      <c r="A1285" s="70" t="s">
        <v>1686</v>
      </c>
      <c r="B1285" s="21"/>
    </row>
    <row r="1286" spans="1:2">
      <c r="A1286" s="70" t="s">
        <v>1687</v>
      </c>
      <c r="B1286" s="21">
        <v>272201</v>
      </c>
    </row>
    <row r="1287" spans="1:2">
      <c r="A1287" s="70" t="s">
        <v>1688</v>
      </c>
      <c r="B1287" s="21">
        <v>271910</v>
      </c>
    </row>
    <row r="1288" spans="1:2">
      <c r="A1288" s="70" t="s">
        <v>1689</v>
      </c>
      <c r="B1288" s="21"/>
    </row>
    <row r="1289" spans="1:2">
      <c r="A1289" s="70" t="s">
        <v>1690</v>
      </c>
      <c r="B1289" s="21">
        <v>271487</v>
      </c>
    </row>
    <row r="1290" spans="1:2">
      <c r="A1290" s="70" t="s">
        <v>1691</v>
      </c>
      <c r="B1290" s="21">
        <v>271056</v>
      </c>
    </row>
    <row r="1291" spans="1:2">
      <c r="A1291" s="70" t="s">
        <v>1692</v>
      </c>
      <c r="B1291" s="21">
        <v>272987</v>
      </c>
    </row>
    <row r="1292" spans="1:2">
      <c r="A1292" s="70" t="s">
        <v>1693</v>
      </c>
      <c r="B1292" s="21"/>
    </row>
    <row r="1293" spans="1:2">
      <c r="A1293" s="70" t="s">
        <v>1694</v>
      </c>
      <c r="B1293" s="21">
        <v>270384</v>
      </c>
    </row>
    <row r="1294" spans="1:2">
      <c r="A1294" s="70" t="s">
        <v>1695</v>
      </c>
      <c r="B1294" s="21">
        <v>271448</v>
      </c>
    </row>
    <row r="1295" spans="1:2">
      <c r="A1295" s="70" t="s">
        <v>1696</v>
      </c>
      <c r="B1295" s="21">
        <v>271788</v>
      </c>
    </row>
    <row r="1296" spans="1:2">
      <c r="A1296" s="70" t="s">
        <v>1697</v>
      </c>
      <c r="B1296" s="21"/>
    </row>
    <row r="1297" spans="1:2">
      <c r="A1297" s="70" t="s">
        <v>1698</v>
      </c>
      <c r="B1297" s="21">
        <v>270697</v>
      </c>
    </row>
    <row r="1298" spans="1:2">
      <c r="A1298" s="70" t="s">
        <v>1699</v>
      </c>
      <c r="B1298" s="21"/>
    </row>
    <row r="1299" spans="1:2">
      <c r="A1299" s="70" t="s">
        <v>1700</v>
      </c>
      <c r="B1299" s="21"/>
    </row>
    <row r="1300" spans="1:2">
      <c r="A1300" s="70" t="s">
        <v>1701</v>
      </c>
      <c r="B1300" s="21">
        <v>270697</v>
      </c>
    </row>
    <row r="1301" spans="1:2">
      <c r="A1301" s="70" t="s">
        <v>1702</v>
      </c>
      <c r="B1301" s="21">
        <v>271211</v>
      </c>
    </row>
    <row r="1302" spans="1:2">
      <c r="A1302" s="70" t="s">
        <v>1703</v>
      </c>
      <c r="B1302" s="21">
        <v>271920</v>
      </c>
    </row>
    <row r="1303" spans="1:2">
      <c r="A1303" s="70" t="s">
        <v>1704</v>
      </c>
      <c r="B1303" s="21">
        <v>272621</v>
      </c>
    </row>
    <row r="1304" spans="1:2">
      <c r="A1304" s="70" t="s">
        <v>1705</v>
      </c>
      <c r="B1304" s="21">
        <v>272842</v>
      </c>
    </row>
    <row r="1305" spans="1:2">
      <c r="A1305" s="70" t="s">
        <v>1706</v>
      </c>
      <c r="B1305" s="21">
        <v>271330</v>
      </c>
    </row>
    <row r="1306" spans="1:2">
      <c r="A1306" s="70" t="s">
        <v>1707</v>
      </c>
      <c r="B1306" s="21"/>
    </row>
    <row r="1307" spans="1:2">
      <c r="A1307" s="70" t="s">
        <v>1708</v>
      </c>
      <c r="B1307" s="21">
        <v>272071</v>
      </c>
    </row>
    <row r="1308" spans="1:2">
      <c r="A1308" s="70" t="s">
        <v>1709</v>
      </c>
      <c r="B1308" s="21">
        <v>272300</v>
      </c>
    </row>
    <row r="1309" spans="1:2">
      <c r="A1309" s="70" t="s">
        <v>1710</v>
      </c>
      <c r="B1309" s="21">
        <v>271745</v>
      </c>
    </row>
    <row r="1310" spans="1:2">
      <c r="A1310" s="70" t="s">
        <v>1711</v>
      </c>
      <c r="B1310" s="21">
        <v>271696</v>
      </c>
    </row>
    <row r="1311" spans="1:2">
      <c r="A1311" s="70" t="s">
        <v>1712</v>
      </c>
      <c r="B1311" s="21">
        <v>272301</v>
      </c>
    </row>
    <row r="1312" spans="1:2">
      <c r="A1312" s="70" t="s">
        <v>1713</v>
      </c>
      <c r="B1312" s="21">
        <v>272590</v>
      </c>
    </row>
    <row r="1313" spans="1:2">
      <c r="A1313" s="70" t="s">
        <v>1714</v>
      </c>
      <c r="B1313" s="21"/>
    </row>
    <row r="1314" spans="1:2">
      <c r="A1314" s="70" t="s">
        <v>1715</v>
      </c>
      <c r="B1314" s="21">
        <v>271649</v>
      </c>
    </row>
    <row r="1315" spans="1:2">
      <c r="A1315" s="70" t="s">
        <v>1716</v>
      </c>
      <c r="B1315" s="21"/>
    </row>
    <row r="1316" spans="1:2">
      <c r="A1316" s="70" t="s">
        <v>1717</v>
      </c>
      <c r="B1316" s="21">
        <v>271166</v>
      </c>
    </row>
    <row r="1317" spans="1:2">
      <c r="A1317" s="70" t="s">
        <v>1718</v>
      </c>
      <c r="B1317" s="21">
        <v>270873</v>
      </c>
    </row>
    <row r="1318" spans="1:2">
      <c r="A1318" s="70" t="s">
        <v>1719</v>
      </c>
      <c r="B1318" s="21">
        <v>270546</v>
      </c>
    </row>
    <row r="1319" spans="1:2">
      <c r="A1319" s="70" t="s">
        <v>1720</v>
      </c>
      <c r="B1319" s="21">
        <v>270497</v>
      </c>
    </row>
    <row r="1320" spans="1:2">
      <c r="A1320" s="70" t="s">
        <v>1721</v>
      </c>
      <c r="B1320" s="21"/>
    </row>
    <row r="1321" spans="1:2">
      <c r="A1321" s="70" t="s">
        <v>1722</v>
      </c>
      <c r="B1321" s="21">
        <v>270775</v>
      </c>
    </row>
    <row r="1322" spans="1:2">
      <c r="A1322" s="70" t="s">
        <v>1723</v>
      </c>
      <c r="B1322" s="21">
        <v>270735</v>
      </c>
    </row>
    <row r="1323" spans="1:2">
      <c r="A1323" s="70" t="s">
        <v>1724</v>
      </c>
      <c r="B1323" s="21">
        <v>269821</v>
      </c>
    </row>
    <row r="1324" spans="1:2">
      <c r="A1324" s="70" t="s">
        <v>1725</v>
      </c>
      <c r="B1324" s="21">
        <v>269376</v>
      </c>
    </row>
    <row r="1325" spans="1:2">
      <c r="A1325" s="70" t="s">
        <v>1726</v>
      </c>
      <c r="B1325" s="21">
        <v>269251</v>
      </c>
    </row>
    <row r="1326" spans="1:2">
      <c r="A1326" s="70" t="s">
        <v>1727</v>
      </c>
      <c r="B1326" s="21">
        <v>269328</v>
      </c>
    </row>
    <row r="1327" spans="1:2">
      <c r="A1327" s="70" t="s">
        <v>1728</v>
      </c>
      <c r="B1327" s="21"/>
    </row>
    <row r="1328" spans="1:2">
      <c r="A1328" s="70" t="s">
        <v>1729</v>
      </c>
      <c r="B1328" s="21">
        <v>269698</v>
      </c>
    </row>
    <row r="1329" spans="1:2">
      <c r="A1329" s="70" t="s">
        <v>1730</v>
      </c>
      <c r="B1329" s="21">
        <v>269033</v>
      </c>
    </row>
    <row r="1330" spans="1:2">
      <c r="A1330" s="70" t="s">
        <v>1731</v>
      </c>
      <c r="B1330" s="21">
        <v>268919</v>
      </c>
    </row>
    <row r="1331" spans="1:2">
      <c r="A1331" s="70" t="s">
        <v>1732</v>
      </c>
      <c r="B1331" s="21">
        <v>268800</v>
      </c>
    </row>
    <row r="1332" spans="1:2">
      <c r="A1332" s="70" t="s">
        <v>1733</v>
      </c>
      <c r="B1332" s="21">
        <v>268625</v>
      </c>
    </row>
    <row r="1333" spans="1:2">
      <c r="A1333" s="70" t="s">
        <v>1734</v>
      </c>
      <c r="B1333" s="21">
        <v>269103</v>
      </c>
    </row>
    <row r="1334" spans="1:2">
      <c r="A1334" s="70" t="s">
        <v>1735</v>
      </c>
      <c r="B1334" s="21"/>
    </row>
    <row r="1335" spans="1:2">
      <c r="A1335" s="70" t="s">
        <v>1736</v>
      </c>
      <c r="B1335" s="21">
        <v>268971</v>
      </c>
    </row>
    <row r="1336" spans="1:2">
      <c r="A1336" s="70" t="s">
        <v>1737</v>
      </c>
      <c r="B1336" s="21">
        <v>268312</v>
      </c>
    </row>
    <row r="1337" spans="1:2">
      <c r="A1337" s="70" t="s">
        <v>1738</v>
      </c>
      <c r="B1337" s="21">
        <v>268257</v>
      </c>
    </row>
    <row r="1338" spans="1:2">
      <c r="A1338" s="70" t="s">
        <v>1739</v>
      </c>
      <c r="B1338" s="21">
        <v>267750</v>
      </c>
    </row>
    <row r="1339" spans="1:2">
      <c r="A1339" s="70" t="s">
        <v>1740</v>
      </c>
      <c r="B1339" s="21">
        <v>267260</v>
      </c>
    </row>
    <row r="1340" spans="1:2">
      <c r="A1340" s="70" t="s">
        <v>1741</v>
      </c>
      <c r="B1340" s="21">
        <v>267825</v>
      </c>
    </row>
    <row r="1341" spans="1:2">
      <c r="A1341" s="70" t="s">
        <v>1742</v>
      </c>
      <c r="B1341" s="21"/>
    </row>
    <row r="1342" spans="1:2">
      <c r="A1342" s="70" t="s">
        <v>1743</v>
      </c>
      <c r="B1342" s="21">
        <v>267232</v>
      </c>
    </row>
    <row r="1343" spans="1:2">
      <c r="A1343" s="70" t="s">
        <v>1744</v>
      </c>
      <c r="B1343" s="21">
        <v>266620</v>
      </c>
    </row>
    <row r="1344" spans="1:2">
      <c r="A1344" s="70" t="s">
        <v>1745</v>
      </c>
      <c r="B1344" s="21">
        <v>266297</v>
      </c>
    </row>
    <row r="1345" spans="1:2">
      <c r="A1345" s="70" t="s">
        <v>1746</v>
      </c>
      <c r="B1345" s="21">
        <v>267021</v>
      </c>
    </row>
    <row r="1346" spans="1:2">
      <c r="A1346" s="70" t="s">
        <v>1747</v>
      </c>
      <c r="B1346" s="21">
        <v>266215</v>
      </c>
    </row>
    <row r="1347" spans="1:2">
      <c r="A1347" s="70" t="s">
        <v>1748</v>
      </c>
      <c r="B1347" s="21">
        <v>266451</v>
      </c>
    </row>
    <row r="1348" spans="1:2">
      <c r="A1348" s="70" t="s">
        <v>1749</v>
      </c>
      <c r="B1348" s="21"/>
    </row>
    <row r="1349" spans="1:2">
      <c r="A1349" s="70" t="s">
        <v>1750</v>
      </c>
      <c r="B1349" s="21">
        <v>265882</v>
      </c>
    </row>
    <row r="1350" spans="1:2">
      <c r="A1350" s="70" t="s">
        <v>1751</v>
      </c>
      <c r="B1350" s="21">
        <v>265807</v>
      </c>
    </row>
    <row r="1351" spans="1:2">
      <c r="A1351" s="70" t="s">
        <v>1752</v>
      </c>
      <c r="B1351" s="21">
        <v>266168</v>
      </c>
    </row>
    <row r="1352" spans="1:2">
      <c r="A1352" s="70" t="s">
        <v>1753</v>
      </c>
      <c r="B1352" s="21">
        <v>265933</v>
      </c>
    </row>
    <row r="1353" spans="1:2">
      <c r="A1353" s="70" t="s">
        <v>1754</v>
      </c>
      <c r="B1353" s="21">
        <v>265714</v>
      </c>
    </row>
    <row r="1354" spans="1:2">
      <c r="A1354" s="70" t="s">
        <v>1755</v>
      </c>
      <c r="B1354" s="21">
        <v>266025</v>
      </c>
    </row>
    <row r="1355" spans="1:2">
      <c r="A1355" s="70" t="s">
        <v>1756</v>
      </c>
      <c r="B1355" s="21"/>
    </row>
    <row r="1356" spans="1:2">
      <c r="A1356" s="70" t="s">
        <v>1757</v>
      </c>
      <c r="B1356" s="21">
        <v>267108</v>
      </c>
    </row>
    <row r="1357" spans="1:2">
      <c r="A1357" s="70" t="s">
        <v>1758</v>
      </c>
      <c r="B1357" s="21">
        <v>267091</v>
      </c>
    </row>
    <row r="1358" spans="1:2">
      <c r="A1358" s="70" t="s">
        <v>1759</v>
      </c>
      <c r="B1358" s="21">
        <v>267756</v>
      </c>
    </row>
    <row r="1359" spans="1:2">
      <c r="A1359" s="70" t="s">
        <v>1760</v>
      </c>
      <c r="B1359" s="21">
        <v>270060</v>
      </c>
    </row>
    <row r="1360" spans="1:2">
      <c r="A1360" s="70" t="s">
        <v>1761</v>
      </c>
      <c r="B1360" s="21">
        <v>269856</v>
      </c>
    </row>
    <row r="1361" spans="1:2">
      <c r="A1361" s="70" t="s">
        <v>1762</v>
      </c>
      <c r="B1361" s="21">
        <v>270944</v>
      </c>
    </row>
    <row r="1362" spans="1:2">
      <c r="A1362" s="70" t="s">
        <v>1763</v>
      </c>
      <c r="B1362" s="21"/>
    </row>
    <row r="1363" spans="1:2">
      <c r="A1363" s="70" t="s">
        <v>1764</v>
      </c>
      <c r="B1363" s="21">
        <v>270847</v>
      </c>
    </row>
    <row r="1364" spans="1:2">
      <c r="A1364" s="70" t="s">
        <v>1765</v>
      </c>
      <c r="B1364" s="21">
        <v>271831</v>
      </c>
    </row>
    <row r="1365" spans="1:2">
      <c r="A1365" s="70" t="s">
        <v>1766</v>
      </c>
      <c r="B1365" s="21">
        <v>272943</v>
      </c>
    </row>
    <row r="1366" spans="1:2">
      <c r="A1366" s="70" t="s">
        <v>1767</v>
      </c>
      <c r="B1366" s="21">
        <v>273565</v>
      </c>
    </row>
    <row r="1367" spans="1:2">
      <c r="A1367" s="70" t="s">
        <v>1768</v>
      </c>
      <c r="B1367" s="21">
        <v>274075</v>
      </c>
    </row>
    <row r="1368" spans="1:2">
      <c r="A1368" s="70" t="s">
        <v>1769</v>
      </c>
      <c r="B1368" s="21">
        <v>273180</v>
      </c>
    </row>
    <row r="1369" spans="1:2">
      <c r="A1369" s="70" t="s">
        <v>1770</v>
      </c>
      <c r="B1369" s="21"/>
    </row>
    <row r="1370" spans="1:2">
      <c r="A1370" s="70" t="s">
        <v>1771</v>
      </c>
      <c r="B1370" s="21">
        <v>274301</v>
      </c>
    </row>
    <row r="1371" spans="1:2">
      <c r="A1371" s="70" t="s">
        <v>1772</v>
      </c>
      <c r="B1371" s="21">
        <v>274433</v>
      </c>
    </row>
    <row r="1372" spans="1:2">
      <c r="A1372" s="70" t="s">
        <v>1773</v>
      </c>
      <c r="B1372" s="21">
        <v>275150</v>
      </c>
    </row>
    <row r="1373" spans="1:2">
      <c r="A1373" s="70" t="s">
        <v>1774</v>
      </c>
      <c r="B1373" s="21">
        <v>277111</v>
      </c>
    </row>
    <row r="1374" spans="1:2">
      <c r="A1374" s="70" t="s">
        <v>1775</v>
      </c>
      <c r="B1374" s="21">
        <v>275888</v>
      </c>
    </row>
    <row r="1375" spans="1:2">
      <c r="A1375" s="70" t="s">
        <v>1776</v>
      </c>
      <c r="B1375" s="21">
        <v>276041</v>
      </c>
    </row>
    <row r="1376" spans="1:2">
      <c r="A1376" s="70" t="s">
        <v>1777</v>
      </c>
      <c r="B1376" s="21"/>
    </row>
    <row r="1377" spans="1:2">
      <c r="A1377" s="70" t="s">
        <v>1778</v>
      </c>
      <c r="B1377" s="21">
        <v>275940</v>
      </c>
    </row>
    <row r="1378" spans="1:2">
      <c r="A1378" s="70" t="s">
        <v>1779</v>
      </c>
      <c r="B1378" s="21">
        <v>275646</v>
      </c>
    </row>
    <row r="1379" spans="1:2">
      <c r="A1379" s="70" t="s">
        <v>1780</v>
      </c>
      <c r="B1379" s="21">
        <v>277258</v>
      </c>
    </row>
    <row r="1380" spans="1:2">
      <c r="A1380" s="70" t="s">
        <v>1781</v>
      </c>
      <c r="B1380" s="21">
        <v>277394</v>
      </c>
    </row>
    <row r="1381" spans="1:2">
      <c r="A1381" s="70" t="s">
        <v>1782</v>
      </c>
      <c r="B1381" s="21">
        <v>278541</v>
      </c>
    </row>
    <row r="1382" spans="1:2">
      <c r="A1382" s="70" t="s">
        <v>1783</v>
      </c>
      <c r="B1382" s="21">
        <v>281225</v>
      </c>
    </row>
    <row r="1383" spans="1:2">
      <c r="A1383" s="70" t="s">
        <v>1784</v>
      </c>
      <c r="B1383" s="21"/>
    </row>
    <row r="1384" spans="1:2">
      <c r="A1384" s="70" t="s">
        <v>1785</v>
      </c>
      <c r="B1384" s="21">
        <v>281525</v>
      </c>
    </row>
    <row r="1385" spans="1:2">
      <c r="A1385" s="70" t="s">
        <v>1786</v>
      </c>
      <c r="B1385" s="21">
        <v>280272</v>
      </c>
    </row>
    <row r="1386" spans="1:2">
      <c r="A1386" s="70" t="s">
        <v>1787</v>
      </c>
      <c r="B1386" s="21">
        <v>281391</v>
      </c>
    </row>
    <row r="1387" spans="1:2">
      <c r="A1387" s="70" t="s">
        <v>1788</v>
      </c>
      <c r="B1387" s="21">
        <v>282059</v>
      </c>
    </row>
    <row r="1388" spans="1:2">
      <c r="A1388" s="70" t="s">
        <v>1789</v>
      </c>
      <c r="B1388" s="21">
        <v>282847</v>
      </c>
    </row>
    <row r="1389" spans="1:2">
      <c r="A1389" s="70" t="s">
        <v>1790</v>
      </c>
      <c r="B1389" s="21"/>
    </row>
    <row r="1390" spans="1:2">
      <c r="A1390" s="70" t="s">
        <v>1791</v>
      </c>
      <c r="B1390" s="21"/>
    </row>
    <row r="1391" spans="1:2">
      <c r="A1391" s="70" t="s">
        <v>1792</v>
      </c>
      <c r="B1391" s="21">
        <v>281510</v>
      </c>
    </row>
    <row r="1392" spans="1:2">
      <c r="A1392" s="70" t="s">
        <v>1793</v>
      </c>
      <c r="B1392" s="21">
        <v>283130</v>
      </c>
    </row>
    <row r="1393" spans="1:2">
      <c r="A1393" s="70" t="s">
        <v>1794</v>
      </c>
      <c r="B1393" s="21">
        <v>282598</v>
      </c>
    </row>
    <row r="1394" spans="1:2">
      <c r="A1394" s="70" t="s">
        <v>1795</v>
      </c>
      <c r="B1394" s="21">
        <v>283063</v>
      </c>
    </row>
    <row r="1395" spans="1:2">
      <c r="A1395" s="70" t="s">
        <v>1796</v>
      </c>
      <c r="B1395" s="21">
        <v>282123</v>
      </c>
    </row>
    <row r="1396" spans="1:2">
      <c r="A1396" s="70" t="s">
        <v>1797</v>
      </c>
      <c r="B1396" s="21">
        <v>282538</v>
      </c>
    </row>
    <row r="1397" spans="1:2">
      <c r="A1397" s="70" t="s">
        <v>1798</v>
      </c>
      <c r="B1397" s="21"/>
    </row>
    <row r="1398" spans="1:2">
      <c r="A1398" s="70" t="s">
        <v>1799</v>
      </c>
      <c r="B1398" s="21">
        <v>282329</v>
      </c>
    </row>
    <row r="1399" spans="1:2">
      <c r="A1399" s="70" t="s">
        <v>1800</v>
      </c>
      <c r="B1399" s="21">
        <v>281468</v>
      </c>
    </row>
    <row r="1400" spans="1:2">
      <c r="A1400" s="70" t="s">
        <v>1801</v>
      </c>
      <c r="B1400" s="21">
        <v>281834</v>
      </c>
    </row>
    <row r="1401" spans="1:2">
      <c r="A1401" s="70" t="s">
        <v>1802</v>
      </c>
      <c r="B1401" s="21">
        <v>281873</v>
      </c>
    </row>
    <row r="1402" spans="1:2">
      <c r="A1402" s="70" t="s">
        <v>1803</v>
      </c>
      <c r="B1402" s="21">
        <v>281039</v>
      </c>
    </row>
    <row r="1403" spans="1:2">
      <c r="A1403" s="70" t="s">
        <v>1804</v>
      </c>
      <c r="B1403" s="21">
        <v>281063</v>
      </c>
    </row>
    <row r="1404" spans="1:2">
      <c r="A1404" s="70" t="s">
        <v>1805</v>
      </c>
      <c r="B1404" s="21"/>
    </row>
    <row r="1405" spans="1:2">
      <c r="A1405" s="70" t="s">
        <v>1806</v>
      </c>
      <c r="B1405" s="21">
        <v>281046</v>
      </c>
    </row>
    <row r="1406" spans="1:2">
      <c r="A1406" s="70" t="s">
        <v>1807</v>
      </c>
      <c r="B1406" s="21">
        <v>278892</v>
      </c>
    </row>
    <row r="1407" spans="1:2">
      <c r="A1407" s="70" t="s">
        <v>1808</v>
      </c>
      <c r="B1407" s="21">
        <v>278553</v>
      </c>
    </row>
    <row r="1408" spans="1:2">
      <c r="A1408" s="70" t="s">
        <v>1809</v>
      </c>
      <c r="B1408" s="21">
        <v>278817</v>
      </c>
    </row>
    <row r="1409" spans="1:2">
      <c r="A1409" s="70" t="s">
        <v>1810</v>
      </c>
      <c r="B1409" s="21">
        <v>278375</v>
      </c>
    </row>
    <row r="1410" spans="1:2">
      <c r="A1410" s="70" t="s">
        <v>1811</v>
      </c>
      <c r="B1410" s="21">
        <v>277025</v>
      </c>
    </row>
    <row r="1411" spans="1:2">
      <c r="A1411" s="70" t="s">
        <v>1812</v>
      </c>
      <c r="B1411" s="21"/>
    </row>
    <row r="1412" spans="1:2">
      <c r="A1412" s="70" t="s">
        <v>1813</v>
      </c>
      <c r="B1412" s="21">
        <v>274028</v>
      </c>
    </row>
    <row r="1413" spans="1:2">
      <c r="A1413" s="70" t="s">
        <v>1814</v>
      </c>
      <c r="B1413" s="21">
        <v>274312</v>
      </c>
    </row>
    <row r="1414" spans="1:2">
      <c r="A1414" s="70" t="s">
        <v>1815</v>
      </c>
      <c r="B1414" s="21">
        <v>271752</v>
      </c>
    </row>
    <row r="1415" spans="1:2">
      <c r="A1415" s="70" t="s">
        <v>1816</v>
      </c>
      <c r="B1415" s="21">
        <v>271871</v>
      </c>
    </row>
    <row r="1416" spans="1:2">
      <c r="A1416" s="70" t="s">
        <v>1817</v>
      </c>
      <c r="B1416" s="21">
        <v>270063</v>
      </c>
    </row>
    <row r="1417" spans="1:2">
      <c r="A1417" s="70" t="s">
        <v>1818</v>
      </c>
      <c r="B1417" s="21">
        <v>272158</v>
      </c>
    </row>
    <row r="1418" spans="1:2">
      <c r="A1418" s="70" t="s">
        <v>1819</v>
      </c>
      <c r="B1418" s="21"/>
    </row>
    <row r="1419" spans="1:2">
      <c r="A1419" s="70" t="s">
        <v>1820</v>
      </c>
      <c r="B1419" s="21">
        <v>273127</v>
      </c>
    </row>
    <row r="1420" spans="1:2">
      <c r="A1420" s="70" t="s">
        <v>1821</v>
      </c>
      <c r="B1420" s="21">
        <v>273130</v>
      </c>
    </row>
    <row r="1421" spans="1:2">
      <c r="A1421" s="70" t="s">
        <v>1822</v>
      </c>
      <c r="B1421" s="21">
        <v>274313</v>
      </c>
    </row>
    <row r="1422" spans="1:2">
      <c r="A1422" s="70" t="s">
        <v>1823</v>
      </c>
      <c r="B1422" s="21">
        <v>274436</v>
      </c>
    </row>
    <row r="1423" spans="1:2">
      <c r="A1423" s="70" t="s">
        <v>1824</v>
      </c>
      <c r="B1423" s="21">
        <v>274625</v>
      </c>
    </row>
    <row r="1424" spans="1:2">
      <c r="A1424" s="70" t="s">
        <v>1825</v>
      </c>
      <c r="B1424" s="21">
        <v>272956</v>
      </c>
    </row>
    <row r="1425" spans="1:2">
      <c r="A1425" s="70" t="s">
        <v>1826</v>
      </c>
      <c r="B1425" s="21"/>
    </row>
    <row r="1426" spans="1:2">
      <c r="A1426" s="70" t="s">
        <v>1827</v>
      </c>
      <c r="B1426" s="21">
        <v>272784</v>
      </c>
    </row>
    <row r="1427" spans="1:2">
      <c r="A1427" s="70" t="s">
        <v>1828</v>
      </c>
      <c r="B1427" s="21">
        <v>273518</v>
      </c>
    </row>
    <row r="1428" spans="1:2">
      <c r="A1428" s="70" t="s">
        <v>1829</v>
      </c>
      <c r="B1428" s="21">
        <v>274605</v>
      </c>
    </row>
    <row r="1429" spans="1:2">
      <c r="A1429" s="70" t="s">
        <v>1830</v>
      </c>
      <c r="B1429" s="21"/>
    </row>
    <row r="1430" spans="1:2">
      <c r="A1430" s="70" t="s">
        <v>1831</v>
      </c>
      <c r="B1430" s="21">
        <v>274759</v>
      </c>
    </row>
    <row r="1431" spans="1:2">
      <c r="A1431" s="70" t="s">
        <v>1832</v>
      </c>
      <c r="B1431" s="21">
        <v>274254</v>
      </c>
    </row>
    <row r="1432" spans="1:2">
      <c r="A1432" s="70" t="s">
        <v>1833</v>
      </c>
      <c r="B1432" s="21"/>
    </row>
    <row r="1433" spans="1:2">
      <c r="A1433" s="70" t="s">
        <v>1834</v>
      </c>
      <c r="B1433" s="21">
        <v>274299</v>
      </c>
    </row>
    <row r="1434" spans="1:2">
      <c r="A1434" s="70" t="s">
        <v>1835</v>
      </c>
      <c r="B1434" s="21">
        <v>275337</v>
      </c>
    </row>
    <row r="1435" spans="1:2">
      <c r="A1435" s="70" t="s">
        <v>1836</v>
      </c>
      <c r="B1435" s="21">
        <v>275562</v>
      </c>
    </row>
    <row r="1436" spans="1:2">
      <c r="A1436" s="70" t="s">
        <v>1837</v>
      </c>
      <c r="B1436" s="21">
        <v>273958</v>
      </c>
    </row>
    <row r="1437" spans="1:2">
      <c r="A1437" s="70" t="s">
        <v>1838</v>
      </c>
      <c r="B1437" s="21">
        <v>271959</v>
      </c>
    </row>
    <row r="1438" spans="1:2">
      <c r="A1438" s="70" t="s">
        <v>1839</v>
      </c>
      <c r="B1438" s="21">
        <v>271691</v>
      </c>
    </row>
    <row r="1439" spans="1:2">
      <c r="A1439" s="70" t="s">
        <v>1840</v>
      </c>
      <c r="B1439" s="21"/>
    </row>
    <row r="1440" spans="1:2">
      <c r="A1440" s="70" t="s">
        <v>1841</v>
      </c>
      <c r="B1440" s="21">
        <v>271601</v>
      </c>
    </row>
    <row r="1441" spans="1:2">
      <c r="A1441" s="70" t="s">
        <v>1842</v>
      </c>
      <c r="B1441" s="21">
        <v>272156</v>
      </c>
    </row>
    <row r="1442" spans="1:2">
      <c r="A1442" s="70" t="s">
        <v>1843</v>
      </c>
      <c r="B1442" s="21">
        <v>271549</v>
      </c>
    </row>
    <row r="1443" spans="1:2">
      <c r="A1443" s="70" t="s">
        <v>1844</v>
      </c>
      <c r="B1443" s="21"/>
    </row>
    <row r="1444" spans="1:2">
      <c r="A1444" s="70" t="s">
        <v>1845</v>
      </c>
      <c r="B1444" s="21">
        <v>268386</v>
      </c>
    </row>
    <row r="1445" spans="1:2">
      <c r="A1445" s="70" t="s">
        <v>1846</v>
      </c>
      <c r="B1445" s="21">
        <v>268504</v>
      </c>
    </row>
    <row r="1446" spans="1:2">
      <c r="A1446" s="70" t="s">
        <v>1847</v>
      </c>
      <c r="B1446" s="21"/>
    </row>
    <row r="1447" spans="1:2">
      <c r="A1447" s="70" t="s">
        <v>1848</v>
      </c>
      <c r="B1447" s="21">
        <v>268085</v>
      </c>
    </row>
    <row r="1448" spans="1:2">
      <c r="A1448" s="70" t="s">
        <v>1849</v>
      </c>
      <c r="B1448" s="21">
        <v>266338</v>
      </c>
    </row>
    <row r="1449" spans="1:2">
      <c r="A1449" s="70" t="s">
        <v>1850</v>
      </c>
      <c r="B1449" s="21">
        <v>264861</v>
      </c>
    </row>
    <row r="1450" spans="1:2">
      <c r="A1450" s="70" t="s">
        <v>1851</v>
      </c>
      <c r="B1450" s="21">
        <v>263730</v>
      </c>
    </row>
    <row r="1451" spans="1:2">
      <c r="A1451" s="70" t="s">
        <v>1852</v>
      </c>
      <c r="B1451" s="21">
        <v>261888</v>
      </c>
    </row>
    <row r="1452" spans="1:2">
      <c r="A1452" s="70" t="s">
        <v>1853</v>
      </c>
      <c r="B1452" s="21">
        <v>262423</v>
      </c>
    </row>
    <row r="1453" spans="1:2">
      <c r="A1453" s="70" t="s">
        <v>1854</v>
      </c>
      <c r="B1453" s="21"/>
    </row>
    <row r="1454" spans="1:2">
      <c r="A1454" s="70" t="s">
        <v>1855</v>
      </c>
      <c r="B1454" s="21">
        <v>262360</v>
      </c>
    </row>
    <row r="1455" spans="1:2">
      <c r="A1455" s="70" t="s">
        <v>1856</v>
      </c>
      <c r="B1455" s="21">
        <v>262777</v>
      </c>
    </row>
    <row r="1456" spans="1:2">
      <c r="A1456" s="70" t="s">
        <v>1857</v>
      </c>
      <c r="B1456" s="21">
        <v>262838</v>
      </c>
    </row>
    <row r="1457" spans="1:2">
      <c r="A1457" s="70" t="s">
        <v>1858</v>
      </c>
      <c r="B1457" s="21">
        <v>262894</v>
      </c>
    </row>
    <row r="1458" spans="1:2">
      <c r="A1458" s="70" t="s">
        <v>1859</v>
      </c>
      <c r="B1458" s="21">
        <v>263978</v>
      </c>
    </row>
    <row r="1459" spans="1:2">
      <c r="A1459" s="70" t="s">
        <v>1860</v>
      </c>
      <c r="B1459" s="21">
        <v>263849</v>
      </c>
    </row>
    <row r="1460" spans="1:2">
      <c r="A1460" s="70" t="s">
        <v>1861</v>
      </c>
      <c r="B1460" s="21"/>
    </row>
    <row r="1461" spans="1:2">
      <c r="A1461" s="70" t="s">
        <v>1862</v>
      </c>
      <c r="B1461" s="21">
        <v>263222</v>
      </c>
    </row>
    <row r="1462" spans="1:2">
      <c r="A1462" s="70" t="s">
        <v>1863</v>
      </c>
      <c r="B1462" s="21"/>
    </row>
    <row r="1463" spans="1:2">
      <c r="A1463" s="70" t="s">
        <v>1864</v>
      </c>
      <c r="B1463" s="21"/>
    </row>
    <row r="1464" spans="1:2">
      <c r="A1464" s="70" t="s">
        <v>1865</v>
      </c>
      <c r="B1464" s="21"/>
    </row>
    <row r="1465" spans="1:2">
      <c r="A1465" s="70" t="s">
        <v>1866</v>
      </c>
      <c r="B1465" s="21"/>
    </row>
    <row r="1466" spans="1:2">
      <c r="A1466" s="70" t="s">
        <v>1867</v>
      </c>
      <c r="B1466" s="21"/>
    </row>
    <row r="1467" spans="1:2">
      <c r="A1467" s="70" t="s">
        <v>1868</v>
      </c>
      <c r="B1467" s="21"/>
    </row>
    <row r="1468" spans="1:2">
      <c r="A1468" s="70" t="s">
        <v>1869</v>
      </c>
      <c r="B1468" s="21">
        <v>263064</v>
      </c>
    </row>
    <row r="1469" spans="1:2">
      <c r="A1469" s="70" t="s">
        <v>1870</v>
      </c>
      <c r="B1469" s="21">
        <v>263552</v>
      </c>
    </row>
    <row r="1470" spans="1:2">
      <c r="A1470" s="70" t="s">
        <v>1871</v>
      </c>
      <c r="B1470" s="21">
        <v>264093</v>
      </c>
    </row>
    <row r="1471" spans="1:2">
      <c r="A1471" s="70" t="s">
        <v>1872</v>
      </c>
      <c r="B1471" s="21">
        <v>264842</v>
      </c>
    </row>
    <row r="1472" spans="1:2">
      <c r="A1472" s="70" t="s">
        <v>1873</v>
      </c>
      <c r="B1472" s="21">
        <v>266223</v>
      </c>
    </row>
    <row r="1473" spans="1:2">
      <c r="A1473" s="70" t="s">
        <v>1874</v>
      </c>
      <c r="B1473" s="21">
        <v>266161</v>
      </c>
    </row>
    <row r="1474" spans="1:2">
      <c r="A1474" s="70" t="s">
        <v>1875</v>
      </c>
      <c r="B1474" s="21"/>
    </row>
    <row r="1475" spans="1:2">
      <c r="A1475" s="70" t="s">
        <v>1876</v>
      </c>
      <c r="B1475" s="21"/>
    </row>
    <row r="1476" spans="1:2">
      <c r="A1476" s="70" t="s">
        <v>1877</v>
      </c>
      <c r="B1476" s="21">
        <v>266795</v>
      </c>
    </row>
    <row r="1477" spans="1:2">
      <c r="A1477" s="70" t="s">
        <v>1878</v>
      </c>
      <c r="B1477" s="21">
        <v>268315</v>
      </c>
    </row>
    <row r="1478" spans="1:2">
      <c r="A1478" s="70" t="s">
        <v>1879</v>
      </c>
      <c r="B1478" s="21">
        <v>268204</v>
      </c>
    </row>
    <row r="1479" spans="1:2">
      <c r="A1479" s="70" t="s">
        <v>1880</v>
      </c>
      <c r="B1479" s="21">
        <v>269208</v>
      </c>
    </row>
    <row r="1480" spans="1:2">
      <c r="A1480" s="70" t="s">
        <v>1881</v>
      </c>
      <c r="B1480" s="21">
        <v>268558</v>
      </c>
    </row>
    <row r="1481" spans="1:2">
      <c r="A1481" s="70" t="s">
        <v>1882</v>
      </c>
      <c r="B1481" s="21"/>
    </row>
    <row r="1482" spans="1:2">
      <c r="A1482" s="70" t="s">
        <v>1883</v>
      </c>
      <c r="B1482" s="21">
        <v>269271</v>
      </c>
    </row>
    <row r="1483" spans="1:2">
      <c r="A1483" s="70" t="s">
        <v>1884</v>
      </c>
      <c r="B1483" s="21">
        <v>268175</v>
      </c>
    </row>
    <row r="1484" spans="1:2">
      <c r="A1484" s="70" t="s">
        <v>1885</v>
      </c>
      <c r="B1484" s="21">
        <v>267899</v>
      </c>
    </row>
    <row r="1485" spans="1:2">
      <c r="A1485" s="70" t="s">
        <v>1886</v>
      </c>
      <c r="B1485" s="21">
        <v>267881</v>
      </c>
    </row>
    <row r="1486" spans="1:2">
      <c r="A1486" s="70" t="s">
        <v>1887</v>
      </c>
      <c r="B1486" s="21">
        <v>268723</v>
      </c>
    </row>
    <row r="1487" spans="1:2">
      <c r="A1487" s="70" t="s">
        <v>1888</v>
      </c>
      <c r="B1487" s="21">
        <v>267733</v>
      </c>
    </row>
    <row r="1488" spans="1:2">
      <c r="A1488" s="70" t="s">
        <v>1889</v>
      </c>
      <c r="B1488" s="21"/>
    </row>
    <row r="1489" spans="1:2">
      <c r="A1489" s="70" t="s">
        <v>1890</v>
      </c>
      <c r="B1489" s="21">
        <v>267156</v>
      </c>
    </row>
    <row r="1490" spans="1:2">
      <c r="A1490" s="70" t="s">
        <v>1891</v>
      </c>
      <c r="B1490" s="21">
        <v>266637</v>
      </c>
    </row>
    <row r="1491" spans="1:2">
      <c r="A1491" s="70" t="s">
        <v>1892</v>
      </c>
      <c r="B1491" s="21">
        <v>266360</v>
      </c>
    </row>
    <row r="1492" spans="1:2">
      <c r="A1492" s="70" t="s">
        <v>1893</v>
      </c>
      <c r="B1492" s="21">
        <v>266812</v>
      </c>
    </row>
    <row r="1493" spans="1:2">
      <c r="A1493" s="70" t="s">
        <v>1894</v>
      </c>
      <c r="B1493" s="21">
        <v>266513</v>
      </c>
    </row>
    <row r="1494" spans="1:2">
      <c r="A1494" s="70" t="s">
        <v>1895</v>
      </c>
      <c r="B1494" s="21">
        <v>266796</v>
      </c>
    </row>
    <row r="1495" spans="1:2">
      <c r="A1495" s="70" t="s">
        <v>1896</v>
      </c>
      <c r="B1495" s="21"/>
    </row>
    <row r="1496" spans="1:2">
      <c r="A1496" s="70" t="s">
        <v>1897</v>
      </c>
      <c r="B1496" s="21"/>
    </row>
    <row r="1497" spans="1:2">
      <c r="A1497" s="70" t="s">
        <v>1898</v>
      </c>
      <c r="B1497" s="21">
        <v>266175</v>
      </c>
    </row>
    <row r="1498" spans="1:2">
      <c r="A1498" s="70" t="s">
        <v>1899</v>
      </c>
      <c r="B1498" s="21">
        <v>266164</v>
      </c>
    </row>
    <row r="1499" spans="1:2">
      <c r="A1499" s="70" t="s">
        <v>1900</v>
      </c>
      <c r="B1499" s="21">
        <v>265662</v>
      </c>
    </row>
    <row r="1500" spans="1:2">
      <c r="A1500" s="70" t="s">
        <v>1901</v>
      </c>
      <c r="B1500" s="21">
        <v>265471</v>
      </c>
    </row>
    <row r="1501" spans="1:2">
      <c r="A1501" s="70" t="s">
        <v>1902</v>
      </c>
      <c r="B1501" s="21">
        <v>264383</v>
      </c>
    </row>
    <row r="1502" spans="1:2">
      <c r="A1502" s="70" t="s">
        <v>1903</v>
      </c>
      <c r="B1502" s="21"/>
    </row>
    <row r="1503" spans="1:2">
      <c r="A1503" s="70" t="s">
        <v>1904</v>
      </c>
      <c r="B1503" s="21">
        <v>264721</v>
      </c>
    </row>
    <row r="1504" spans="1:2">
      <c r="A1504" s="70" t="s">
        <v>1905</v>
      </c>
      <c r="B1504" s="21">
        <v>264964</v>
      </c>
    </row>
    <row r="1505" spans="1:2">
      <c r="A1505" s="70" t="s">
        <v>1906</v>
      </c>
      <c r="B1505" s="21">
        <v>264318</v>
      </c>
    </row>
    <row r="1506" spans="1:2">
      <c r="A1506" s="70" t="s">
        <v>1907</v>
      </c>
      <c r="B1506" s="21"/>
    </row>
    <row r="1507" spans="1:2">
      <c r="A1507" s="70" t="s">
        <v>1908</v>
      </c>
      <c r="B1507" s="21"/>
    </row>
    <row r="1508" spans="1:2">
      <c r="A1508" s="70" t="s">
        <v>1909</v>
      </c>
      <c r="B1508" s="21">
        <v>264665</v>
      </c>
    </row>
    <row r="1509" spans="1:2">
      <c r="A1509" s="70" t="s">
        <v>1910</v>
      </c>
      <c r="B1509" s="21"/>
    </row>
    <row r="1510" spans="1:2">
      <c r="A1510" s="70" t="s">
        <v>1911</v>
      </c>
      <c r="B1510" s="21">
        <v>265190</v>
      </c>
    </row>
    <row r="1511" spans="1:2">
      <c r="A1511" s="70" t="s">
        <v>1912</v>
      </c>
      <c r="B1511" s="21">
        <v>263721</v>
      </c>
    </row>
    <row r="1512" spans="1:2">
      <c r="A1512" s="70" t="s">
        <v>1913</v>
      </c>
      <c r="B1512" s="21">
        <v>263207</v>
      </c>
    </row>
    <row r="1513" spans="1:2">
      <c r="A1513" s="70" t="s">
        <v>1914</v>
      </c>
      <c r="B1513" s="21">
        <v>263538</v>
      </c>
    </row>
    <row r="1514" spans="1:2">
      <c r="A1514" s="70" t="s">
        <v>1915</v>
      </c>
      <c r="B1514" s="21">
        <v>262957</v>
      </c>
    </row>
    <row r="1515" spans="1:2">
      <c r="A1515" s="70" t="s">
        <v>1916</v>
      </c>
      <c r="B1515" s="21">
        <v>262514</v>
      </c>
    </row>
    <row r="1516" spans="1:2">
      <c r="A1516" s="70" t="s">
        <v>1917</v>
      </c>
      <c r="B1516" s="21"/>
    </row>
    <row r="1517" spans="1:2">
      <c r="A1517" s="70" t="s">
        <v>1918</v>
      </c>
      <c r="B1517" s="21">
        <v>262532</v>
      </c>
    </row>
    <row r="1518" spans="1:2">
      <c r="A1518" s="70" t="s">
        <v>1919</v>
      </c>
      <c r="B1518" s="21">
        <v>262811</v>
      </c>
    </row>
    <row r="1519" spans="1:2">
      <c r="A1519" s="70" t="s">
        <v>1920</v>
      </c>
      <c r="B1519" s="21">
        <v>262080</v>
      </c>
    </row>
    <row r="1520" spans="1:2">
      <c r="A1520" s="70" t="s">
        <v>1921</v>
      </c>
      <c r="B1520" s="21">
        <v>261544</v>
      </c>
    </row>
    <row r="1521" spans="1:2">
      <c r="A1521" s="70" t="s">
        <v>1922</v>
      </c>
      <c r="B1521" s="21">
        <v>263371</v>
      </c>
    </row>
    <row r="1522" spans="1:2">
      <c r="A1522" s="70" t="s">
        <v>1923</v>
      </c>
      <c r="B1522" s="21">
        <v>261399</v>
      </c>
    </row>
    <row r="1523" spans="1:2">
      <c r="A1523" s="70" t="s">
        <v>1924</v>
      </c>
      <c r="B1523" s="21"/>
    </row>
    <row r="1524" spans="1:2">
      <c r="A1524" s="70" t="s">
        <v>1925</v>
      </c>
      <c r="B1524" s="21">
        <v>261840</v>
      </c>
    </row>
    <row r="1525" spans="1:2">
      <c r="A1525" s="70" t="s">
        <v>1926</v>
      </c>
      <c r="B1525" s="21">
        <v>260243</v>
      </c>
    </row>
    <row r="1526" spans="1:2">
      <c r="A1526" s="70" t="s">
        <v>1927</v>
      </c>
      <c r="B1526" s="21">
        <v>261317</v>
      </c>
    </row>
    <row r="1527" spans="1:2">
      <c r="A1527" s="70" t="s">
        <v>1928</v>
      </c>
      <c r="B1527" s="21">
        <v>262340</v>
      </c>
    </row>
    <row r="1528" spans="1:2">
      <c r="A1528" s="70" t="s">
        <v>1929</v>
      </c>
      <c r="B1528" s="21">
        <v>262482</v>
      </c>
    </row>
    <row r="1529" spans="1:2">
      <c r="A1529" s="70" t="s">
        <v>1930</v>
      </c>
      <c r="B1529" s="21">
        <v>261061</v>
      </c>
    </row>
    <row r="1530" spans="1:2">
      <c r="A1530" s="70" t="s">
        <v>1931</v>
      </c>
      <c r="B1530" s="21"/>
    </row>
    <row r="1531" spans="1:2">
      <c r="A1531" s="70" t="s">
        <v>1932</v>
      </c>
      <c r="B1531" s="21">
        <v>261436</v>
      </c>
    </row>
    <row r="1532" spans="1:2">
      <c r="A1532" s="70" t="s">
        <v>1933</v>
      </c>
      <c r="B1532" s="21">
        <v>261570</v>
      </c>
    </row>
    <row r="1533" spans="1:2">
      <c r="A1533" s="70" t="s">
        <v>1934</v>
      </c>
      <c r="B1533" s="21">
        <v>261184</v>
      </c>
    </row>
    <row r="1534" spans="1:2">
      <c r="A1534" s="70" t="s">
        <v>1935</v>
      </c>
      <c r="B1534" s="21">
        <v>262433</v>
      </c>
    </row>
    <row r="1535" spans="1:2">
      <c r="A1535" s="70" t="s">
        <v>1936</v>
      </c>
      <c r="B1535" s="21">
        <v>262225</v>
      </c>
    </row>
    <row r="1536" spans="1:2">
      <c r="A1536" s="70" t="s">
        <v>1937</v>
      </c>
      <c r="B1536" s="21">
        <v>260758</v>
      </c>
    </row>
    <row r="1537" spans="1:2">
      <c r="A1537" s="70" t="s">
        <v>1938</v>
      </c>
      <c r="B1537" s="21"/>
    </row>
    <row r="1538" spans="1:2">
      <c r="A1538" s="70" t="s">
        <v>1939</v>
      </c>
      <c r="B1538" s="21"/>
    </row>
    <row r="1539" spans="1:2">
      <c r="A1539" s="70" t="s">
        <v>1940</v>
      </c>
      <c r="B1539" s="21"/>
    </row>
    <row r="1540" spans="1:2">
      <c r="A1540" s="70" t="s">
        <v>1941</v>
      </c>
      <c r="B1540" s="21">
        <v>262552</v>
      </c>
    </row>
    <row r="1541" spans="1:2">
      <c r="A1541" s="70" t="s">
        <v>1942</v>
      </c>
      <c r="B1541" s="21">
        <v>263354</v>
      </c>
    </row>
    <row r="1542" spans="1:2">
      <c r="A1542" s="70" t="s">
        <v>1943</v>
      </c>
      <c r="B1542" s="21">
        <v>264270</v>
      </c>
    </row>
    <row r="1543" spans="1:2">
      <c r="A1543" s="70" t="s">
        <v>1944</v>
      </c>
      <c r="B1543" s="21">
        <v>265560</v>
      </c>
    </row>
    <row r="1544" spans="1:2">
      <c r="A1544" s="70" t="s">
        <v>1945</v>
      </c>
      <c r="B1544" s="21"/>
    </row>
    <row r="1545" spans="1:2">
      <c r="A1545" s="70" t="s">
        <v>1946</v>
      </c>
      <c r="B1545" s="21">
        <v>262562</v>
      </c>
    </row>
    <row r="1546" spans="1:2">
      <c r="A1546" s="70" t="s">
        <v>1947</v>
      </c>
      <c r="B1546" s="21">
        <v>264388</v>
      </c>
    </row>
    <row r="1547" spans="1:2">
      <c r="A1547" s="70" t="s">
        <v>1948</v>
      </c>
      <c r="B1547" s="21">
        <v>264752</v>
      </c>
    </row>
    <row r="1548" spans="1:2">
      <c r="A1548" s="70" t="s">
        <v>1949</v>
      </c>
      <c r="B1548" s="21">
        <v>263841</v>
      </c>
    </row>
    <row r="1549" spans="1:2">
      <c r="A1549" s="70" t="s">
        <v>1950</v>
      </c>
      <c r="B1549" s="21">
        <v>263745</v>
      </c>
    </row>
    <row r="1550" spans="1:2">
      <c r="A1550" s="70" t="s">
        <v>1951</v>
      </c>
      <c r="B1550" s="21">
        <v>264109</v>
      </c>
    </row>
    <row r="1551" spans="1:2">
      <c r="A1551" s="70" t="s">
        <v>1952</v>
      </c>
      <c r="B1551" s="21"/>
    </row>
    <row r="1552" spans="1:2">
      <c r="A1552" s="70" t="s">
        <v>1953</v>
      </c>
      <c r="B1552" s="21">
        <v>265152</v>
      </c>
    </row>
    <row r="1553" spans="1:2">
      <c r="A1553" s="70" t="s">
        <v>1954</v>
      </c>
      <c r="B1553" s="21">
        <v>266591</v>
      </c>
    </row>
    <row r="1554" spans="1:2">
      <c r="A1554" s="70" t="s">
        <v>1955</v>
      </c>
      <c r="B1554" s="21">
        <v>267001</v>
      </c>
    </row>
    <row r="1555" spans="1:2">
      <c r="A1555" s="70" t="s">
        <v>1956</v>
      </c>
      <c r="B1555" s="21">
        <v>268161</v>
      </c>
    </row>
    <row r="1556" spans="1:2">
      <c r="A1556" s="70" t="s">
        <v>1957</v>
      </c>
      <c r="B1556" s="21">
        <v>269274</v>
      </c>
    </row>
    <row r="1557" spans="1:2">
      <c r="A1557" s="70" t="s">
        <v>1958</v>
      </c>
      <c r="B1557" s="21">
        <v>269686</v>
      </c>
    </row>
    <row r="1558" spans="1:2">
      <c r="A1558" s="70" t="s">
        <v>1959</v>
      </c>
      <c r="B1558" s="21"/>
    </row>
    <row r="1559" spans="1:2">
      <c r="A1559" s="70" t="s">
        <v>1960</v>
      </c>
      <c r="B1559" s="21">
        <v>269419</v>
      </c>
    </row>
    <row r="1560" spans="1:2">
      <c r="A1560" s="70" t="s">
        <v>1961</v>
      </c>
      <c r="B1560" s="21">
        <v>269511</v>
      </c>
    </row>
    <row r="1561" spans="1:2">
      <c r="A1561" s="70" t="s">
        <v>1962</v>
      </c>
      <c r="B1561" s="21">
        <v>270322</v>
      </c>
    </row>
    <row r="1562" spans="1:2">
      <c r="A1562" s="70" t="s">
        <v>1963</v>
      </c>
      <c r="B1562" s="21">
        <v>270981</v>
      </c>
    </row>
    <row r="1563" spans="1:2">
      <c r="A1563" s="70" t="s">
        <v>1964</v>
      </c>
      <c r="B1563" s="21">
        <v>269609</v>
      </c>
    </row>
    <row r="1564" spans="1:2">
      <c r="A1564" s="70" t="s">
        <v>1965</v>
      </c>
      <c r="B1564" s="21">
        <v>268729</v>
      </c>
    </row>
    <row r="1565" spans="1:2">
      <c r="A1565" s="70" t="s">
        <v>1966</v>
      </c>
      <c r="B1565" s="21"/>
    </row>
    <row r="1566" spans="1:2">
      <c r="A1566" s="70" t="s">
        <v>1967</v>
      </c>
      <c r="B1566" s="21">
        <v>268101</v>
      </c>
    </row>
    <row r="1567" spans="1:2">
      <c r="A1567" s="70" t="s">
        <v>1968</v>
      </c>
      <c r="B1567" s="21">
        <v>268810</v>
      </c>
    </row>
    <row r="1568" spans="1:2">
      <c r="A1568" s="70" t="s">
        <v>1969</v>
      </c>
      <c r="B1568" s="21">
        <v>269609</v>
      </c>
    </row>
    <row r="1569" spans="1:2">
      <c r="A1569" s="70" t="s">
        <v>1970</v>
      </c>
      <c r="B1569" s="21">
        <v>270430</v>
      </c>
    </row>
    <row r="1570" spans="1:2">
      <c r="A1570" s="70" t="s">
        <v>1971</v>
      </c>
      <c r="B1570" s="21">
        <v>266699</v>
      </c>
    </row>
    <row r="1571" spans="1:2">
      <c r="A1571" s="70" t="s">
        <v>1972</v>
      </c>
      <c r="B1571" s="21">
        <v>265502</v>
      </c>
    </row>
    <row r="1572" spans="1:2">
      <c r="A1572" s="70" t="s">
        <v>1973</v>
      </c>
      <c r="B1572" s="21"/>
    </row>
    <row r="1573" spans="1:2">
      <c r="A1573" s="70" t="s">
        <v>1974</v>
      </c>
      <c r="B1573" s="21">
        <v>266469</v>
      </c>
    </row>
    <row r="1574" spans="1:2">
      <c r="A1574" s="70" t="s">
        <v>1975</v>
      </c>
      <c r="B1574" s="21"/>
    </row>
    <row r="1575" spans="1:2">
      <c r="A1575" s="70" t="s">
        <v>1976</v>
      </c>
      <c r="B1575" s="21">
        <v>267081</v>
      </c>
    </row>
    <row r="1576" spans="1:2">
      <c r="A1576" s="70" t="s">
        <v>1977</v>
      </c>
      <c r="B1576" s="21">
        <v>264300</v>
      </c>
    </row>
    <row r="1577" spans="1:2">
      <c r="A1577" s="70" t="s">
        <v>1978</v>
      </c>
      <c r="B1577" s="21">
        <v>264412</v>
      </c>
    </row>
    <row r="1578" spans="1:2">
      <c r="A1578" s="70" t="s">
        <v>1979</v>
      </c>
      <c r="B1578" s="21">
        <v>264890</v>
      </c>
    </row>
    <row r="1579" spans="1:2">
      <c r="A1579" s="70" t="s">
        <v>1980</v>
      </c>
      <c r="B1579" s="21"/>
    </row>
    <row r="1580" spans="1:2">
      <c r="A1580" s="70" t="s">
        <v>1981</v>
      </c>
      <c r="B1580" s="21">
        <v>265900</v>
      </c>
    </row>
    <row r="1581" spans="1:2">
      <c r="A1581" s="70" t="s">
        <v>1982</v>
      </c>
      <c r="B1581" s="21">
        <v>265400</v>
      </c>
    </row>
    <row r="1582" spans="1:2">
      <c r="A1582" s="70" t="s">
        <v>1983</v>
      </c>
      <c r="B1582" s="21"/>
    </row>
    <row r="1583" spans="1:2">
      <c r="A1583" s="70" t="s">
        <v>1984</v>
      </c>
      <c r="B1583" s="21">
        <v>266831</v>
      </c>
    </row>
    <row r="1584" spans="1:2">
      <c r="A1584" s="70" t="s">
        <v>1985</v>
      </c>
      <c r="B1584" s="21">
        <v>268575</v>
      </c>
    </row>
    <row r="1585" spans="1:2">
      <c r="A1585" s="70" t="s">
        <v>1986</v>
      </c>
      <c r="B1585" s="21">
        <v>268809</v>
      </c>
    </row>
    <row r="1586" spans="1:2">
      <c r="A1586" s="70" t="s">
        <v>1987</v>
      </c>
      <c r="B1586" s="21"/>
    </row>
    <row r="1587" spans="1:2">
      <c r="A1587" s="70" t="s">
        <v>1988</v>
      </c>
      <c r="B1587" s="21">
        <v>269661</v>
      </c>
    </row>
    <row r="1588" spans="1:2">
      <c r="A1588" s="70" t="s">
        <v>1989</v>
      </c>
      <c r="B1588" s="21">
        <v>269540</v>
      </c>
    </row>
    <row r="1589" spans="1:2">
      <c r="A1589" s="70" t="s">
        <v>1990</v>
      </c>
      <c r="B1589" s="21">
        <v>270050</v>
      </c>
    </row>
    <row r="1590" spans="1:2">
      <c r="A1590" s="70" t="s">
        <v>1991</v>
      </c>
      <c r="B1590" s="21">
        <v>270503</v>
      </c>
    </row>
    <row r="1591" spans="1:2">
      <c r="A1591" s="70" t="s">
        <v>1992</v>
      </c>
      <c r="B1591" s="21">
        <v>269550</v>
      </c>
    </row>
    <row r="1592" spans="1:2">
      <c r="A1592" s="70" t="s">
        <v>1993</v>
      </c>
      <c r="B1592" s="21">
        <v>268442</v>
      </c>
    </row>
    <row r="1593" spans="1:2">
      <c r="A1593" s="70" t="s">
        <v>1994</v>
      </c>
      <c r="B1593" s="21"/>
    </row>
    <row r="1594" spans="1:2">
      <c r="A1594" s="70" t="s">
        <v>1995</v>
      </c>
      <c r="B1594" s="21">
        <v>270526</v>
      </c>
    </row>
    <row r="1595" spans="1:2">
      <c r="A1595" s="70" t="s">
        <v>1996</v>
      </c>
      <c r="B1595" s="21">
        <v>270790</v>
      </c>
    </row>
    <row r="1596" spans="1:2">
      <c r="A1596" s="70" t="s">
        <v>1997</v>
      </c>
      <c r="B1596" s="21">
        <v>272090</v>
      </c>
    </row>
    <row r="1597" spans="1:2">
      <c r="A1597" s="70" t="s">
        <v>1998</v>
      </c>
      <c r="B1597" s="21">
        <v>272599</v>
      </c>
    </row>
    <row r="1598" spans="1:2">
      <c r="A1598" s="70" t="s">
        <v>1999</v>
      </c>
      <c r="B1598" s="21">
        <v>271162</v>
      </c>
    </row>
    <row r="1599" spans="1:2">
      <c r="A1599" s="70" t="s">
        <v>2000</v>
      </c>
      <c r="B1599" s="21">
        <v>270362</v>
      </c>
    </row>
    <row r="1600" spans="1:2">
      <c r="A1600" s="70" t="s">
        <v>2001</v>
      </c>
      <c r="B1600" s="21"/>
    </row>
    <row r="1601" spans="1:2">
      <c r="A1601" s="70" t="s">
        <v>2002</v>
      </c>
      <c r="B1601" s="21">
        <v>271500</v>
      </c>
    </row>
    <row r="1602" spans="1:2">
      <c r="A1602" s="70" t="s">
        <v>2003</v>
      </c>
      <c r="B1602" s="21"/>
    </row>
    <row r="1603" spans="1:2">
      <c r="A1603" s="70" t="s">
        <v>2004</v>
      </c>
      <c r="B1603" s="21"/>
    </row>
    <row r="1604" spans="1:2">
      <c r="A1604" s="70" t="s">
        <v>2005</v>
      </c>
      <c r="B1604" s="21">
        <v>272400</v>
      </c>
    </row>
    <row r="1605" spans="1:2">
      <c r="A1605" s="70" t="s">
        <v>2006</v>
      </c>
      <c r="B1605" s="21">
        <v>273202</v>
      </c>
    </row>
    <row r="1606" spans="1:2">
      <c r="A1606" s="70" t="s">
        <v>2007</v>
      </c>
      <c r="B1606" s="21">
        <v>274440</v>
      </c>
    </row>
    <row r="1607" spans="1:2">
      <c r="A1607" s="70" t="s">
        <v>2008</v>
      </c>
      <c r="B1607" s="21"/>
    </row>
    <row r="1608" spans="1:2">
      <c r="A1608" s="70" t="s">
        <v>2009</v>
      </c>
      <c r="B1608" s="21">
        <v>271959</v>
      </c>
    </row>
    <row r="1609" spans="1:2">
      <c r="A1609" s="70" t="s">
        <v>2010</v>
      </c>
      <c r="B1609" s="21">
        <v>272971</v>
      </c>
    </row>
    <row r="1610" spans="1:2">
      <c r="A1610" s="70" t="s">
        <v>2011</v>
      </c>
      <c r="B1610" s="21">
        <v>272320</v>
      </c>
    </row>
    <row r="1611" spans="1:2">
      <c r="A1611" s="70" t="s">
        <v>2012</v>
      </c>
      <c r="B1611" s="21">
        <v>270320</v>
      </c>
    </row>
    <row r="1612" spans="1:2">
      <c r="A1612" s="70" t="s">
        <v>2013</v>
      </c>
      <c r="B1612" s="21">
        <v>269848</v>
      </c>
    </row>
    <row r="1613" spans="1:2">
      <c r="A1613" s="70" t="s">
        <v>2014</v>
      </c>
      <c r="B1613" s="21">
        <v>269931</v>
      </c>
    </row>
    <row r="1614" spans="1:2">
      <c r="A1614" s="70" t="s">
        <v>2015</v>
      </c>
      <c r="B1614" s="21"/>
    </row>
    <row r="1615" spans="1:2">
      <c r="A1615" s="70" t="s">
        <v>2016</v>
      </c>
      <c r="B1615" s="21">
        <v>266671</v>
      </c>
    </row>
    <row r="1616" spans="1:2">
      <c r="A1616" s="70" t="s">
        <v>2017</v>
      </c>
      <c r="B1616" s="21">
        <v>267222</v>
      </c>
    </row>
    <row r="1617" spans="1:2">
      <c r="A1617" s="70" t="s">
        <v>2018</v>
      </c>
      <c r="B1617" s="21">
        <v>267152</v>
      </c>
    </row>
    <row r="1618" spans="1:2">
      <c r="A1618" s="70" t="s">
        <v>2019</v>
      </c>
      <c r="B1618" s="21">
        <v>264391</v>
      </c>
    </row>
    <row r="1619" spans="1:2">
      <c r="A1619" s="70" t="s">
        <v>2020</v>
      </c>
      <c r="B1619" s="21">
        <v>264980</v>
      </c>
    </row>
    <row r="1620" spans="1:2">
      <c r="A1620" s="70" t="s">
        <v>2021</v>
      </c>
      <c r="B1620" s="21">
        <v>265130</v>
      </c>
    </row>
    <row r="1621" spans="1:2">
      <c r="A1621" s="70" t="s">
        <v>2022</v>
      </c>
      <c r="B1621" s="21"/>
    </row>
    <row r="1622" spans="1:2">
      <c r="A1622" s="70" t="s">
        <v>2023</v>
      </c>
      <c r="B1622" s="21">
        <v>265871</v>
      </c>
    </row>
    <row r="1623" spans="1:2">
      <c r="A1623" s="70" t="s">
        <v>2024</v>
      </c>
      <c r="B1623" s="21">
        <v>265459</v>
      </c>
    </row>
    <row r="1624" spans="1:2">
      <c r="A1624" s="70" t="s">
        <v>2025</v>
      </c>
      <c r="B1624" s="21">
        <v>266040</v>
      </c>
    </row>
    <row r="1625" spans="1:2">
      <c r="A1625" s="70" t="s">
        <v>2026</v>
      </c>
      <c r="B1625" s="21">
        <v>266961</v>
      </c>
    </row>
    <row r="1626" spans="1:2">
      <c r="A1626" s="70" t="s">
        <v>2027</v>
      </c>
      <c r="B1626" s="21">
        <v>267712</v>
      </c>
    </row>
    <row r="1627" spans="1:2">
      <c r="A1627" s="70" t="s">
        <v>2028</v>
      </c>
      <c r="B1627" s="21">
        <v>269199</v>
      </c>
    </row>
    <row r="1628" spans="1:2">
      <c r="A1628" s="70" t="s">
        <v>2029</v>
      </c>
      <c r="B1628" s="21"/>
    </row>
    <row r="1629" spans="1:2">
      <c r="A1629" s="70" t="s">
        <v>2030</v>
      </c>
      <c r="B1629" s="21">
        <v>268351</v>
      </c>
    </row>
    <row r="1630" spans="1:2">
      <c r="A1630" s="70" t="s">
        <v>2031</v>
      </c>
      <c r="B1630" s="21">
        <v>266587</v>
      </c>
    </row>
    <row r="1631" spans="1:2">
      <c r="A1631" s="70" t="s">
        <v>2032</v>
      </c>
      <c r="B1631" s="21">
        <v>267370</v>
      </c>
    </row>
    <row r="1632" spans="1:2">
      <c r="A1632" s="70" t="s">
        <v>2033</v>
      </c>
      <c r="B1632" s="21">
        <v>266830</v>
      </c>
    </row>
    <row r="1633" spans="1:2">
      <c r="A1633" s="70" t="s">
        <v>2034</v>
      </c>
      <c r="B1633" s="21">
        <v>266409</v>
      </c>
    </row>
    <row r="1634" spans="1:2">
      <c r="A1634" s="70" t="s">
        <v>2035</v>
      </c>
      <c r="B1634" s="21">
        <v>267380</v>
      </c>
    </row>
    <row r="1635" spans="1:2">
      <c r="A1635" s="70" t="s">
        <v>2036</v>
      </c>
      <c r="B1635" s="21"/>
    </row>
    <row r="1636" spans="1:2">
      <c r="A1636" s="70" t="s">
        <v>2037</v>
      </c>
      <c r="B1636" s="21">
        <v>270040</v>
      </c>
    </row>
    <row r="1637" spans="1:2">
      <c r="A1637" s="70" t="s">
        <v>2038</v>
      </c>
      <c r="B1637" s="21">
        <v>272370</v>
      </c>
    </row>
    <row r="1638" spans="1:2">
      <c r="A1638" s="70" t="s">
        <v>2039</v>
      </c>
      <c r="B1638" s="21">
        <v>273605</v>
      </c>
    </row>
    <row r="1639" spans="1:2">
      <c r="A1639" s="70" t="s">
        <v>2040</v>
      </c>
      <c r="B1639" s="21">
        <v>273081</v>
      </c>
    </row>
    <row r="1640" spans="1:2">
      <c r="A1640" s="70" t="s">
        <v>2041</v>
      </c>
      <c r="B1640" s="21">
        <v>270721</v>
      </c>
    </row>
    <row r="1641" spans="1:2">
      <c r="A1641" s="70" t="s">
        <v>2042</v>
      </c>
      <c r="B1641" s="21">
        <v>269762</v>
      </c>
    </row>
    <row r="1642" spans="1:2">
      <c r="A1642" s="70" t="s">
        <v>2043</v>
      </c>
      <c r="B1642" s="21"/>
    </row>
    <row r="1643" spans="1:2">
      <c r="A1643" s="70" t="s">
        <v>2044</v>
      </c>
      <c r="B1643" s="21"/>
    </row>
    <row r="1644" spans="1:2">
      <c r="A1644" s="70" t="s">
        <v>2045</v>
      </c>
      <c r="B1644" s="21">
        <v>270452</v>
      </c>
    </row>
    <row r="1645" spans="1:2">
      <c r="A1645" s="70" t="s">
        <v>2046</v>
      </c>
      <c r="B1645" s="21">
        <v>270789</v>
      </c>
    </row>
    <row r="1646" spans="1:2">
      <c r="A1646" s="70" t="s">
        <v>2047</v>
      </c>
      <c r="B1646" s="21">
        <v>271181</v>
      </c>
    </row>
    <row r="1647" spans="1:2">
      <c r="A1647" s="70" t="s">
        <v>2048</v>
      </c>
      <c r="B1647" s="21">
        <v>270890</v>
      </c>
    </row>
    <row r="1648" spans="1:2">
      <c r="A1648" s="70" t="s">
        <v>2049</v>
      </c>
      <c r="B1648" s="21">
        <v>267222</v>
      </c>
    </row>
    <row r="1649" spans="1:2">
      <c r="A1649" s="70" t="s">
        <v>2050</v>
      </c>
      <c r="B1649" s="21"/>
    </row>
    <row r="1650" spans="1:2">
      <c r="A1650" s="70" t="s">
        <v>2051</v>
      </c>
      <c r="B1650" s="21">
        <v>263162</v>
      </c>
    </row>
    <row r="1651" spans="1:2">
      <c r="A1651" s="70" t="s">
        <v>2052</v>
      </c>
      <c r="B1651" s="21"/>
    </row>
    <row r="1652" spans="1:2">
      <c r="A1652" s="70" t="s">
        <v>2053</v>
      </c>
      <c r="B1652" s="21">
        <v>262272</v>
      </c>
    </row>
    <row r="1653" spans="1:2">
      <c r="A1653" s="70" t="s">
        <v>2054</v>
      </c>
      <c r="B1653" s="21"/>
    </row>
    <row r="1654" spans="1:2">
      <c r="A1654" s="70" t="s">
        <v>2055</v>
      </c>
      <c r="B1654" s="21">
        <v>260192</v>
      </c>
    </row>
    <row r="1655" spans="1:2">
      <c r="A1655" s="70" t="s">
        <v>2056</v>
      </c>
      <c r="B1655" s="21">
        <v>261510</v>
      </c>
    </row>
    <row r="1656" spans="1:2">
      <c r="A1656" s="70" t="s">
        <v>2057</v>
      </c>
      <c r="B1656" s="21"/>
    </row>
    <row r="1657" spans="1:2">
      <c r="A1657" s="70" t="s">
        <v>2058</v>
      </c>
      <c r="B1657" s="21">
        <v>264710</v>
      </c>
    </row>
    <row r="1658" spans="1:2">
      <c r="A1658" s="70" t="s">
        <v>2059</v>
      </c>
      <c r="B1658" s="21">
        <v>265050</v>
      </c>
    </row>
    <row r="1659" spans="1:2">
      <c r="A1659" s="70" t="s">
        <v>2060</v>
      </c>
      <c r="B1659" s="21">
        <v>265853</v>
      </c>
    </row>
    <row r="1660" spans="1:2">
      <c r="A1660" s="70" t="s">
        <v>2061</v>
      </c>
      <c r="B1660" s="21">
        <v>267001</v>
      </c>
    </row>
    <row r="1661" spans="1:2">
      <c r="A1661" s="70" t="s">
        <v>2062</v>
      </c>
      <c r="B1661" s="21"/>
    </row>
    <row r="1662" spans="1:2">
      <c r="A1662" s="70" t="s">
        <v>2063</v>
      </c>
      <c r="B1662" s="21">
        <v>268910</v>
      </c>
    </row>
    <row r="1663" spans="1:2">
      <c r="A1663" s="70" t="s">
        <v>2064</v>
      </c>
      <c r="B1663" s="21"/>
    </row>
    <row r="1664" spans="1:2">
      <c r="A1664" s="70" t="s">
        <v>2065</v>
      </c>
      <c r="B1664" s="21">
        <v>265670</v>
      </c>
    </row>
    <row r="1665" spans="1:2">
      <c r="A1665" s="70" t="s">
        <v>2066</v>
      </c>
      <c r="B1665" s="21">
        <v>265011</v>
      </c>
    </row>
    <row r="1666" spans="1:2">
      <c r="A1666" s="70" t="s">
        <v>2067</v>
      </c>
      <c r="B1666" s="21">
        <v>265899</v>
      </c>
    </row>
    <row r="1667" spans="1:2">
      <c r="A1667" s="70" t="s">
        <v>2068</v>
      </c>
      <c r="B1667" s="21">
        <v>263992</v>
      </c>
    </row>
    <row r="1668" spans="1:2">
      <c r="A1668" s="70" t="s">
        <v>2069</v>
      </c>
      <c r="B1668" s="21">
        <v>265976</v>
      </c>
    </row>
    <row r="1669" spans="1:2">
      <c r="A1669" s="70" t="s">
        <v>2070</v>
      </c>
      <c r="B1669" s="21">
        <v>263910</v>
      </c>
    </row>
    <row r="1670" spans="1:2">
      <c r="A1670" s="70" t="s">
        <v>2071</v>
      </c>
      <c r="B1670" s="21"/>
    </row>
    <row r="1671" spans="1:2">
      <c r="A1671" s="70" t="s">
        <v>2072</v>
      </c>
      <c r="B1671" s="21">
        <v>266592</v>
      </c>
    </row>
    <row r="1672" spans="1:2">
      <c r="A1672" s="70" t="s">
        <v>2073</v>
      </c>
      <c r="B1672" s="21">
        <v>265501</v>
      </c>
    </row>
    <row r="1673" spans="1:2">
      <c r="A1673" s="70" t="s">
        <v>2074</v>
      </c>
      <c r="B1673" s="21">
        <v>265221</v>
      </c>
    </row>
    <row r="1674" spans="1:2">
      <c r="A1674" s="70" t="s">
        <v>2075</v>
      </c>
      <c r="B1674" s="21">
        <v>268242</v>
      </c>
    </row>
    <row r="1675" spans="1:2">
      <c r="A1675" s="70" t="s">
        <v>2076</v>
      </c>
      <c r="B1675" s="21">
        <v>268861</v>
      </c>
    </row>
    <row r="1676" spans="1:2">
      <c r="A1676" s="70" t="s">
        <v>2077</v>
      </c>
      <c r="B1676" s="21">
        <v>266620</v>
      </c>
    </row>
    <row r="1677" spans="1:2">
      <c r="A1677" s="70" t="s">
        <v>2078</v>
      </c>
      <c r="B1677" s="21"/>
    </row>
    <row r="1678" spans="1:2">
      <c r="A1678" s="70" t="s">
        <v>2079</v>
      </c>
      <c r="B1678" s="21">
        <v>268640</v>
      </c>
    </row>
    <row r="1679" spans="1:2">
      <c r="A1679" s="70" t="s">
        <v>2080</v>
      </c>
      <c r="B1679" s="21">
        <v>268751</v>
      </c>
    </row>
    <row r="1680" spans="1:2">
      <c r="A1680" s="70" t="s">
        <v>2081</v>
      </c>
      <c r="B1680" s="21">
        <v>270332</v>
      </c>
    </row>
    <row r="1681" spans="1:2">
      <c r="A1681" s="70" t="s">
        <v>2082</v>
      </c>
      <c r="B1681" s="21">
        <v>269830</v>
      </c>
    </row>
    <row r="1682" spans="1:2">
      <c r="A1682" s="70" t="s">
        <v>2083</v>
      </c>
      <c r="B1682" s="21">
        <v>273110</v>
      </c>
    </row>
    <row r="1683" spans="1:2">
      <c r="A1683" s="70" t="s">
        <v>2084</v>
      </c>
      <c r="B1683" s="21">
        <v>275326</v>
      </c>
    </row>
    <row r="1684" spans="1:2">
      <c r="A1684" s="70" t="s">
        <v>2085</v>
      </c>
      <c r="B1684" s="21"/>
    </row>
    <row r="1685" spans="1:2">
      <c r="A1685" s="70" t="s">
        <v>2086</v>
      </c>
      <c r="B1685" s="21">
        <v>271769</v>
      </c>
    </row>
    <row r="1686" spans="1:2">
      <c r="A1686" s="70" t="s">
        <v>2087</v>
      </c>
      <c r="B1686" s="21">
        <v>273532</v>
      </c>
    </row>
    <row r="1687" spans="1:2">
      <c r="A1687" s="70" t="s">
        <v>2088</v>
      </c>
      <c r="B1687" s="21">
        <v>272740</v>
      </c>
    </row>
    <row r="1688" spans="1:2">
      <c r="A1688" s="70" t="s">
        <v>2089</v>
      </c>
      <c r="B1688" s="21">
        <v>270871</v>
      </c>
    </row>
    <row r="1689" spans="1:2">
      <c r="A1689" s="70" t="s">
        <v>2090</v>
      </c>
      <c r="B1689" s="21">
        <v>270901</v>
      </c>
    </row>
    <row r="1690" spans="1:2">
      <c r="A1690" s="70" t="s">
        <v>2091</v>
      </c>
      <c r="B1690" s="21">
        <v>270870</v>
      </c>
    </row>
    <row r="1691" spans="1:2">
      <c r="A1691" s="70" t="s">
        <v>2092</v>
      </c>
      <c r="B1691" s="21"/>
    </row>
    <row r="1692" spans="1:2">
      <c r="A1692" s="70" t="s">
        <v>2093</v>
      </c>
      <c r="B1692" s="21">
        <v>271110</v>
      </c>
    </row>
    <row r="1693" spans="1:2">
      <c r="A1693" s="70" t="s">
        <v>2094</v>
      </c>
      <c r="B1693" s="21">
        <v>273572</v>
      </c>
    </row>
    <row r="1694" spans="1:2">
      <c r="A1694" s="70" t="s">
        <v>2095</v>
      </c>
      <c r="B1694" s="21">
        <v>275370</v>
      </c>
    </row>
    <row r="1695" spans="1:2">
      <c r="A1695" s="70" t="s">
        <v>2096</v>
      </c>
      <c r="B1695" s="21">
        <v>276739</v>
      </c>
    </row>
    <row r="1696" spans="1:2">
      <c r="A1696" s="70" t="s">
        <v>2097</v>
      </c>
      <c r="B1696" s="21">
        <v>279309</v>
      </c>
    </row>
    <row r="1697" spans="1:2">
      <c r="A1697" s="70" t="s">
        <v>2098</v>
      </c>
      <c r="B1697" s="21">
        <v>278329</v>
      </c>
    </row>
    <row r="1698" spans="1:2">
      <c r="A1698" s="70" t="s">
        <v>2099</v>
      </c>
      <c r="B1698" s="21"/>
    </row>
    <row r="1699" spans="1:2">
      <c r="A1699" s="70" t="s">
        <v>2100</v>
      </c>
      <c r="B1699" s="21">
        <v>285789</v>
      </c>
    </row>
    <row r="1700" spans="1:2">
      <c r="A1700" s="70" t="s">
        <v>2101</v>
      </c>
      <c r="B1700" s="21">
        <v>287801</v>
      </c>
    </row>
    <row r="1701" spans="1:2">
      <c r="A1701" s="70" t="s">
        <v>2102</v>
      </c>
      <c r="B1701" s="21">
        <v>288182</v>
      </c>
    </row>
    <row r="1702" spans="1:2">
      <c r="A1702" s="70" t="s">
        <v>2103</v>
      </c>
      <c r="B1702" s="21">
        <v>287492</v>
      </c>
    </row>
    <row r="1703" spans="1:2">
      <c r="A1703" s="70" t="s">
        <v>2104</v>
      </c>
      <c r="B1703" s="21">
        <v>289372</v>
      </c>
    </row>
    <row r="1704" spans="1:2">
      <c r="A1704" s="70" t="s">
        <v>2105</v>
      </c>
      <c r="B1704" s="21">
        <v>289291</v>
      </c>
    </row>
    <row r="1705" spans="1:2">
      <c r="A1705" s="70" t="s">
        <v>2106</v>
      </c>
      <c r="B1705" s="21"/>
    </row>
    <row r="1706" spans="1:2">
      <c r="A1706" s="70" t="s">
        <v>2107</v>
      </c>
      <c r="B1706" s="21">
        <v>287400</v>
      </c>
    </row>
    <row r="1707" spans="1:2">
      <c r="A1707" s="70" t="s">
        <v>2108</v>
      </c>
      <c r="B1707" s="21">
        <v>288321</v>
      </c>
    </row>
    <row r="1708" spans="1:2">
      <c r="A1708" s="70" t="s">
        <v>2109</v>
      </c>
      <c r="B1708" s="21">
        <v>288029</v>
      </c>
    </row>
    <row r="1709" spans="1:2">
      <c r="A1709" s="70" t="s">
        <v>2110</v>
      </c>
      <c r="B1709" s="21">
        <v>285900</v>
      </c>
    </row>
    <row r="1710" spans="1:2">
      <c r="A1710" s="70" t="s">
        <v>2111</v>
      </c>
      <c r="B1710" s="21">
        <v>286719</v>
      </c>
    </row>
    <row r="1711" spans="1:2">
      <c r="A1711" s="70" t="s">
        <v>2112</v>
      </c>
      <c r="B1711" s="21">
        <v>289690</v>
      </c>
    </row>
    <row r="1712" spans="1:2">
      <c r="A1712" s="70" t="s">
        <v>2113</v>
      </c>
      <c r="B1712" s="21"/>
    </row>
    <row r="1713" spans="1:2">
      <c r="A1713" s="70" t="s">
        <v>2114</v>
      </c>
      <c r="B1713" s="21">
        <v>290679</v>
      </c>
    </row>
    <row r="1714" spans="1:2">
      <c r="A1714" s="70" t="s">
        <v>2115</v>
      </c>
      <c r="B1714" s="21">
        <v>290900</v>
      </c>
    </row>
    <row r="1715" spans="1:2">
      <c r="A1715" s="70" t="s">
        <v>2116</v>
      </c>
      <c r="B1715" s="21">
        <v>290792</v>
      </c>
    </row>
    <row r="1716" spans="1:2">
      <c r="A1716" s="70" t="s">
        <v>2117</v>
      </c>
      <c r="B1716" s="21">
        <v>290550</v>
      </c>
    </row>
    <row r="1717" spans="1:2">
      <c r="A1717" s="70" t="s">
        <v>2118</v>
      </c>
      <c r="B1717" s="21">
        <v>289940</v>
      </c>
    </row>
    <row r="1718" spans="1:2">
      <c r="A1718" s="70" t="s">
        <v>2119</v>
      </c>
      <c r="B1718" s="21">
        <v>289232</v>
      </c>
    </row>
    <row r="1719" spans="1:2">
      <c r="A1719" s="70" t="s">
        <v>2120</v>
      </c>
      <c r="B1719" s="21"/>
    </row>
    <row r="1720" spans="1:2">
      <c r="A1720" s="70" t="s">
        <v>2121</v>
      </c>
      <c r="B1720" s="21">
        <v>294111</v>
      </c>
    </row>
    <row r="1721" spans="1:2">
      <c r="A1721" s="70" t="s">
        <v>2122</v>
      </c>
      <c r="B1721" s="21">
        <v>294659</v>
      </c>
    </row>
    <row r="1722" spans="1:2">
      <c r="A1722" s="70" t="s">
        <v>2123</v>
      </c>
      <c r="B1722" s="21">
        <v>296011</v>
      </c>
    </row>
    <row r="1723" spans="1:2">
      <c r="A1723" s="70" t="s">
        <v>2124</v>
      </c>
      <c r="B1723" s="21">
        <v>296540</v>
      </c>
    </row>
    <row r="1724" spans="1:2">
      <c r="A1724" s="70" t="s">
        <v>2125</v>
      </c>
      <c r="B1724" s="21">
        <v>296291</v>
      </c>
    </row>
    <row r="1725" spans="1:2">
      <c r="A1725" s="70" t="s">
        <v>2126</v>
      </c>
      <c r="B1725" s="21">
        <v>298060</v>
      </c>
    </row>
    <row r="1726" spans="1:2">
      <c r="A1726" s="70" t="s">
        <v>2127</v>
      </c>
      <c r="B1726" s="21"/>
    </row>
    <row r="1727" spans="1:2">
      <c r="A1727" s="70" t="s">
        <v>2128</v>
      </c>
      <c r="B1727" s="21">
        <v>297730</v>
      </c>
    </row>
    <row r="1728" spans="1:2">
      <c r="A1728" s="70" t="s">
        <v>2129</v>
      </c>
      <c r="B1728" s="21">
        <v>300869</v>
      </c>
    </row>
    <row r="1729" spans="1:2">
      <c r="A1729" s="70" t="s">
        <v>2130</v>
      </c>
      <c r="B1729" s="21">
        <v>302690</v>
      </c>
    </row>
    <row r="1730" spans="1:2">
      <c r="A1730" s="70" t="s">
        <v>2131</v>
      </c>
      <c r="B1730" s="21">
        <v>305061</v>
      </c>
    </row>
    <row r="1731" spans="1:2">
      <c r="A1731" s="70" t="s">
        <v>2132</v>
      </c>
      <c r="B1731" s="21">
        <v>305460</v>
      </c>
    </row>
    <row r="1732" spans="1:2">
      <c r="A1732" s="70" t="s">
        <v>2133</v>
      </c>
      <c r="B1732" s="21">
        <v>308112</v>
      </c>
    </row>
    <row r="1733" spans="1:2">
      <c r="A1733" s="70" t="s">
        <v>2134</v>
      </c>
      <c r="B1733" s="21"/>
    </row>
    <row r="1734" spans="1:2">
      <c r="A1734" s="70" t="s">
        <v>2135</v>
      </c>
      <c r="B1734" s="21">
        <v>306571</v>
      </c>
    </row>
    <row r="1735" spans="1:2">
      <c r="A1735" s="70" t="s">
        <v>2136</v>
      </c>
      <c r="B1735" s="21">
        <v>305349</v>
      </c>
    </row>
    <row r="1736" spans="1:2">
      <c r="A1736" s="70" t="s">
        <v>2137</v>
      </c>
      <c r="B1736" s="21">
        <v>304971</v>
      </c>
    </row>
    <row r="1737" spans="1:2">
      <c r="A1737" s="70" t="s">
        <v>2138</v>
      </c>
      <c r="B1737" s="21">
        <v>306400</v>
      </c>
    </row>
    <row r="1738" spans="1:2">
      <c r="A1738" s="70" t="s">
        <v>2139</v>
      </c>
      <c r="B1738" s="21">
        <v>306620</v>
      </c>
    </row>
    <row r="1739" spans="1:2">
      <c r="A1739" s="70" t="s">
        <v>2140</v>
      </c>
      <c r="B1739" s="21">
        <v>305549</v>
      </c>
    </row>
    <row r="1740" spans="1:2">
      <c r="A1740" s="70" t="s">
        <v>2141</v>
      </c>
      <c r="B1740" s="21"/>
    </row>
    <row r="1741" spans="1:2">
      <c r="A1741" s="70" t="s">
        <v>2142</v>
      </c>
      <c r="B1741" s="21">
        <v>305711</v>
      </c>
    </row>
    <row r="1742" spans="1:2">
      <c r="A1742" s="70" t="s">
        <v>2143</v>
      </c>
      <c r="B1742" s="21">
        <v>310099</v>
      </c>
    </row>
    <row r="1743" spans="1:2">
      <c r="A1743" s="70" t="s">
        <v>2144</v>
      </c>
      <c r="B1743" s="21">
        <v>311151</v>
      </c>
    </row>
    <row r="1744" spans="1:2">
      <c r="A1744" s="70" t="s">
        <v>2145</v>
      </c>
      <c r="B1744" s="21"/>
    </row>
    <row r="1745" spans="1:2">
      <c r="A1745" s="70" t="s">
        <v>2146</v>
      </c>
      <c r="B1745" s="21">
        <v>312680</v>
      </c>
    </row>
    <row r="1746" spans="1:2">
      <c r="A1746" s="70" t="s">
        <v>2147</v>
      </c>
      <c r="B1746" s="21">
        <v>312219</v>
      </c>
    </row>
    <row r="1747" spans="1:2">
      <c r="A1747" s="70" t="s">
        <v>2148</v>
      </c>
      <c r="B1747" s="21"/>
    </row>
    <row r="1748" spans="1:2">
      <c r="A1748" s="70" t="s">
        <v>2149</v>
      </c>
      <c r="B1748" s="21">
        <v>304779</v>
      </c>
    </row>
    <row r="1749" spans="1:2">
      <c r="A1749" s="70" t="s">
        <v>2150</v>
      </c>
      <c r="B1749" s="21">
        <v>305870</v>
      </c>
    </row>
    <row r="1750" spans="1:2">
      <c r="A1750" s="70" t="s">
        <v>2151</v>
      </c>
      <c r="B1750" s="21">
        <v>305030</v>
      </c>
    </row>
    <row r="1751" spans="1:2">
      <c r="A1751" s="70" t="s">
        <v>2152</v>
      </c>
      <c r="B1751" s="21">
        <v>303702</v>
      </c>
    </row>
    <row r="1752" spans="1:2">
      <c r="A1752" s="70" t="s">
        <v>2153</v>
      </c>
      <c r="B1752" s="21">
        <v>300881</v>
      </c>
    </row>
    <row r="1753" spans="1:2">
      <c r="A1753" s="70" t="s">
        <v>2154</v>
      </c>
      <c r="B1753" s="21">
        <v>302608</v>
      </c>
    </row>
    <row r="1754" spans="1:2">
      <c r="A1754" s="70" t="s">
        <v>2155</v>
      </c>
      <c r="B1754" s="21"/>
    </row>
    <row r="1755" spans="1:2">
      <c r="A1755" s="70" t="s">
        <v>2156</v>
      </c>
      <c r="B1755" s="21">
        <v>302696</v>
      </c>
    </row>
    <row r="1756" spans="1:2">
      <c r="A1756" s="70" t="s">
        <v>2157</v>
      </c>
      <c r="B1756" s="21">
        <v>303543</v>
      </c>
    </row>
    <row r="1757" spans="1:2">
      <c r="A1757" s="70" t="s">
        <v>2158</v>
      </c>
      <c r="B1757" s="21">
        <v>303580</v>
      </c>
    </row>
    <row r="1758" spans="1:2">
      <c r="A1758" s="70" t="s">
        <v>2159</v>
      </c>
      <c r="B1758" s="21">
        <v>306578</v>
      </c>
    </row>
    <row r="1759" spans="1:2">
      <c r="A1759" s="70" t="s">
        <v>2160</v>
      </c>
      <c r="B1759" s="21">
        <v>305937</v>
      </c>
    </row>
    <row r="1760" spans="1:2">
      <c r="A1760" s="70" t="s">
        <v>2161</v>
      </c>
      <c r="B1760" s="21">
        <v>306213</v>
      </c>
    </row>
    <row r="1761" spans="1:2">
      <c r="A1761" s="70" t="s">
        <v>2162</v>
      </c>
      <c r="B1761" s="21"/>
    </row>
    <row r="1762" spans="1:2">
      <c r="A1762" s="70" t="s">
        <v>2163</v>
      </c>
      <c r="B1762" s="21">
        <v>308103</v>
      </c>
    </row>
    <row r="1763" spans="1:2">
      <c r="A1763" s="70" t="s">
        <v>2164</v>
      </c>
      <c r="B1763" s="21">
        <v>308921</v>
      </c>
    </row>
    <row r="1764" spans="1:2">
      <c r="A1764" s="70" t="s">
        <v>2165</v>
      </c>
      <c r="B1764" s="21">
        <v>308824</v>
      </c>
    </row>
    <row r="1765" spans="1:2">
      <c r="A1765" s="70" t="s">
        <v>2166</v>
      </c>
      <c r="B1765" s="21">
        <v>308516</v>
      </c>
    </row>
    <row r="1766" spans="1:2">
      <c r="A1766" s="70" t="s">
        <v>2167</v>
      </c>
      <c r="B1766" s="21">
        <v>307618</v>
      </c>
    </row>
    <row r="1767" spans="1:2">
      <c r="A1767" s="70" t="s">
        <v>2168</v>
      </c>
      <c r="B1767" s="21">
        <v>308581</v>
      </c>
    </row>
    <row r="1768" spans="1:2">
      <c r="A1768" s="70" t="s">
        <v>2169</v>
      </c>
      <c r="B1768" s="21"/>
    </row>
    <row r="1769" spans="1:2">
      <c r="A1769" s="70" t="s">
        <v>2170</v>
      </c>
      <c r="B1769" s="21">
        <v>308690</v>
      </c>
    </row>
    <row r="1770" spans="1:2">
      <c r="A1770" s="70" t="s">
        <v>2171</v>
      </c>
      <c r="B1770" s="21">
        <v>309761</v>
      </c>
    </row>
    <row r="1771" spans="1:2">
      <c r="A1771" s="70" t="s">
        <v>2172</v>
      </c>
      <c r="B1771" s="21">
        <v>309379</v>
      </c>
    </row>
    <row r="1772" spans="1:2">
      <c r="A1772" s="70" t="s">
        <v>2173</v>
      </c>
      <c r="B1772" s="21">
        <v>309585</v>
      </c>
    </row>
    <row r="1773" spans="1:2">
      <c r="A1773" s="70" t="s">
        <v>2174</v>
      </c>
      <c r="B1773" s="21">
        <v>309830</v>
      </c>
    </row>
    <row r="1774" spans="1:2">
      <c r="A1774" s="70" t="s">
        <v>2175</v>
      </c>
      <c r="B1774" s="21">
        <v>310650</v>
      </c>
    </row>
    <row r="1775" spans="1:2">
      <c r="A1775" s="70" t="s">
        <v>2176</v>
      </c>
      <c r="B1775" s="21"/>
    </row>
    <row r="1776" spans="1:2">
      <c r="A1776" s="70" t="s">
        <v>2177</v>
      </c>
      <c r="B1776" s="21">
        <v>309459</v>
      </c>
    </row>
    <row r="1777" spans="1:2">
      <c r="A1777" s="70" t="s">
        <v>2178</v>
      </c>
      <c r="B1777" s="21">
        <v>309736</v>
      </c>
    </row>
    <row r="1778" spans="1:2">
      <c r="A1778" s="70" t="s">
        <v>2179</v>
      </c>
      <c r="B1778" s="21">
        <v>309411</v>
      </c>
    </row>
    <row r="1779" spans="1:2">
      <c r="A1779" s="70" t="s">
        <v>2180</v>
      </c>
      <c r="B1779" s="21">
        <v>309719</v>
      </c>
    </row>
    <row r="1780" spans="1:2">
      <c r="A1780" s="70" t="s">
        <v>2181</v>
      </c>
      <c r="B1780" s="21">
        <v>309453</v>
      </c>
    </row>
    <row r="1781" spans="1:2">
      <c r="A1781" s="70" t="s">
        <v>2182</v>
      </c>
      <c r="B1781" s="21">
        <v>311166</v>
      </c>
    </row>
    <row r="1782" spans="1:2">
      <c r="A1782" s="70" t="s">
        <v>2183</v>
      </c>
      <c r="B1782" s="21"/>
    </row>
    <row r="1783" spans="1:2">
      <c r="A1783" s="70" t="s">
        <v>2184</v>
      </c>
      <c r="B1783" s="21"/>
    </row>
    <row r="1784" spans="1:2">
      <c r="A1784" s="70" t="s">
        <v>2185</v>
      </c>
      <c r="B1784" s="21">
        <v>308271</v>
      </c>
    </row>
    <row r="1785" spans="1:2">
      <c r="A1785" s="70" t="s">
        <v>2186</v>
      </c>
      <c r="B1785" s="21">
        <v>307743</v>
      </c>
    </row>
    <row r="1786" spans="1:2">
      <c r="A1786" s="70" t="s">
        <v>2187</v>
      </c>
      <c r="B1786" s="21">
        <v>305509</v>
      </c>
    </row>
    <row r="1787" spans="1:2">
      <c r="A1787" s="70" t="s">
        <v>2188</v>
      </c>
      <c r="B1787" s="21">
        <v>305144</v>
      </c>
    </row>
    <row r="1788" spans="1:2">
      <c r="A1788" s="70" t="s">
        <v>2189</v>
      </c>
      <c r="B1788" s="21">
        <v>305934</v>
      </c>
    </row>
    <row r="1789" spans="1:2">
      <c r="A1789" s="70" t="s">
        <v>2190</v>
      </c>
      <c r="B1789" s="21"/>
    </row>
    <row r="1790" spans="1:2">
      <c r="A1790" s="70" t="s">
        <v>2191</v>
      </c>
      <c r="B1790" s="21"/>
    </row>
    <row r="1791" spans="1:2">
      <c r="A1791" s="70" t="s">
        <v>2192</v>
      </c>
      <c r="B1791" s="21">
        <v>304446</v>
      </c>
    </row>
    <row r="1792" spans="1:2">
      <c r="A1792" s="70" t="s">
        <v>2193</v>
      </c>
      <c r="B1792" s="21">
        <v>304007</v>
      </c>
    </row>
    <row r="1793" spans="1:2">
      <c r="A1793" s="70" t="s">
        <v>2194</v>
      </c>
      <c r="B1793" s="21">
        <v>305375</v>
      </c>
    </row>
    <row r="1794" spans="1:2">
      <c r="A1794" s="70" t="s">
        <v>2195</v>
      </c>
      <c r="B1794" s="21">
        <v>305546</v>
      </c>
    </row>
    <row r="1795" spans="1:2">
      <c r="A1795" s="70" t="s">
        <v>2196</v>
      </c>
      <c r="B1795" s="21">
        <v>304472</v>
      </c>
    </row>
    <row r="1796" spans="1:2">
      <c r="A1796" s="70" t="s">
        <v>2197</v>
      </c>
      <c r="B1796" s="21"/>
    </row>
    <row r="1797" spans="1:2">
      <c r="A1797" s="70" t="s">
        <v>2198</v>
      </c>
      <c r="B1797" s="21"/>
    </row>
    <row r="1798" spans="1:2">
      <c r="A1798" s="70" t="s">
        <v>2199</v>
      </c>
      <c r="B1798" s="21">
        <v>304839</v>
      </c>
    </row>
    <row r="1799" spans="1:2">
      <c r="A1799" s="70" t="s">
        <v>2200</v>
      </c>
      <c r="B1799" s="21">
        <v>304831</v>
      </c>
    </row>
    <row r="1800" spans="1:2">
      <c r="A1800" s="70" t="s">
        <v>2201</v>
      </c>
      <c r="B1800" s="21">
        <v>304620</v>
      </c>
    </row>
    <row r="1801" spans="1:2">
      <c r="A1801" s="70" t="s">
        <v>2202</v>
      </c>
      <c r="B1801" s="21">
        <v>303742</v>
      </c>
    </row>
    <row r="1802" spans="1:2">
      <c r="A1802" s="70" t="s">
        <v>2203</v>
      </c>
      <c r="B1802" s="21">
        <v>302730</v>
      </c>
    </row>
    <row r="1803" spans="1:2">
      <c r="A1803" s="70" t="s">
        <v>2204</v>
      </c>
      <c r="B1803" s="21"/>
    </row>
    <row r="1804" spans="1:2">
      <c r="A1804" s="70" t="s">
        <v>2205</v>
      </c>
      <c r="B1804" s="21">
        <v>300542</v>
      </c>
    </row>
    <row r="1805" spans="1:2">
      <c r="A1805" s="70" t="s">
        <v>2206</v>
      </c>
      <c r="B1805" s="21">
        <v>301371</v>
      </c>
    </row>
    <row r="1806" spans="1:2">
      <c r="A1806" s="70" t="s">
        <v>2207</v>
      </c>
      <c r="B1806" s="21">
        <v>300325</v>
      </c>
    </row>
    <row r="1807" spans="1:2">
      <c r="A1807" s="70" t="s">
        <v>2208</v>
      </c>
      <c r="B1807" s="21">
        <v>399273</v>
      </c>
    </row>
    <row r="1808" spans="1:2">
      <c r="A1808" s="70" t="s">
        <v>2209</v>
      </c>
      <c r="B1808" s="21">
        <v>403952</v>
      </c>
    </row>
    <row r="1809" spans="1:2">
      <c r="A1809" s="70" t="s">
        <v>2210</v>
      </c>
      <c r="B1809" s="21">
        <v>414443</v>
      </c>
    </row>
    <row r="1810" spans="1:2">
      <c r="A1810" s="70" t="s">
        <v>2211</v>
      </c>
      <c r="B1810" s="21"/>
    </row>
    <row r="1811" spans="1:2">
      <c r="A1811" s="70" t="s">
        <v>2212</v>
      </c>
      <c r="B1811" s="21">
        <v>413734</v>
      </c>
    </row>
    <row r="1812" spans="1:2">
      <c r="A1812" s="70" t="s">
        <v>2213</v>
      </c>
      <c r="B1812" s="21">
        <v>414073</v>
      </c>
    </row>
    <row r="1813" spans="1:2">
      <c r="A1813" s="70" t="s">
        <v>2214</v>
      </c>
      <c r="B1813" s="21">
        <v>412375</v>
      </c>
    </row>
    <row r="1814" spans="1:2">
      <c r="A1814" s="70" t="s">
        <v>2215</v>
      </c>
      <c r="B1814" s="21">
        <v>412610</v>
      </c>
    </row>
    <row r="1815" spans="1:2">
      <c r="A1815" s="70" t="s">
        <v>2216</v>
      </c>
      <c r="B1815" s="21"/>
    </row>
    <row r="1816" spans="1:2">
      <c r="A1816" s="70" t="s">
        <v>2217</v>
      </c>
      <c r="B1816" s="21">
        <v>405922</v>
      </c>
    </row>
    <row r="1817" spans="1:2">
      <c r="A1817" s="70" t="s">
        <v>2218</v>
      </c>
      <c r="B1817" s="21"/>
    </row>
    <row r="1818" spans="1:2">
      <c r="A1818" s="70" t="s">
        <v>2219</v>
      </c>
      <c r="B1818" s="21">
        <v>399513</v>
      </c>
    </row>
    <row r="1819" spans="1:2">
      <c r="A1819" s="70" t="s">
        <v>2220</v>
      </c>
      <c r="B1819" s="21">
        <v>393251</v>
      </c>
    </row>
    <row r="1820" spans="1:2">
      <c r="A1820" s="70" t="s">
        <v>2221</v>
      </c>
      <c r="B1820" s="21">
        <v>390367</v>
      </c>
    </row>
    <row r="1821" spans="1:2">
      <c r="A1821" s="70" t="s">
        <v>2222</v>
      </c>
      <c r="B1821" s="21">
        <v>393814</v>
      </c>
    </row>
    <row r="1822" spans="1:2">
      <c r="A1822" s="70" t="s">
        <v>2223</v>
      </c>
      <c r="B1822" s="21">
        <v>393527</v>
      </c>
    </row>
    <row r="1823" spans="1:2">
      <c r="A1823" s="70" t="s">
        <v>2224</v>
      </c>
      <c r="B1823" s="21">
        <v>385490</v>
      </c>
    </row>
    <row r="1824" spans="1:2">
      <c r="A1824" s="70" t="s">
        <v>2225</v>
      </c>
      <c r="B1824" s="21"/>
    </row>
    <row r="1825" spans="1:2">
      <c r="A1825" s="70" t="s">
        <v>2226</v>
      </c>
      <c r="B1825" s="21">
        <v>389633</v>
      </c>
    </row>
    <row r="1826" spans="1:2">
      <c r="A1826" s="70" t="s">
        <v>2227</v>
      </c>
      <c r="B1826" s="21">
        <v>392100</v>
      </c>
    </row>
    <row r="1827" spans="1:2">
      <c r="A1827" s="70" t="s">
        <v>2228</v>
      </c>
      <c r="B1827" s="21"/>
    </row>
    <row r="1828" spans="1:2">
      <c r="A1828" s="70" t="s">
        <v>2229</v>
      </c>
      <c r="B1828" s="21"/>
    </row>
    <row r="1829" spans="1:2">
      <c r="A1829" s="70" t="s">
        <v>2230</v>
      </c>
      <c r="B1829" s="21"/>
    </row>
    <row r="1830" spans="1:2">
      <c r="A1830" s="70" t="s">
        <v>2231</v>
      </c>
      <c r="B1830" s="21"/>
    </row>
    <row r="1831" spans="1:2">
      <c r="A1831" s="70" t="s">
        <v>2232</v>
      </c>
      <c r="B1831" s="21"/>
    </row>
    <row r="1832" spans="1:2">
      <c r="A1832" s="70" t="s">
        <v>2233</v>
      </c>
      <c r="B1832" s="21">
        <v>393871</v>
      </c>
    </row>
    <row r="1833" spans="1:2">
      <c r="A1833" s="70" t="s">
        <v>2234</v>
      </c>
      <c r="B1833" s="21">
        <v>394373</v>
      </c>
    </row>
    <row r="1834" spans="1:2">
      <c r="A1834" s="70" t="s">
        <v>2235</v>
      </c>
      <c r="B1834" s="21">
        <v>393088</v>
      </c>
    </row>
    <row r="1835" spans="1:2">
      <c r="A1835" s="70" t="s">
        <v>2236</v>
      </c>
      <c r="B1835" s="21">
        <v>394882</v>
      </c>
    </row>
    <row r="1836" spans="1:2">
      <c r="A1836" s="70" t="s">
        <v>2237</v>
      </c>
      <c r="B1836" s="21">
        <v>396865</v>
      </c>
    </row>
    <row r="1837" spans="1:2">
      <c r="A1837" s="70" t="s">
        <v>2238</v>
      </c>
      <c r="B1837" s="21">
        <v>396243</v>
      </c>
    </row>
    <row r="1838" spans="1:2">
      <c r="A1838" s="70" t="s">
        <v>2239</v>
      </c>
      <c r="B1838" s="21"/>
    </row>
    <row r="1839" spans="1:2">
      <c r="A1839" s="70" t="s">
        <v>2240</v>
      </c>
      <c r="B1839" s="21"/>
    </row>
    <row r="1840" spans="1:2">
      <c r="A1840" s="70" t="s">
        <v>2241</v>
      </c>
      <c r="B1840" s="21"/>
    </row>
    <row r="1841" spans="1:2">
      <c r="A1841" s="70" t="s">
        <v>2242</v>
      </c>
      <c r="B1841" s="21">
        <v>397202</v>
      </c>
    </row>
    <row r="1842" spans="1:2">
      <c r="A1842" s="70" t="s">
        <v>2243</v>
      </c>
      <c r="B1842" s="21">
        <v>398574</v>
      </c>
    </row>
    <row r="1843" spans="1:2">
      <c r="A1843" s="70" t="s">
        <v>2244</v>
      </c>
      <c r="B1843" s="21">
        <v>400829</v>
      </c>
    </row>
    <row r="1844" spans="1:2">
      <c r="A1844" s="70" t="s">
        <v>2245</v>
      </c>
      <c r="B1844" s="21">
        <v>404608</v>
      </c>
    </row>
    <row r="1845" spans="1:2">
      <c r="A1845" s="70" t="s">
        <v>2246</v>
      </c>
      <c r="B1845" s="21"/>
    </row>
    <row r="1846" spans="1:2">
      <c r="A1846" s="70" t="s">
        <v>2247</v>
      </c>
      <c r="B1846" s="21">
        <v>403152</v>
      </c>
    </row>
    <row r="1847" spans="1:2">
      <c r="A1847" s="70" t="s">
        <v>2248</v>
      </c>
      <c r="B1847" s="21">
        <v>408572</v>
      </c>
    </row>
    <row r="1848" spans="1:2">
      <c r="A1848" s="70" t="s">
        <v>2249</v>
      </c>
      <c r="B1848" s="21">
        <v>412389</v>
      </c>
    </row>
    <row r="1849" spans="1:2">
      <c r="A1849" s="70" t="s">
        <v>2250</v>
      </c>
      <c r="B1849" s="21">
        <v>411014</v>
      </c>
    </row>
    <row r="1850" spans="1:2">
      <c r="A1850" s="70" t="s">
        <v>2251</v>
      </c>
      <c r="B1850" s="21"/>
    </row>
    <row r="1851" spans="1:2">
      <c r="A1851" s="70" t="s">
        <v>2252</v>
      </c>
      <c r="B1851" s="21">
        <v>416581</v>
      </c>
    </row>
    <row r="1852" spans="1:2">
      <c r="A1852" s="70" t="s">
        <v>2253</v>
      </c>
      <c r="B1852" s="21"/>
    </row>
    <row r="1853" spans="1:2">
      <c r="A1853" s="70" t="s">
        <v>2254</v>
      </c>
      <c r="B1853" s="21">
        <v>416418</v>
      </c>
    </row>
    <row r="1854" spans="1:2">
      <c r="A1854" s="70" t="s">
        <v>2255</v>
      </c>
      <c r="B1854" s="21">
        <v>420657</v>
      </c>
    </row>
    <row r="1855" spans="1:2">
      <c r="A1855" s="70" t="s">
        <v>2256</v>
      </c>
      <c r="B1855" s="21">
        <v>420101</v>
      </c>
    </row>
    <row r="1856" spans="1:2">
      <c r="A1856" s="70" t="s">
        <v>2257</v>
      </c>
      <c r="B1856" s="21">
        <v>418406</v>
      </c>
    </row>
    <row r="1857" spans="1:2">
      <c r="A1857" s="70" t="s">
        <v>2258</v>
      </c>
      <c r="B1857" s="21">
        <v>421235</v>
      </c>
    </row>
    <row r="1858" spans="1:2">
      <c r="A1858" s="70" t="s">
        <v>2259</v>
      </c>
      <c r="B1858" s="21">
        <v>422729</v>
      </c>
    </row>
    <row r="1859" spans="1:2">
      <c r="A1859" s="70" t="s">
        <v>2260</v>
      </c>
      <c r="B1859" s="21"/>
    </row>
    <row r="1860" spans="1:2">
      <c r="A1860" s="70" t="s">
        <v>2261</v>
      </c>
      <c r="B1860" s="21"/>
    </row>
    <row r="1861" spans="1:2">
      <c r="A1861" s="70" t="s">
        <v>2262</v>
      </c>
      <c r="B1861" s="21"/>
    </row>
    <row r="1862" spans="1:2">
      <c r="A1862" s="70" t="s">
        <v>2263</v>
      </c>
      <c r="B1862" s="21">
        <v>424962</v>
      </c>
    </row>
    <row r="1863" spans="1:2">
      <c r="A1863" s="70" t="s">
        <v>2264</v>
      </c>
      <c r="B1863" s="21">
        <v>421227</v>
      </c>
    </row>
    <row r="1864" spans="1:2">
      <c r="A1864" s="70" t="s">
        <v>2265</v>
      </c>
      <c r="B1864" s="21">
        <v>418607</v>
      </c>
    </row>
    <row r="1865" spans="1:2">
      <c r="A1865" s="70" t="s">
        <v>2266</v>
      </c>
      <c r="B1865" s="21">
        <v>421564</v>
      </c>
    </row>
    <row r="1866" spans="1:2">
      <c r="A1866" s="70" t="s">
        <v>2267</v>
      </c>
      <c r="B1866" s="21"/>
    </row>
    <row r="1867" spans="1:2">
      <c r="A1867" s="70" t="s">
        <v>2268</v>
      </c>
      <c r="B1867" s="21">
        <v>421217</v>
      </c>
    </row>
    <row r="1868" spans="1:2">
      <c r="A1868" s="70" t="s">
        <v>2269</v>
      </c>
      <c r="B1868" s="21">
        <v>423765</v>
      </c>
    </row>
    <row r="1869" spans="1:2">
      <c r="A1869" s="70" t="s">
        <v>2270</v>
      </c>
      <c r="B1869" s="21">
        <v>420885</v>
      </c>
    </row>
    <row r="1870" spans="1:2">
      <c r="A1870" s="70" t="s">
        <v>2271</v>
      </c>
      <c r="B1870" s="21">
        <v>419698</v>
      </c>
    </row>
    <row r="1871" spans="1:2">
      <c r="A1871" s="70" t="s">
        <v>2272</v>
      </c>
      <c r="B1871" s="21">
        <v>422923</v>
      </c>
    </row>
    <row r="1872" spans="1:2">
      <c r="A1872" s="70" t="s">
        <v>2273</v>
      </c>
      <c r="B1872" s="21">
        <v>424958</v>
      </c>
    </row>
    <row r="1873" spans="1:2">
      <c r="A1873" s="70" t="s">
        <v>2274</v>
      </c>
      <c r="B1873" s="21"/>
    </row>
    <row r="1874" spans="1:2">
      <c r="A1874" s="70" t="s">
        <v>2275</v>
      </c>
      <c r="B1874" s="21">
        <v>424000</v>
      </c>
    </row>
    <row r="1875" spans="1:2">
      <c r="A1875" s="70" t="s">
        <v>2276</v>
      </c>
      <c r="B1875" s="21">
        <v>430754</v>
      </c>
    </row>
    <row r="1876" spans="1:2">
      <c r="A1876" s="70" t="s">
        <v>2277</v>
      </c>
      <c r="B1876" s="21">
        <v>431173</v>
      </c>
    </row>
    <row r="1877" spans="1:2">
      <c r="A1877" s="70" t="s">
        <v>2278</v>
      </c>
      <c r="B1877" s="21">
        <v>423827</v>
      </c>
    </row>
    <row r="1878" spans="1:2">
      <c r="A1878" s="70" t="s">
        <v>2279</v>
      </c>
      <c r="B1878" s="21">
        <v>421254</v>
      </c>
    </row>
    <row r="1879" spans="1:2">
      <c r="A1879" s="70" t="s">
        <v>2280</v>
      </c>
      <c r="B1879" s="21">
        <v>421750</v>
      </c>
    </row>
    <row r="1880" spans="1:2">
      <c r="A1880" s="70" t="s">
        <v>2281</v>
      </c>
      <c r="B1880" s="21"/>
    </row>
    <row r="1881" spans="1:2">
      <c r="A1881" s="70" t="s">
        <v>2282</v>
      </c>
      <c r="B1881" s="21">
        <v>417972</v>
      </c>
    </row>
    <row r="1882" spans="1:2">
      <c r="A1882" s="70" t="s">
        <v>2283</v>
      </c>
      <c r="B1882" s="21">
        <v>419046</v>
      </c>
    </row>
    <row r="1883" spans="1:2">
      <c r="A1883" s="70" t="s">
        <v>2284</v>
      </c>
      <c r="B1883" s="21">
        <v>417753</v>
      </c>
    </row>
    <row r="1884" spans="1:2">
      <c r="A1884" s="70" t="s">
        <v>2285</v>
      </c>
      <c r="B1884" s="21"/>
    </row>
    <row r="1885" spans="1:2">
      <c r="A1885" s="70" t="s">
        <v>2286</v>
      </c>
      <c r="B1885" s="21">
        <v>418222</v>
      </c>
    </row>
    <row r="1886" spans="1:2">
      <c r="A1886" s="70" t="s">
        <v>2287</v>
      </c>
      <c r="B1886" s="21">
        <v>416909</v>
      </c>
    </row>
    <row r="1887" spans="1:2">
      <c r="A1887" s="70" t="s">
        <v>2288</v>
      </c>
      <c r="B1887" s="21"/>
    </row>
    <row r="1888" spans="1:2">
      <c r="A1888" s="70" t="s">
        <v>2289</v>
      </c>
      <c r="B1888" s="21">
        <v>416544</v>
      </c>
    </row>
    <row r="1889" spans="1:2">
      <c r="A1889" s="70" t="s">
        <v>2290</v>
      </c>
      <c r="B1889" s="21">
        <v>416605</v>
      </c>
    </row>
    <row r="1890" spans="1:2">
      <c r="A1890" s="70" t="s">
        <v>2291</v>
      </c>
      <c r="B1890" s="21">
        <v>416478</v>
      </c>
    </row>
    <row r="1891" spans="1:2">
      <c r="A1891" s="70" t="s">
        <v>2292</v>
      </c>
      <c r="B1891" s="21">
        <v>417155</v>
      </c>
    </row>
    <row r="1892" spans="1:2">
      <c r="A1892" s="70" t="s">
        <v>2293</v>
      </c>
      <c r="B1892" s="21">
        <v>416069</v>
      </c>
    </row>
    <row r="1893" spans="1:2">
      <c r="A1893" s="70" t="s">
        <v>2294</v>
      </c>
      <c r="B1893" s="21">
        <v>415693</v>
      </c>
    </row>
    <row r="1894" spans="1:2">
      <c r="A1894" s="70" t="s">
        <v>2295</v>
      </c>
      <c r="B1894" s="21"/>
    </row>
    <row r="1895" spans="1:2">
      <c r="A1895" s="70" t="s">
        <v>2296</v>
      </c>
      <c r="B1895" s="21">
        <v>413981</v>
      </c>
    </row>
    <row r="1896" spans="1:2">
      <c r="A1896" s="70" t="s">
        <v>2297</v>
      </c>
      <c r="B1896" s="21">
        <v>414561</v>
      </c>
    </row>
    <row r="1897" spans="1:2">
      <c r="A1897" s="70" t="s">
        <v>2298</v>
      </c>
      <c r="B1897" s="21">
        <v>415390</v>
      </c>
    </row>
    <row r="1898" spans="1:2">
      <c r="A1898" s="70" t="s">
        <v>2299</v>
      </c>
      <c r="B1898" s="21">
        <v>410504</v>
      </c>
    </row>
    <row r="1899" spans="1:2">
      <c r="A1899" s="70" t="s">
        <v>2300</v>
      </c>
      <c r="B1899" s="21">
        <v>410791</v>
      </c>
    </row>
    <row r="1900" spans="1:2">
      <c r="A1900" s="70" t="s">
        <v>2301</v>
      </c>
      <c r="B1900" s="21">
        <v>408071</v>
      </c>
    </row>
    <row r="1901" spans="1:2">
      <c r="A1901" s="70" t="s">
        <v>2302</v>
      </c>
      <c r="B1901" s="21"/>
    </row>
    <row r="1902" spans="1:2">
      <c r="A1902" s="70" t="s">
        <v>2303</v>
      </c>
      <c r="B1902" s="21">
        <v>410741</v>
      </c>
    </row>
    <row r="1903" spans="1:2">
      <c r="A1903" s="70" t="s">
        <v>2304</v>
      </c>
      <c r="B1903" s="21"/>
    </row>
    <row r="1904" spans="1:2">
      <c r="A1904" s="70" t="s">
        <v>97</v>
      </c>
      <c r="B1904" s="21"/>
    </row>
    <row r="1905" spans="1:2">
      <c r="A1905" s="70" t="s">
        <v>2305</v>
      </c>
      <c r="B1905" s="21">
        <v>410588</v>
      </c>
    </row>
    <row r="1906" spans="1:2">
      <c r="A1906" s="70" t="s">
        <v>2306</v>
      </c>
      <c r="B1906" s="21">
        <v>409556</v>
      </c>
    </row>
    <row r="1907" spans="1:2">
      <c r="A1907" s="70" t="s">
        <v>2307</v>
      </c>
      <c r="B1907" s="21">
        <v>409380</v>
      </c>
    </row>
    <row r="1908" spans="1:2">
      <c r="A1908" s="70" t="s">
        <v>2308</v>
      </c>
      <c r="B1908" s="21"/>
    </row>
    <row r="1909" spans="1:2">
      <c r="A1909" s="70" t="s">
        <v>2309</v>
      </c>
      <c r="B1909" s="21">
        <v>411224</v>
      </c>
    </row>
    <row r="1910" spans="1:2">
      <c r="A1910" s="70" t="s">
        <v>2310</v>
      </c>
      <c r="B1910" s="21">
        <v>410537</v>
      </c>
    </row>
    <row r="1911" spans="1:2">
      <c r="A1911" s="70" t="s">
        <v>2311</v>
      </c>
      <c r="B1911" s="21">
        <v>405550</v>
      </c>
    </row>
    <row r="1912" spans="1:2">
      <c r="A1912" s="70" t="s">
        <v>2312</v>
      </c>
      <c r="B1912" s="21">
        <v>404655</v>
      </c>
    </row>
    <row r="1913" spans="1:2">
      <c r="A1913" s="70" t="s">
        <v>2313</v>
      </c>
      <c r="B1913" s="21">
        <v>406286</v>
      </c>
    </row>
    <row r="1914" spans="1:2">
      <c r="A1914" s="70" t="s">
        <v>2314</v>
      </c>
      <c r="B1914" s="21">
        <v>408183</v>
      </c>
    </row>
    <row r="1915" spans="1:2">
      <c r="A1915" s="70" t="s">
        <v>2315</v>
      </c>
      <c r="B1915" s="21"/>
    </row>
    <row r="1916" spans="1:2">
      <c r="A1916" s="70" t="s">
        <v>2316</v>
      </c>
      <c r="B1916" s="21">
        <v>410648</v>
      </c>
    </row>
    <row r="1917" spans="1:2">
      <c r="A1917" s="70" t="s">
        <v>2317</v>
      </c>
      <c r="B1917" s="21">
        <v>412025</v>
      </c>
    </row>
    <row r="1918" spans="1:2">
      <c r="A1918" s="70" t="s">
        <v>2318</v>
      </c>
      <c r="B1918" s="21">
        <v>411234</v>
      </c>
    </row>
    <row r="1919" spans="1:2">
      <c r="A1919" s="70" t="s">
        <v>2319</v>
      </c>
      <c r="B1919" s="21">
        <v>410126</v>
      </c>
    </row>
    <row r="1920" spans="1:2">
      <c r="A1920" s="70" t="s">
        <v>2320</v>
      </c>
      <c r="B1920" s="21">
        <v>409257</v>
      </c>
    </row>
    <row r="1921" spans="1:2">
      <c r="A1921" s="70" t="s">
        <v>2321</v>
      </c>
      <c r="B1921" s="21">
        <v>411089</v>
      </c>
    </row>
    <row r="1922" spans="1:2">
      <c r="A1922" s="70" t="s">
        <v>2322</v>
      </c>
      <c r="B1922" s="21"/>
    </row>
    <row r="1923" spans="1:2">
      <c r="A1923" s="70" t="s">
        <v>2323</v>
      </c>
      <c r="B1923" s="21">
        <v>408694</v>
      </c>
    </row>
    <row r="1924" spans="1:2">
      <c r="A1924" s="70" t="s">
        <v>2324</v>
      </c>
      <c r="B1924" s="21">
        <v>409804</v>
      </c>
    </row>
    <row r="1925" spans="1:2">
      <c r="A1925" s="70" t="s">
        <v>2325</v>
      </c>
      <c r="B1925" s="21">
        <v>408449</v>
      </c>
    </row>
    <row r="1926" spans="1:2">
      <c r="A1926" s="70" t="s">
        <v>2326</v>
      </c>
      <c r="B1926" s="21">
        <v>409327</v>
      </c>
    </row>
    <row r="1927" spans="1:2">
      <c r="A1927" s="70" t="s">
        <v>2327</v>
      </c>
      <c r="B1927" s="21">
        <v>411150</v>
      </c>
    </row>
    <row r="1928" spans="1:2">
      <c r="A1928" s="70" t="s">
        <v>2328</v>
      </c>
      <c r="B1928" s="21"/>
    </row>
    <row r="1929" spans="1:2">
      <c r="A1929" s="70" t="s">
        <v>2329</v>
      </c>
      <c r="B1929" s="21"/>
    </row>
    <row r="1930" spans="1:2">
      <c r="A1930" s="70" t="s">
        <v>2330</v>
      </c>
      <c r="B1930" s="21">
        <v>409538</v>
      </c>
    </row>
    <row r="1931" spans="1:2">
      <c r="A1931" s="70" t="s">
        <v>2331</v>
      </c>
      <c r="B1931" s="21">
        <v>409283</v>
      </c>
    </row>
    <row r="1932" spans="1:2">
      <c r="A1932" s="70" t="s">
        <v>2332</v>
      </c>
      <c r="B1932" s="21">
        <v>408998</v>
      </c>
    </row>
    <row r="1933" spans="1:2">
      <c r="A1933" s="70" t="s">
        <v>2333</v>
      </c>
      <c r="B1933" s="21">
        <v>409561</v>
      </c>
    </row>
    <row r="1934" spans="1:2">
      <c r="A1934" s="70" t="s">
        <v>2334</v>
      </c>
      <c r="B1934" s="21">
        <v>408875</v>
      </c>
    </row>
    <row r="1935" spans="1:2">
      <c r="A1935" s="70" t="s">
        <v>2335</v>
      </c>
      <c r="B1935" s="21">
        <v>407656</v>
      </c>
    </row>
    <row r="1936" spans="1:2">
      <c r="A1936" s="70" t="s">
        <v>2336</v>
      </c>
      <c r="B1936" s="21"/>
    </row>
    <row r="1937" spans="1:2">
      <c r="A1937" s="70" t="s">
        <v>2337</v>
      </c>
      <c r="B1937" s="21">
        <v>411163</v>
      </c>
    </row>
    <row r="1938" spans="1:2">
      <c r="A1938" s="70" t="s">
        <v>2338</v>
      </c>
      <c r="B1938" s="21">
        <v>411407</v>
      </c>
    </row>
    <row r="1939" spans="1:2">
      <c r="A1939" s="70" t="s">
        <v>2339</v>
      </c>
      <c r="B1939" s="21">
        <v>410762</v>
      </c>
    </row>
    <row r="1940" spans="1:2">
      <c r="A1940" s="70" t="s">
        <v>2340</v>
      </c>
      <c r="B1940" s="21">
        <v>412272</v>
      </c>
    </row>
    <row r="1941" spans="1:2">
      <c r="A1941" s="70" t="s">
        <v>2341</v>
      </c>
      <c r="B1941" s="21">
        <v>412266</v>
      </c>
    </row>
    <row r="1942" spans="1:2">
      <c r="A1942" s="70" t="s">
        <v>2342</v>
      </c>
      <c r="B1942" s="21">
        <v>417168</v>
      </c>
    </row>
    <row r="1943" spans="1:2">
      <c r="A1943" s="70" t="s">
        <v>2343</v>
      </c>
      <c r="B1943" s="21"/>
    </row>
    <row r="1944" spans="1:2">
      <c r="A1944" s="70" t="s">
        <v>2344</v>
      </c>
      <c r="B1944" s="21">
        <v>421437</v>
      </c>
    </row>
    <row r="1945" spans="1:2">
      <c r="A1945" s="70" t="s">
        <v>2345</v>
      </c>
      <c r="B1945" s="21">
        <v>421614</v>
      </c>
    </row>
    <row r="1946" spans="1:2">
      <c r="A1946" s="70" t="s">
        <v>2346</v>
      </c>
      <c r="B1946" s="21">
        <v>420861</v>
      </c>
    </row>
    <row r="1947" spans="1:2">
      <c r="A1947" s="70" t="s">
        <v>2347</v>
      </c>
      <c r="B1947" s="21">
        <v>421409</v>
      </c>
    </row>
    <row r="1948" spans="1:2">
      <c r="A1948" s="70" t="s">
        <v>2348</v>
      </c>
      <c r="B1948" s="21">
        <v>420941</v>
      </c>
    </row>
    <row r="1949" spans="1:2">
      <c r="A1949" s="70" t="s">
        <v>2349</v>
      </c>
      <c r="B1949" s="21">
        <v>419894</v>
      </c>
    </row>
    <row r="1950" spans="1:2">
      <c r="A1950" s="70" t="s">
        <v>2350</v>
      </c>
      <c r="B1950" s="21"/>
    </row>
    <row r="1951" spans="1:2">
      <c r="A1951" s="70" t="s">
        <v>2351</v>
      </c>
      <c r="B1951" s="21">
        <v>417029</v>
      </c>
    </row>
    <row r="1952" spans="1:2">
      <c r="A1952" s="70" t="s">
        <v>2352</v>
      </c>
      <c r="B1952" s="21">
        <v>417546</v>
      </c>
    </row>
    <row r="1953" spans="1:2">
      <c r="A1953" s="70" t="s">
        <v>2353</v>
      </c>
      <c r="B1953" s="21">
        <v>417323</v>
      </c>
    </row>
    <row r="1954" spans="1:2">
      <c r="A1954" s="70" t="s">
        <v>2354</v>
      </c>
      <c r="B1954" s="21">
        <v>415902</v>
      </c>
    </row>
    <row r="1955" spans="1:2">
      <c r="A1955" s="70" t="s">
        <v>2355</v>
      </c>
      <c r="B1955" s="21">
        <v>414616</v>
      </c>
    </row>
    <row r="1956" spans="1:2">
      <c r="A1956" s="70" t="s">
        <v>2356</v>
      </c>
      <c r="B1956" s="21"/>
    </row>
    <row r="1957" spans="1:2">
      <c r="A1957" s="70" t="s">
        <v>2357</v>
      </c>
      <c r="B1957" s="21"/>
    </row>
    <row r="1958" spans="1:2">
      <c r="A1958" s="70" t="s">
        <v>2358</v>
      </c>
      <c r="B1958" s="21">
        <v>414218</v>
      </c>
    </row>
    <row r="1959" spans="1:2">
      <c r="A1959" s="70" t="s">
        <v>2359</v>
      </c>
      <c r="B1959" s="21">
        <v>413481</v>
      </c>
    </row>
    <row r="1960" spans="1:2">
      <c r="A1960" s="70" t="s">
        <v>2360</v>
      </c>
      <c r="B1960" s="21">
        <v>413551</v>
      </c>
    </row>
    <row r="1961" spans="1:2">
      <c r="A1961" s="70" t="s">
        <v>2361</v>
      </c>
      <c r="B1961" s="21">
        <v>413734</v>
      </c>
    </row>
    <row r="1962" spans="1:2">
      <c r="A1962" s="70" t="s">
        <v>2362</v>
      </c>
      <c r="B1962" s="21"/>
    </row>
    <row r="1963" spans="1:2">
      <c r="A1963" s="70" t="s">
        <v>2363</v>
      </c>
      <c r="B1963" s="21"/>
    </row>
    <row r="1964" spans="1:2">
      <c r="A1964" s="70" t="s">
        <v>2364</v>
      </c>
      <c r="B1964" s="21"/>
    </row>
    <row r="1965" spans="1:2">
      <c r="A1965" s="70" t="s">
        <v>2365</v>
      </c>
      <c r="B1965" s="21">
        <v>414366</v>
      </c>
    </row>
    <row r="1966" spans="1:2">
      <c r="A1966" s="70" t="s">
        <v>2366</v>
      </c>
      <c r="B1966" s="21">
        <v>413657</v>
      </c>
    </row>
    <row r="1967" spans="1:2">
      <c r="A1967" s="70" t="s">
        <v>2367</v>
      </c>
      <c r="B1967" s="21">
        <v>412434</v>
      </c>
    </row>
    <row r="1968" spans="1:2">
      <c r="A1968" s="70" t="s">
        <v>2368</v>
      </c>
      <c r="B1968" s="21">
        <v>413440</v>
      </c>
    </row>
    <row r="1969" spans="1:2">
      <c r="A1969" s="70" t="s">
        <v>2369</v>
      </c>
      <c r="B1969" s="21">
        <v>411693</v>
      </c>
    </row>
    <row r="1970" spans="1:2">
      <c r="A1970" s="70" t="s">
        <v>2370</v>
      </c>
      <c r="B1970" s="21">
        <v>412612</v>
      </c>
    </row>
    <row r="1971" spans="1:2">
      <c r="A1971" s="70" t="s">
        <v>2371</v>
      </c>
      <c r="B1971" s="21"/>
    </row>
    <row r="1972" spans="1:2">
      <c r="A1972" s="70" t="s">
        <v>2372</v>
      </c>
      <c r="B1972" s="21">
        <v>411733</v>
      </c>
    </row>
    <row r="1973" spans="1:2">
      <c r="A1973" s="70" t="s">
        <v>2373</v>
      </c>
      <c r="B1973" s="21">
        <v>411566</v>
      </c>
    </row>
    <row r="1974" spans="1:2">
      <c r="A1974" s="70" t="s">
        <v>2374</v>
      </c>
      <c r="B1974" s="21">
        <v>412519</v>
      </c>
    </row>
    <row r="1975" spans="1:2">
      <c r="A1975" s="70" t="s">
        <v>2375</v>
      </c>
      <c r="B1975" s="21">
        <v>410315</v>
      </c>
    </row>
    <row r="1976" spans="1:2">
      <c r="A1976" s="70" t="s">
        <v>2376</v>
      </c>
      <c r="B1976" s="21">
        <v>410482</v>
      </c>
    </row>
    <row r="1977" spans="1:2">
      <c r="A1977" s="70" t="s">
        <v>2377</v>
      </c>
      <c r="B1977" s="21">
        <v>409501</v>
      </c>
    </row>
    <row r="1978" spans="1:2">
      <c r="A1978" s="70" t="s">
        <v>2378</v>
      </c>
      <c r="B1978" s="21"/>
    </row>
    <row r="1979" spans="1:2">
      <c r="A1979" s="70" t="s">
        <v>2379</v>
      </c>
      <c r="B1979" s="21">
        <v>408440</v>
      </c>
    </row>
    <row r="1980" spans="1:2">
      <c r="A1980" s="70" t="s">
        <v>2380</v>
      </c>
      <c r="B1980" s="21">
        <v>408681</v>
      </c>
    </row>
    <row r="1981" spans="1:2">
      <c r="A1981" s="70" t="s">
        <v>2381</v>
      </c>
      <c r="B1981" s="21">
        <v>407975</v>
      </c>
    </row>
    <row r="1982" spans="1:2">
      <c r="A1982" s="70" t="s">
        <v>2382</v>
      </c>
      <c r="B1982" s="21">
        <v>408792</v>
      </c>
    </row>
    <row r="1983" spans="1:2">
      <c r="A1983" s="70" t="s">
        <v>2383</v>
      </c>
      <c r="B1983" s="21">
        <v>407206</v>
      </c>
    </row>
    <row r="1984" spans="1:2">
      <c r="A1984" s="70" t="s">
        <v>2384</v>
      </c>
      <c r="B1984" s="21">
        <v>407792</v>
      </c>
    </row>
    <row r="1985" spans="1:2">
      <c r="A1985" s="70" t="s">
        <v>2385</v>
      </c>
      <c r="B1985" s="21">
        <v>407792</v>
      </c>
    </row>
    <row r="1986" spans="1:2">
      <c r="A1986" s="70" t="s">
        <v>2386</v>
      </c>
      <c r="B1986" s="21">
        <v>404971</v>
      </c>
    </row>
    <row r="1987" spans="1:2">
      <c r="A1987" s="70" t="s">
        <v>2387</v>
      </c>
      <c r="B1987" s="21">
        <v>405228</v>
      </c>
    </row>
    <row r="1988" spans="1:2">
      <c r="A1988" s="70" t="s">
        <v>2388</v>
      </c>
      <c r="B1988" s="21">
        <v>405329</v>
      </c>
    </row>
    <row r="1989" spans="1:2">
      <c r="A1989" s="70" t="s">
        <v>2389</v>
      </c>
      <c r="B1989" s="21">
        <v>405709</v>
      </c>
    </row>
    <row r="1990" spans="1:2">
      <c r="A1990" s="70" t="s">
        <v>2390</v>
      </c>
      <c r="B1990" s="21">
        <v>407269</v>
      </c>
    </row>
    <row r="1991" spans="1:2">
      <c r="A1991" s="70" t="s">
        <v>2391</v>
      </c>
      <c r="B1991" s="21">
        <v>410053</v>
      </c>
    </row>
    <row r="1992" spans="1:2">
      <c r="A1992" s="70" t="s">
        <v>2392</v>
      </c>
      <c r="B1992" s="21"/>
    </row>
    <row r="1993" spans="1:2">
      <c r="A1993" s="70" t="s">
        <v>2393</v>
      </c>
      <c r="B1993" s="21">
        <v>404918</v>
      </c>
    </row>
    <row r="1994" spans="1:2">
      <c r="A1994" s="70" t="s">
        <v>2394</v>
      </c>
      <c r="B1994" s="21">
        <v>404450</v>
      </c>
    </row>
    <row r="1995" spans="1:2">
      <c r="A1995" s="70" t="s">
        <v>2395</v>
      </c>
      <c r="B1995" s="21">
        <v>404437</v>
      </c>
    </row>
    <row r="1996" spans="1:2">
      <c r="A1996" s="70" t="s">
        <v>2396</v>
      </c>
      <c r="B1996" s="21">
        <v>405295</v>
      </c>
    </row>
    <row r="1997" spans="1:2">
      <c r="A1997" s="70" t="s">
        <v>2397</v>
      </c>
      <c r="B1997" s="21"/>
    </row>
    <row r="1998" spans="1:2">
      <c r="A1998" s="70" t="s">
        <v>2398</v>
      </c>
      <c r="B1998" s="21">
        <v>402108</v>
      </c>
    </row>
    <row r="1999" spans="1:2">
      <c r="A1999" s="70" t="s">
        <v>2399</v>
      </c>
      <c r="B1999" s="21"/>
    </row>
    <row r="2000" spans="1:2">
      <c r="A2000" s="70" t="s">
        <v>2400</v>
      </c>
      <c r="B2000" s="21">
        <v>401904</v>
      </c>
    </row>
    <row r="2001" spans="1:2">
      <c r="A2001" s="70" t="s">
        <v>2401</v>
      </c>
      <c r="B2001" s="21">
        <v>401865</v>
      </c>
    </row>
    <row r="2002" spans="1:2">
      <c r="A2002" s="70" t="s">
        <v>2402</v>
      </c>
      <c r="B2002" s="21">
        <v>401515</v>
      </c>
    </row>
    <row r="2003" spans="1:2">
      <c r="A2003" s="70" t="s">
        <v>2403</v>
      </c>
      <c r="B2003" s="21">
        <v>403161</v>
      </c>
    </row>
    <row r="2004" spans="1:2">
      <c r="A2004" s="70" t="s">
        <v>2404</v>
      </c>
      <c r="B2004" s="21">
        <v>402572</v>
      </c>
    </row>
    <row r="2005" spans="1:2">
      <c r="A2005" s="70" t="s">
        <v>2405</v>
      </c>
      <c r="B2005" s="21"/>
    </row>
    <row r="2006" spans="1:2">
      <c r="A2006" s="70" t="s">
        <v>2406</v>
      </c>
      <c r="B2006" s="21"/>
    </row>
    <row r="2007" spans="1:2">
      <c r="A2007" s="70" t="s">
        <v>2407</v>
      </c>
      <c r="B2007" s="21"/>
    </row>
    <row r="2008" spans="1:2">
      <c r="A2008" s="70" t="s">
        <v>2408</v>
      </c>
      <c r="B2008" s="21">
        <v>400164</v>
      </c>
    </row>
    <row r="2009" spans="1:2">
      <c r="A2009" s="70" t="s">
        <v>2409</v>
      </c>
      <c r="B2009" s="21">
        <v>399355</v>
      </c>
    </row>
    <row r="2010" spans="1:2">
      <c r="A2010" s="70" t="s">
        <v>2410</v>
      </c>
      <c r="B2010" s="21">
        <v>400720</v>
      </c>
    </row>
    <row r="2011" spans="1:2">
      <c r="A2011" s="70" t="s">
        <v>2411</v>
      </c>
      <c r="B2011" s="21">
        <v>400155</v>
      </c>
    </row>
    <row r="2012" spans="1:2">
      <c r="A2012" s="70" t="s">
        <v>27</v>
      </c>
      <c r="B2012" s="21">
        <v>401204</v>
      </c>
    </row>
    <row r="2013" spans="1:2">
      <c r="A2013" s="70" t="s">
        <v>2412</v>
      </c>
      <c r="B2013" s="21"/>
    </row>
    <row r="2014" spans="1:2">
      <c r="A2014" s="70" t="s">
        <v>2413</v>
      </c>
      <c r="B2014" s="21">
        <v>399099</v>
      </c>
    </row>
    <row r="2015" spans="1:2">
      <c r="A2015" s="70" t="s">
        <v>2414</v>
      </c>
      <c r="B2015" s="21"/>
    </row>
    <row r="2016" spans="1:2">
      <c r="A2016" s="70" t="s">
        <v>2415</v>
      </c>
      <c r="B2016" s="21">
        <v>398685</v>
      </c>
    </row>
    <row r="2017" spans="1:2">
      <c r="A2017" s="70" t="s">
        <v>2416</v>
      </c>
      <c r="B2017" s="21">
        <v>396524</v>
      </c>
    </row>
    <row r="2018" spans="1:2">
      <c r="A2018" s="70" t="s">
        <v>2417</v>
      </c>
      <c r="B2018" s="21">
        <v>395884</v>
      </c>
    </row>
    <row r="2019" spans="1:2">
      <c r="A2019" s="70" t="s">
        <v>2418</v>
      </c>
      <c r="B2019" s="21">
        <v>393602</v>
      </c>
    </row>
    <row r="2020" spans="1:2">
      <c r="A2020" s="70" t="s">
        <v>2419</v>
      </c>
      <c r="B2020" s="21"/>
    </row>
    <row r="2021" spans="1:2">
      <c r="A2021" s="70" t="s">
        <v>2420</v>
      </c>
      <c r="B2021" s="21">
        <v>396421</v>
      </c>
    </row>
    <row r="2022" spans="1:2">
      <c r="A2022" s="70" t="s">
        <v>2421</v>
      </c>
      <c r="B2022" s="21">
        <v>396483</v>
      </c>
    </row>
    <row r="2023" spans="1:2">
      <c r="A2023" s="70" t="s">
        <v>2422</v>
      </c>
      <c r="B2023" s="21">
        <v>396362</v>
      </c>
    </row>
    <row r="2024" spans="1:2">
      <c r="A2024" s="70" t="s">
        <v>2423</v>
      </c>
      <c r="B2024" s="21"/>
    </row>
    <row r="2025" spans="1:2">
      <c r="A2025" s="70" t="s">
        <v>2424</v>
      </c>
      <c r="B2025" s="21">
        <v>391657</v>
      </c>
    </row>
    <row r="2026" spans="1:2">
      <c r="A2026" s="70" t="s">
        <v>2425</v>
      </c>
      <c r="B2026" s="21">
        <v>394046</v>
      </c>
    </row>
    <row r="2027" spans="1:2">
      <c r="A2027" s="70" t="s">
        <v>2426</v>
      </c>
      <c r="B2027" s="21"/>
    </row>
    <row r="2028" spans="1:2">
      <c r="A2028" s="70" t="s">
        <v>2427</v>
      </c>
      <c r="B2028" s="21">
        <v>396933</v>
      </c>
    </row>
    <row r="2029" spans="1:2">
      <c r="A2029" s="70" t="s">
        <v>2428</v>
      </c>
      <c r="B2029" s="21">
        <v>396903</v>
      </c>
    </row>
    <row r="2030" spans="1:2">
      <c r="A2030" s="70" t="s">
        <v>2429</v>
      </c>
      <c r="B2030" s="21">
        <v>395978</v>
      </c>
    </row>
    <row r="2031" spans="1:2">
      <c r="A2031" s="70" t="s">
        <v>2430</v>
      </c>
      <c r="B2031" s="21">
        <v>394864</v>
      </c>
    </row>
    <row r="2032" spans="1:2">
      <c r="A2032" s="70" t="s">
        <v>2431</v>
      </c>
      <c r="B2032" s="21">
        <v>397758</v>
      </c>
    </row>
    <row r="2033" spans="1:2">
      <c r="A2033" s="70" t="s">
        <v>2432</v>
      </c>
      <c r="B2033" s="21">
        <v>397604</v>
      </c>
    </row>
    <row r="2034" spans="1:2">
      <c r="A2034" s="70" t="s">
        <v>2433</v>
      </c>
      <c r="B2034" s="21"/>
    </row>
    <row r="2035" spans="1:2">
      <c r="A2035" s="70" t="s">
        <v>2434</v>
      </c>
      <c r="B2035" s="21">
        <v>393363</v>
      </c>
    </row>
    <row r="2036" spans="1:2">
      <c r="A2036" s="70" t="s">
        <v>2435</v>
      </c>
      <c r="B2036" s="21">
        <v>393942</v>
      </c>
    </row>
    <row r="2037" spans="1:2">
      <c r="A2037" s="70" t="s">
        <v>2436</v>
      </c>
      <c r="B2037" s="21">
        <v>393943</v>
      </c>
    </row>
    <row r="2038" spans="1:2">
      <c r="A2038" s="70" t="s">
        <v>2437</v>
      </c>
      <c r="B2038" s="21">
        <v>395160</v>
      </c>
    </row>
    <row r="2039" spans="1:2">
      <c r="A2039" s="70" t="s">
        <v>2438</v>
      </c>
      <c r="B2039" s="21">
        <v>396903</v>
      </c>
    </row>
    <row r="2040" spans="1:2">
      <c r="A2040" s="70" t="s">
        <v>2439</v>
      </c>
      <c r="B2040" s="21">
        <v>394670</v>
      </c>
    </row>
    <row r="2041" spans="1:2">
      <c r="A2041" s="70" t="s">
        <v>2440</v>
      </c>
      <c r="B2041" s="21"/>
    </row>
    <row r="2042" spans="1:2">
      <c r="A2042" s="70" t="s">
        <v>2441</v>
      </c>
      <c r="B2042" s="21">
        <v>396877</v>
      </c>
    </row>
    <row r="2043" spans="1:2">
      <c r="A2043" s="70" t="s">
        <v>2442</v>
      </c>
      <c r="B2043" s="21">
        <v>397283</v>
      </c>
    </row>
    <row r="2044" spans="1:2">
      <c r="A2044" s="70" t="s">
        <v>2443</v>
      </c>
      <c r="B2044" s="21">
        <v>396967</v>
      </c>
    </row>
    <row r="2045" spans="1:2">
      <c r="A2045" s="70" t="s">
        <v>2444</v>
      </c>
      <c r="B2045" s="21">
        <v>399156</v>
      </c>
    </row>
    <row r="2046" spans="1:2">
      <c r="A2046" s="70" t="s">
        <v>2445</v>
      </c>
      <c r="B2046" s="21">
        <v>397290</v>
      </c>
    </row>
    <row r="2047" spans="1:2">
      <c r="A2047" s="70" t="s">
        <v>2446</v>
      </c>
      <c r="B2047" s="21">
        <v>396940</v>
      </c>
    </row>
    <row r="2048" spans="1:2">
      <c r="A2048" s="70" t="s">
        <v>2447</v>
      </c>
      <c r="B2048" s="21"/>
    </row>
    <row r="2049" spans="1:2">
      <c r="A2049" s="70" t="s">
        <v>2448</v>
      </c>
      <c r="B2049" s="21">
        <v>397194</v>
      </c>
    </row>
    <row r="2050" spans="1:2">
      <c r="A2050" s="70" t="s">
        <v>2449</v>
      </c>
      <c r="B2050" s="21">
        <v>396405</v>
      </c>
    </row>
    <row r="2051" spans="1:2">
      <c r="A2051" s="70" t="s">
        <v>2450</v>
      </c>
      <c r="B2051" s="21">
        <v>395789</v>
      </c>
    </row>
    <row r="2052" spans="1:2">
      <c r="A2052" s="70" t="s">
        <v>2451</v>
      </c>
      <c r="B2052" s="21">
        <v>398467</v>
      </c>
    </row>
    <row r="2053" spans="1:2">
      <c r="A2053" s="70" t="s">
        <v>2452</v>
      </c>
      <c r="B2053" s="21">
        <v>396797</v>
      </c>
    </row>
    <row r="2054" spans="1:2">
      <c r="A2054" s="70" t="s">
        <v>2453</v>
      </c>
      <c r="B2054" s="21">
        <v>395620</v>
      </c>
    </row>
    <row r="2055" spans="1:2">
      <c r="A2055" s="70" t="s">
        <v>2454</v>
      </c>
      <c r="B2055" s="21"/>
    </row>
    <row r="2056" spans="1:2">
      <c r="A2056" s="70" t="s">
        <v>2455</v>
      </c>
      <c r="B2056" s="21">
        <v>403047</v>
      </c>
    </row>
    <row r="2057" spans="1:2">
      <c r="A2057" s="70" t="s">
        <v>2456</v>
      </c>
      <c r="B2057" s="21">
        <v>403266</v>
      </c>
    </row>
    <row r="2058" spans="1:2">
      <c r="A2058" s="70" t="s">
        <v>2457</v>
      </c>
      <c r="B2058" s="21">
        <v>403066</v>
      </c>
    </row>
    <row r="2059" spans="1:2">
      <c r="A2059" s="70" t="s">
        <v>2458</v>
      </c>
      <c r="B2059" s="21">
        <v>404009</v>
      </c>
    </row>
    <row r="2060" spans="1:2">
      <c r="A2060" s="70" t="s">
        <v>2459</v>
      </c>
      <c r="B2060" s="21">
        <v>402086</v>
      </c>
    </row>
    <row r="2061" spans="1:2">
      <c r="A2061" s="70" t="s">
        <v>2460</v>
      </c>
      <c r="B2061" s="21">
        <v>403220</v>
      </c>
    </row>
    <row r="2062" spans="1:2">
      <c r="A2062" s="70" t="s">
        <v>2461</v>
      </c>
      <c r="B2062" s="21"/>
    </row>
    <row r="2063" spans="1:2">
      <c r="A2063" s="70" t="s">
        <v>31</v>
      </c>
      <c r="B2063" s="21">
        <v>401459</v>
      </c>
    </row>
    <row r="2064" spans="1:2">
      <c r="A2064" s="70" t="s">
        <v>2462</v>
      </c>
      <c r="B2064" s="21">
        <v>403106</v>
      </c>
    </row>
    <row r="2065" spans="1:2">
      <c r="A2065" s="70" t="s">
        <v>2463</v>
      </c>
      <c r="B2065" s="21">
        <v>402615</v>
      </c>
    </row>
    <row r="2066" spans="1:2">
      <c r="A2066" s="70" t="s">
        <v>2464</v>
      </c>
      <c r="B2066" s="21">
        <v>403370</v>
      </c>
    </row>
    <row r="2067" spans="1:2">
      <c r="A2067" s="70" t="s">
        <v>2465</v>
      </c>
      <c r="B2067" s="21">
        <v>409761</v>
      </c>
    </row>
    <row r="2068" spans="1:2">
      <c r="A2068" s="70" t="s">
        <v>2466</v>
      </c>
      <c r="B2068" s="21">
        <v>409556</v>
      </c>
    </row>
    <row r="2069" spans="1:2">
      <c r="A2069" s="70" t="s">
        <v>2467</v>
      </c>
      <c r="B2069" s="21"/>
    </row>
    <row r="2070" spans="1:2">
      <c r="A2070" s="70" t="s">
        <v>2468</v>
      </c>
      <c r="B2070" s="21">
        <v>410977</v>
      </c>
    </row>
    <row r="2071" spans="1:2">
      <c r="A2071" s="70" t="s">
        <v>2469</v>
      </c>
      <c r="B2071" s="21">
        <v>412765</v>
      </c>
    </row>
    <row r="2072" spans="1:2">
      <c r="A2072" s="70" t="s">
        <v>2470</v>
      </c>
      <c r="B2072" s="21">
        <v>411905</v>
      </c>
    </row>
    <row r="2073" spans="1:2">
      <c r="A2073" s="70" t="s">
        <v>2471</v>
      </c>
      <c r="B2073" s="21">
        <v>414660</v>
      </c>
    </row>
    <row r="2074" spans="1:2">
      <c r="A2074" s="70" t="s">
        <v>2472</v>
      </c>
      <c r="B2074" s="21">
        <v>414448</v>
      </c>
    </row>
    <row r="2075" spans="1:2">
      <c r="A2075" s="70" t="s">
        <v>2473</v>
      </c>
      <c r="B2075" s="21">
        <v>412286</v>
      </c>
    </row>
    <row r="2076" spans="1:2">
      <c r="A2076" s="70" t="s">
        <v>2474</v>
      </c>
      <c r="B2076" s="21"/>
    </row>
    <row r="2077" spans="1:2">
      <c r="A2077" s="70" t="s">
        <v>2475</v>
      </c>
      <c r="B2077" s="21">
        <v>415230</v>
      </c>
    </row>
    <row r="2078" spans="1:2">
      <c r="A2078" s="70" t="s">
        <v>2476</v>
      </c>
      <c r="B2078" s="21">
        <v>416156</v>
      </c>
    </row>
    <row r="2079" spans="1:2">
      <c r="A2079" s="70" t="s">
        <v>2477</v>
      </c>
      <c r="B2079" s="21">
        <v>415510</v>
      </c>
    </row>
    <row r="2080" spans="1:2">
      <c r="A2080" s="70" t="s">
        <v>2478</v>
      </c>
      <c r="B2080" s="21">
        <v>416377</v>
      </c>
    </row>
    <row r="2081" spans="1:2">
      <c r="A2081" s="70" t="s">
        <v>2479</v>
      </c>
      <c r="B2081" s="21">
        <v>419777</v>
      </c>
    </row>
    <row r="2082" spans="1:2">
      <c r="A2082" s="70" t="s">
        <v>2480</v>
      </c>
      <c r="B2082" s="21">
        <v>418694</v>
      </c>
    </row>
    <row r="2083" spans="1:2">
      <c r="A2083" s="70" t="s">
        <v>2481</v>
      </c>
      <c r="B2083" s="21"/>
    </row>
    <row r="2084" spans="1:2">
      <c r="A2084" s="70" t="s">
        <v>2482</v>
      </c>
      <c r="B2084" s="21">
        <v>415243</v>
      </c>
    </row>
    <row r="2085" spans="1:2">
      <c r="A2085" s="70" t="s">
        <v>2483</v>
      </c>
      <c r="B2085" s="21">
        <v>416255</v>
      </c>
    </row>
    <row r="2086" spans="1:2">
      <c r="A2086" s="70" t="s">
        <v>2484</v>
      </c>
      <c r="B2086" s="21">
        <v>417006</v>
      </c>
    </row>
    <row r="2087" spans="1:2">
      <c r="A2087" s="70" t="s">
        <v>2485</v>
      </c>
      <c r="B2087" s="21">
        <v>415759</v>
      </c>
    </row>
    <row r="2088" spans="1:2">
      <c r="A2088" s="70" t="s">
        <v>2486</v>
      </c>
      <c r="B2088" s="21">
        <v>414191</v>
      </c>
    </row>
    <row r="2089" spans="1:2">
      <c r="A2089" s="70" t="s">
        <v>2487</v>
      </c>
      <c r="B2089" s="21">
        <v>415379</v>
      </c>
    </row>
    <row r="2090" spans="1:2">
      <c r="A2090" s="70" t="s">
        <v>2488</v>
      </c>
      <c r="B2090" s="21"/>
    </row>
    <row r="2091" spans="1:2">
      <c r="A2091" s="70" t="s">
        <v>2489</v>
      </c>
      <c r="B2091" s="21">
        <v>414454</v>
      </c>
    </row>
    <row r="2092" spans="1:2">
      <c r="A2092" s="70" t="s">
        <v>2490</v>
      </c>
      <c r="B2092" s="21">
        <v>416118</v>
      </c>
    </row>
    <row r="2093" spans="1:2">
      <c r="A2093" s="70" t="s">
        <v>2491</v>
      </c>
      <c r="B2093" s="21">
        <v>417143</v>
      </c>
    </row>
    <row r="2094" spans="1:2">
      <c r="A2094" s="70" t="s">
        <v>2492</v>
      </c>
      <c r="B2094" s="21">
        <v>417239</v>
      </c>
    </row>
    <row r="2095" spans="1:2">
      <c r="A2095" s="70" t="s">
        <v>2493</v>
      </c>
      <c r="B2095" s="21">
        <v>418304</v>
      </c>
    </row>
    <row r="2096" spans="1:2">
      <c r="A2096" s="70" t="s">
        <v>2494</v>
      </c>
      <c r="B2096" s="21">
        <v>419210</v>
      </c>
    </row>
    <row r="2097" spans="1:2">
      <c r="A2097" s="70" t="s">
        <v>2495</v>
      </c>
      <c r="B2097" s="21"/>
    </row>
    <row r="2098" spans="1:2">
      <c r="A2098" s="70" t="s">
        <v>2496</v>
      </c>
      <c r="B2098" s="21">
        <v>424978</v>
      </c>
    </row>
    <row r="2099" spans="1:2">
      <c r="A2099" s="70" t="s">
        <v>2497</v>
      </c>
      <c r="B2099" s="21"/>
    </row>
    <row r="2100" spans="1:2">
      <c r="A2100" s="70" t="s">
        <v>2498</v>
      </c>
      <c r="B2100" s="21">
        <v>425113</v>
      </c>
    </row>
    <row r="2101" spans="1:2">
      <c r="A2101" s="70" t="s">
        <v>2499</v>
      </c>
      <c r="B2101" s="21">
        <v>426455</v>
      </c>
    </row>
    <row r="2102" spans="1:2">
      <c r="A2102" s="70" t="s">
        <v>2500</v>
      </c>
      <c r="B2102" s="21">
        <v>428583</v>
      </c>
    </row>
    <row r="2103" spans="1:2">
      <c r="A2103" s="70" t="s">
        <v>2501</v>
      </c>
      <c r="B2103" s="21">
        <v>427813</v>
      </c>
    </row>
    <row r="2104" spans="1:2">
      <c r="A2104" s="70" t="s">
        <v>2502</v>
      </c>
      <c r="B2104" s="21"/>
    </row>
    <row r="2105" spans="1:2">
      <c r="A2105" s="70" t="s">
        <v>2503</v>
      </c>
      <c r="B2105" s="21">
        <v>429922</v>
      </c>
    </row>
    <row r="2106" spans="1:2">
      <c r="A2106" s="70" t="s">
        <v>2504</v>
      </c>
      <c r="B2106" s="21">
        <v>430251</v>
      </c>
    </row>
    <row r="2107" spans="1:2">
      <c r="A2107" s="70" t="s">
        <v>2505</v>
      </c>
      <c r="B2107" s="21">
        <v>429506</v>
      </c>
    </row>
    <row r="2108" spans="1:2">
      <c r="A2108" s="70" t="s">
        <v>2506</v>
      </c>
      <c r="B2108" s="21">
        <v>430732</v>
      </c>
    </row>
    <row r="2109" spans="1:2">
      <c r="A2109" s="70" t="s">
        <v>2507</v>
      </c>
      <c r="B2109" s="21">
        <v>430761</v>
      </c>
    </row>
    <row r="2110" spans="1:2">
      <c r="A2110" s="70" t="s">
        <v>2508</v>
      </c>
      <c r="B2110" s="21">
        <v>433710</v>
      </c>
    </row>
    <row r="2111" spans="1:2">
      <c r="A2111" s="70" t="s">
        <v>2509</v>
      </c>
      <c r="B2111" s="21"/>
    </row>
    <row r="2112" spans="1:2">
      <c r="A2112" s="70" t="s">
        <v>2510</v>
      </c>
      <c r="B2112" s="21">
        <v>431652</v>
      </c>
    </row>
    <row r="2113" spans="1:2">
      <c r="A2113" s="70" t="s">
        <v>2511</v>
      </c>
      <c r="B2113" s="21">
        <v>431203</v>
      </c>
    </row>
    <row r="2114" spans="1:2">
      <c r="A2114" s="70" t="s">
        <v>2512</v>
      </c>
      <c r="B2114" s="21">
        <v>431355</v>
      </c>
    </row>
    <row r="2115" spans="1:2">
      <c r="A2115" s="70" t="s">
        <v>2513</v>
      </c>
      <c r="B2115" s="21">
        <v>432708</v>
      </c>
    </row>
    <row r="2116" spans="1:2">
      <c r="A2116" s="70" t="s">
        <v>2514</v>
      </c>
      <c r="B2116" s="21">
        <v>430289</v>
      </c>
    </row>
    <row r="2117" spans="1:2">
      <c r="A2117" s="70" t="s">
        <v>2515</v>
      </c>
      <c r="B2117" s="21">
        <v>428360</v>
      </c>
    </row>
    <row r="2118" spans="1:2">
      <c r="A2118" s="70" t="s">
        <v>2516</v>
      </c>
      <c r="B2118" s="21"/>
    </row>
    <row r="2119" spans="1:2">
      <c r="A2119" s="70" t="s">
        <v>2517</v>
      </c>
      <c r="B2119" s="21">
        <v>431170</v>
      </c>
    </row>
    <row r="2120" spans="1:2">
      <c r="A2120" s="70" t="s">
        <v>2518</v>
      </c>
      <c r="B2120" s="21">
        <v>431888</v>
      </c>
    </row>
    <row r="2121" spans="1:2">
      <c r="A2121" s="70" t="s">
        <v>2519</v>
      </c>
      <c r="B2121" s="21">
        <v>432385</v>
      </c>
    </row>
    <row r="2122" spans="1:2">
      <c r="A2122" s="70" t="s">
        <v>2520</v>
      </c>
      <c r="B2122" s="21">
        <v>433832</v>
      </c>
    </row>
    <row r="2123" spans="1:2">
      <c r="A2123" s="70" t="s">
        <v>2521</v>
      </c>
      <c r="B2123" s="21">
        <v>432213</v>
      </c>
    </row>
    <row r="2124" spans="1:2">
      <c r="A2124" s="70" t="s">
        <v>2522</v>
      </c>
      <c r="B2124" s="21">
        <v>433180</v>
      </c>
    </row>
    <row r="2125" spans="1:2">
      <c r="A2125" s="70" t="s">
        <v>2523</v>
      </c>
      <c r="B2125" s="21"/>
    </row>
    <row r="2126" spans="1:2">
      <c r="A2126" s="70" t="s">
        <v>2524</v>
      </c>
      <c r="B2126" s="21">
        <v>433217</v>
      </c>
    </row>
    <row r="2127" spans="1:2">
      <c r="A2127" s="70" t="s">
        <v>2525</v>
      </c>
      <c r="B2127" s="21">
        <v>433067</v>
      </c>
    </row>
    <row r="2128" spans="1:2">
      <c r="A2128" s="70" t="s">
        <v>2526</v>
      </c>
      <c r="B2128" s="21">
        <v>432506</v>
      </c>
    </row>
    <row r="2129" spans="1:2">
      <c r="A2129" s="70" t="s">
        <v>2527</v>
      </c>
      <c r="B2129" s="21">
        <v>432707</v>
      </c>
    </row>
    <row r="2130" spans="1:2">
      <c r="A2130" s="70" t="s">
        <v>2528</v>
      </c>
      <c r="B2130" s="21">
        <v>429997</v>
      </c>
    </row>
    <row r="2131" spans="1:2">
      <c r="A2131" s="70" t="s">
        <v>2529</v>
      </c>
      <c r="B2131" s="21">
        <v>429157</v>
      </c>
    </row>
    <row r="2132" spans="1:2">
      <c r="A2132" s="70" t="s">
        <v>2530</v>
      </c>
      <c r="B2132" s="21"/>
    </row>
    <row r="2133" spans="1:2">
      <c r="A2133" s="70" t="s">
        <v>37</v>
      </c>
      <c r="B2133" s="21">
        <v>430284</v>
      </c>
    </row>
    <row r="2134" spans="1:2">
      <c r="A2134" s="70" t="s">
        <v>2531</v>
      </c>
      <c r="B2134" s="21">
        <v>431161</v>
      </c>
    </row>
    <row r="2135" spans="1:2">
      <c r="A2135" s="70" t="s">
        <v>34</v>
      </c>
      <c r="B2135" s="21">
        <v>430169</v>
      </c>
    </row>
    <row r="2136" spans="1:2">
      <c r="A2136" s="70" t="s">
        <v>2532</v>
      </c>
      <c r="B2136" s="21">
        <v>430562</v>
      </c>
    </row>
    <row r="2137" spans="1:2">
      <c r="A2137" s="70" t="s">
        <v>2533</v>
      </c>
      <c r="B2137" s="21">
        <v>427984</v>
      </c>
    </row>
    <row r="2138" spans="1:2">
      <c r="A2138" s="70" t="s">
        <v>2534</v>
      </c>
      <c r="B2138" s="21"/>
    </row>
    <row r="2139" spans="1:2">
      <c r="A2139" s="70" t="s">
        <v>2535</v>
      </c>
      <c r="B2139" s="21"/>
    </row>
    <row r="2140" spans="1:2">
      <c r="A2140" s="70" t="s">
        <v>2536</v>
      </c>
      <c r="B2140" s="21">
        <v>429450</v>
      </c>
    </row>
    <row r="2141" spans="1:2">
      <c r="A2141" s="70" t="s">
        <v>2537</v>
      </c>
      <c r="B2141" s="21">
        <v>429123</v>
      </c>
    </row>
    <row r="2142" spans="1:2">
      <c r="A2142" s="70" t="s">
        <v>2538</v>
      </c>
      <c r="B2142" s="21">
        <v>429041</v>
      </c>
    </row>
    <row r="2143" spans="1:2">
      <c r="A2143" s="70" t="s">
        <v>2539</v>
      </c>
      <c r="B2143" s="21">
        <v>427090</v>
      </c>
    </row>
    <row r="2144" spans="1:2">
      <c r="A2144" s="70" t="s">
        <v>2540</v>
      </c>
      <c r="B2144" s="21">
        <v>428553</v>
      </c>
    </row>
    <row r="2145" spans="1:2">
      <c r="A2145" s="70" t="s">
        <v>2541</v>
      </c>
      <c r="B2145" s="21">
        <v>429024</v>
      </c>
    </row>
    <row r="2146" spans="1:2">
      <c r="A2146" s="70" t="s">
        <v>2542</v>
      </c>
      <c r="B2146" s="21"/>
    </row>
    <row r="2147" spans="1:2">
      <c r="A2147" s="70" t="s">
        <v>2543</v>
      </c>
      <c r="B2147" s="21">
        <v>426259</v>
      </c>
    </row>
    <row r="2148" spans="1:2">
      <c r="A2148" s="70" t="s">
        <v>2544</v>
      </c>
      <c r="B2148" s="21">
        <v>426713</v>
      </c>
    </row>
    <row r="2149" spans="1:2">
      <c r="A2149" s="70" t="s">
        <v>2545</v>
      </c>
      <c r="B2149" s="21">
        <v>428158</v>
      </c>
    </row>
    <row r="2150" spans="1:2">
      <c r="A2150" s="70" t="s">
        <v>2546</v>
      </c>
      <c r="B2150" s="21">
        <v>424279</v>
      </c>
    </row>
    <row r="2151" spans="1:2">
      <c r="A2151" s="70" t="s">
        <v>2547</v>
      </c>
      <c r="B2151" s="21">
        <v>424932</v>
      </c>
    </row>
    <row r="2152" spans="1:2">
      <c r="A2152" s="70" t="s">
        <v>2548</v>
      </c>
      <c r="B2152" s="21"/>
    </row>
    <row r="2153" spans="1:2">
      <c r="A2153" s="70" t="s">
        <v>2549</v>
      </c>
      <c r="B2153" s="21"/>
    </row>
    <row r="2154" spans="1:2">
      <c r="A2154" s="70" t="s">
        <v>2550</v>
      </c>
      <c r="B2154" s="21">
        <v>426100</v>
      </c>
    </row>
    <row r="2155" spans="1:2">
      <c r="A2155" s="70" t="s">
        <v>2551</v>
      </c>
      <c r="B2155" s="21"/>
    </row>
    <row r="2156" spans="1:2">
      <c r="A2156" s="70" t="s">
        <v>2552</v>
      </c>
      <c r="B2156" s="21">
        <v>425976</v>
      </c>
    </row>
    <row r="2157" spans="1:2">
      <c r="A2157" s="70" t="s">
        <v>2553</v>
      </c>
      <c r="B2157" s="21">
        <v>427794</v>
      </c>
    </row>
    <row r="2158" spans="1:2">
      <c r="A2158" s="70" t="s">
        <v>2554</v>
      </c>
      <c r="B2158" s="21">
        <v>425645</v>
      </c>
    </row>
    <row r="2159" spans="1:2">
      <c r="A2159" s="70" t="s">
        <v>2555</v>
      </c>
      <c r="B2159" s="21">
        <v>426244</v>
      </c>
    </row>
    <row r="2160" spans="1:2">
      <c r="A2160" s="70" t="s">
        <v>2556</v>
      </c>
      <c r="B2160" s="21"/>
    </row>
    <row r="2161" spans="1:2">
      <c r="A2161" s="70" t="s">
        <v>2557</v>
      </c>
      <c r="B2161" s="21">
        <v>427602</v>
      </c>
    </row>
    <row r="2162" spans="1:2">
      <c r="A2162" s="70" t="s">
        <v>2558</v>
      </c>
      <c r="B2162" s="21">
        <v>427929</v>
      </c>
    </row>
    <row r="2163" spans="1:2">
      <c r="A2163" s="70" t="s">
        <v>2559</v>
      </c>
      <c r="B2163" s="21">
        <v>427888</v>
      </c>
    </row>
    <row r="2164" spans="1:2">
      <c r="A2164" s="70" t="s">
        <v>2560</v>
      </c>
      <c r="B2164" s="21">
        <v>427666</v>
      </c>
    </row>
    <row r="2165" spans="1:2">
      <c r="A2165" s="70" t="s">
        <v>2561</v>
      </c>
      <c r="B2165" s="21">
        <v>431064</v>
      </c>
    </row>
    <row r="2166" spans="1:2">
      <c r="A2166" s="70" t="s">
        <v>2562</v>
      </c>
      <c r="B2166" s="21">
        <v>431198</v>
      </c>
    </row>
    <row r="2167" spans="1:2">
      <c r="A2167" s="70" t="s">
        <v>2563</v>
      </c>
      <c r="B2167" s="21"/>
    </row>
    <row r="2168" spans="1:2">
      <c r="A2168" s="70" t="s">
        <v>2564</v>
      </c>
      <c r="B2168" s="21">
        <v>431640</v>
      </c>
    </row>
    <row r="2169" spans="1:2">
      <c r="A2169" s="70" t="s">
        <v>2565</v>
      </c>
      <c r="B2169" s="21"/>
    </row>
    <row r="2170" spans="1:2">
      <c r="A2170" s="70" t="s">
        <v>2566</v>
      </c>
      <c r="B2170" s="21">
        <v>432024</v>
      </c>
    </row>
    <row r="2171" spans="1:2">
      <c r="A2171" s="70" t="s">
        <v>2567</v>
      </c>
      <c r="B2171" s="21">
        <v>432699</v>
      </c>
    </row>
    <row r="2172" spans="1:2">
      <c r="A2172" s="70" t="s">
        <v>2568</v>
      </c>
      <c r="B2172" s="21">
        <v>432757</v>
      </c>
    </row>
    <row r="2173" spans="1:2">
      <c r="A2173" s="70" t="s">
        <v>2569</v>
      </c>
      <c r="B2173" s="21">
        <v>432190</v>
      </c>
    </row>
    <row r="2174" spans="1:2">
      <c r="A2174" s="70" t="s">
        <v>2570</v>
      </c>
      <c r="B2174" s="21"/>
    </row>
    <row r="2175" spans="1:2">
      <c r="A2175" s="70" t="s">
        <v>2571</v>
      </c>
      <c r="B2175" s="21">
        <v>431810</v>
      </c>
    </row>
    <row r="2176" spans="1:2">
      <c r="A2176" s="70" t="s">
        <v>2572</v>
      </c>
      <c r="B2176" s="21">
        <v>432173</v>
      </c>
    </row>
    <row r="2177" spans="1:2">
      <c r="A2177" s="70" t="s">
        <v>2573</v>
      </c>
      <c r="B2177" s="21">
        <v>431385</v>
      </c>
    </row>
    <row r="2178" spans="1:2">
      <c r="A2178" s="70" t="s">
        <v>2574</v>
      </c>
      <c r="B2178" s="21">
        <v>432989</v>
      </c>
    </row>
    <row r="2179" spans="1:2">
      <c r="A2179" s="70" t="s">
        <v>2575</v>
      </c>
      <c r="B2179" s="21">
        <v>434523</v>
      </c>
    </row>
    <row r="2180" spans="1:2">
      <c r="A2180" s="70" t="s">
        <v>2576</v>
      </c>
      <c r="B2180" s="21">
        <v>437866</v>
      </c>
    </row>
    <row r="2181" spans="1:2">
      <c r="A2181" s="70" t="s">
        <v>2577</v>
      </c>
      <c r="B2181" s="21"/>
    </row>
    <row r="2182" spans="1:2">
      <c r="A2182" s="70" t="s">
        <v>2578</v>
      </c>
      <c r="B2182" s="21">
        <v>438980</v>
      </c>
    </row>
    <row r="2183" spans="1:2">
      <c r="A2183" s="70" t="s">
        <v>2579</v>
      </c>
      <c r="B2183" s="21">
        <v>439351</v>
      </c>
    </row>
    <row r="2184" spans="1:2">
      <c r="A2184" s="70" t="s">
        <v>2580</v>
      </c>
      <c r="B2184" s="21">
        <v>438873</v>
      </c>
    </row>
    <row r="2185" spans="1:2">
      <c r="A2185" s="70" t="s">
        <v>2581</v>
      </c>
      <c r="B2185" s="21">
        <v>439774</v>
      </c>
    </row>
    <row r="2186" spans="1:2">
      <c r="A2186" s="70" t="s">
        <v>2582</v>
      </c>
      <c r="B2186" s="21">
        <v>439340</v>
      </c>
    </row>
    <row r="2187" spans="1:2">
      <c r="A2187" s="70" t="s">
        <v>2583</v>
      </c>
      <c r="B2187" s="21">
        <v>441563</v>
      </c>
    </row>
    <row r="2188" spans="1:2">
      <c r="A2188" s="70" t="s">
        <v>2584</v>
      </c>
      <c r="B2188" s="21"/>
    </row>
    <row r="2189" spans="1:2">
      <c r="A2189" s="70" t="s">
        <v>40</v>
      </c>
      <c r="B2189" s="21">
        <v>440489</v>
      </c>
    </row>
    <row r="2190" spans="1:2">
      <c r="A2190" s="70" t="s">
        <v>2585</v>
      </c>
      <c r="B2190" s="21">
        <v>440711</v>
      </c>
    </row>
    <row r="2191" spans="1:2">
      <c r="A2191" s="70" t="s">
        <v>2586</v>
      </c>
      <c r="B2191" s="21">
        <v>441709</v>
      </c>
    </row>
    <row r="2192" spans="1:2">
      <c r="A2192" s="70" t="s">
        <v>2587</v>
      </c>
      <c r="B2192" s="21"/>
    </row>
    <row r="2193" spans="1:2">
      <c r="A2193" s="70" t="s">
        <v>2588</v>
      </c>
      <c r="B2193" s="21"/>
    </row>
    <row r="2194" spans="1:2">
      <c r="A2194" s="70" t="s">
        <v>2589</v>
      </c>
      <c r="B2194" s="21"/>
    </row>
    <row r="2195" spans="1:2">
      <c r="A2195" s="70" t="s">
        <v>2590</v>
      </c>
      <c r="B2195" s="21"/>
    </row>
    <row r="2196" spans="1:2">
      <c r="A2196" s="70" t="s">
        <v>2591</v>
      </c>
      <c r="B2196" s="21"/>
    </row>
    <row r="2197" spans="1:2">
      <c r="A2197" s="70" t="s">
        <v>2592</v>
      </c>
      <c r="B2197" s="21">
        <v>439202</v>
      </c>
    </row>
    <row r="2198" spans="1:2">
      <c r="A2198" s="70" t="s">
        <v>2593</v>
      </c>
      <c r="B2198" s="21">
        <v>438251</v>
      </c>
    </row>
    <row r="2199" spans="1:2">
      <c r="A2199" s="70" t="s">
        <v>2594</v>
      </c>
      <c r="B2199" s="21">
        <v>439486</v>
      </c>
    </row>
    <row r="2200" spans="1:2">
      <c r="A2200" s="70" t="s">
        <v>2595</v>
      </c>
      <c r="B2200" s="21">
        <v>439075</v>
      </c>
    </row>
    <row r="2201" spans="1:2">
      <c r="A2201" s="70" t="s">
        <v>2596</v>
      </c>
      <c r="B2201" s="21">
        <v>438772</v>
      </c>
    </row>
    <row r="2202" spans="1:2">
      <c r="A2202" s="70" t="s">
        <v>2597</v>
      </c>
      <c r="B2202" s="21"/>
    </row>
    <row r="2203" spans="1:2">
      <c r="A2203" s="70" t="s">
        <v>2598</v>
      </c>
      <c r="B2203" s="21">
        <v>437596</v>
      </c>
    </row>
    <row r="2204" spans="1:2">
      <c r="A2204" s="70" t="s">
        <v>2599</v>
      </c>
      <c r="B2204" s="21"/>
    </row>
    <row r="2205" spans="1:2">
      <c r="A2205" s="70" t="s">
        <v>2600</v>
      </c>
      <c r="B2205" s="21"/>
    </row>
    <row r="2206" spans="1:2">
      <c r="A2206" s="70" t="s">
        <v>2601</v>
      </c>
      <c r="B2206" s="21">
        <v>435151</v>
      </c>
    </row>
    <row r="2207" spans="1:2">
      <c r="A2207" s="70" t="s">
        <v>2602</v>
      </c>
      <c r="B2207" s="21">
        <v>436599</v>
      </c>
    </row>
    <row r="2208" spans="1:2">
      <c r="A2208" s="70" t="s">
        <v>2603</v>
      </c>
      <c r="B2208" s="21">
        <v>438931</v>
      </c>
    </row>
    <row r="2209" spans="1:2">
      <c r="A2209" s="70" t="s">
        <v>2604</v>
      </c>
      <c r="B2209" s="21"/>
    </row>
    <row r="2210" spans="1:2">
      <c r="A2210" s="70" t="s">
        <v>2605</v>
      </c>
      <c r="B2210" s="21">
        <v>440693</v>
      </c>
    </row>
    <row r="2211" spans="1:2">
      <c r="A2211" s="70" t="s">
        <v>2606</v>
      </c>
      <c r="B2211" s="21">
        <v>440674</v>
      </c>
    </row>
    <row r="2212" spans="1:2">
      <c r="A2212" s="70" t="s">
        <v>2607</v>
      </c>
      <c r="B2212" s="21">
        <v>440545</v>
      </c>
    </row>
    <row r="2213" spans="1:2">
      <c r="A2213" s="70" t="s">
        <v>2608</v>
      </c>
      <c r="B2213" s="21">
        <v>441150</v>
      </c>
    </row>
    <row r="2214" spans="1:2">
      <c r="A2214" s="70" t="s">
        <v>2609</v>
      </c>
      <c r="B2214" s="21"/>
    </row>
    <row r="2215" spans="1:2">
      <c r="A2215" s="70" t="s">
        <v>2610</v>
      </c>
      <c r="B2215" s="21"/>
    </row>
    <row r="2216" spans="1:2">
      <c r="A2216" s="70" t="s">
        <v>2611</v>
      </c>
      <c r="B2216" s="21"/>
    </row>
    <row r="2217" spans="1:2">
      <c r="A2217" s="70" t="s">
        <v>2612</v>
      </c>
      <c r="B2217" s="21">
        <v>432821</v>
      </c>
    </row>
    <row r="2218" spans="1:2">
      <c r="A2218" s="70" t="s">
        <v>2613</v>
      </c>
      <c r="B2218" s="21">
        <v>432884</v>
      </c>
    </row>
    <row r="2219" spans="1:2">
      <c r="A2219" s="70" t="s">
        <v>2614</v>
      </c>
      <c r="B2219" s="21">
        <v>432859</v>
      </c>
    </row>
    <row r="2220" spans="1:2">
      <c r="A2220" s="70" t="s">
        <v>2615</v>
      </c>
      <c r="B2220" s="21">
        <v>432646</v>
      </c>
    </row>
    <row r="2221" spans="1:2">
      <c r="A2221" s="70" t="s">
        <v>2616</v>
      </c>
      <c r="B2221" s="21">
        <v>432024</v>
      </c>
    </row>
    <row r="2222" spans="1:2">
      <c r="A2222" s="70" t="s">
        <v>2617</v>
      </c>
      <c r="B2222" s="21">
        <v>432624</v>
      </c>
    </row>
    <row r="2223" spans="1:2">
      <c r="A2223" s="70" t="s">
        <v>2618</v>
      </c>
      <c r="B2223" s="21"/>
    </row>
    <row r="2224" spans="1:2">
      <c r="A2224" s="70" t="s">
        <v>2619</v>
      </c>
      <c r="B2224" s="21">
        <v>433090</v>
      </c>
    </row>
    <row r="2225" spans="1:2">
      <c r="A2225" s="70" t="s">
        <v>2620</v>
      </c>
      <c r="B2225" s="21">
        <v>434875</v>
      </c>
    </row>
    <row r="2226" spans="1:2">
      <c r="A2226" s="70" t="s">
        <v>2621</v>
      </c>
      <c r="B2226" s="21">
        <v>434294</v>
      </c>
    </row>
    <row r="2227" spans="1:2">
      <c r="A2227" s="70" t="s">
        <v>2622</v>
      </c>
      <c r="B2227" s="21">
        <v>436287</v>
      </c>
    </row>
    <row r="2228" spans="1:2">
      <c r="A2228" s="70" t="s">
        <v>2623</v>
      </c>
      <c r="B2228" s="21">
        <v>439674</v>
      </c>
    </row>
    <row r="2229" spans="1:2">
      <c r="A2229" s="70" t="s">
        <v>2624</v>
      </c>
      <c r="B2229" s="21">
        <v>439405</v>
      </c>
    </row>
    <row r="2230" spans="1:2">
      <c r="A2230" s="70" t="s">
        <v>2625</v>
      </c>
      <c r="B2230" s="21"/>
    </row>
    <row r="2231" spans="1:2">
      <c r="A2231" s="70" t="s">
        <v>2626</v>
      </c>
      <c r="B2231" s="21">
        <v>441017</v>
      </c>
    </row>
    <row r="2232" spans="1:2">
      <c r="A2232" s="70" t="s">
        <v>2627</v>
      </c>
      <c r="B2232" s="21">
        <v>443087</v>
      </c>
    </row>
    <row r="2233" spans="1:2">
      <c r="A2233" s="70" t="s">
        <v>2628</v>
      </c>
      <c r="B2233" s="21">
        <v>442792</v>
      </c>
    </row>
    <row r="2234" spans="1:2">
      <c r="A2234" s="70" t="s">
        <v>2629</v>
      </c>
      <c r="B2234" s="21">
        <v>443429</v>
      </c>
    </row>
    <row r="2235" spans="1:2">
      <c r="A2235" s="70" t="s">
        <v>2630</v>
      </c>
      <c r="B2235" s="21">
        <v>442073</v>
      </c>
    </row>
    <row r="2236" spans="1:2">
      <c r="A2236" s="70" t="s">
        <v>2631</v>
      </c>
      <c r="B2236" s="21">
        <v>441890</v>
      </c>
    </row>
    <row r="2237" spans="1:2">
      <c r="A2237" s="70" t="s">
        <v>2632</v>
      </c>
      <c r="B2237" s="21"/>
    </row>
    <row r="2238" spans="1:2">
      <c r="A2238" s="70" t="s">
        <v>2633</v>
      </c>
      <c r="B2238" s="21"/>
    </row>
    <row r="2239" spans="1:2">
      <c r="A2239" s="70" t="s">
        <v>2634</v>
      </c>
      <c r="B2239" s="21">
        <v>446726</v>
      </c>
    </row>
    <row r="2240" spans="1:2">
      <c r="A2240" s="70" t="s">
        <v>2635</v>
      </c>
      <c r="B2240" s="21">
        <v>448019</v>
      </c>
    </row>
    <row r="2241" spans="1:2">
      <c r="A2241" s="70" t="s">
        <v>2636</v>
      </c>
      <c r="B2241" s="21">
        <v>450725</v>
      </c>
    </row>
    <row r="2242" spans="1:2">
      <c r="A2242" s="70" t="s">
        <v>2637</v>
      </c>
      <c r="B2242" s="21">
        <v>450279</v>
      </c>
    </row>
    <row r="2243" spans="1:2">
      <c r="A2243" s="70" t="s">
        <v>2638</v>
      </c>
      <c r="B2243" s="21">
        <v>449714</v>
      </c>
    </row>
    <row r="2244" spans="1:2">
      <c r="A2244" s="70" t="s">
        <v>2639</v>
      </c>
      <c r="B2244" s="21"/>
    </row>
    <row r="2245" spans="1:2">
      <c r="A2245" s="70" t="s">
        <v>2640</v>
      </c>
      <c r="B2245" s="21">
        <v>451396</v>
      </c>
    </row>
    <row r="2246" spans="1:2">
      <c r="A2246" s="70" t="s">
        <v>2641</v>
      </c>
      <c r="B2246" s="21">
        <v>451508</v>
      </c>
    </row>
    <row r="2247" spans="1:2">
      <c r="A2247" s="70" t="s">
        <v>2642</v>
      </c>
      <c r="B2247" s="21">
        <v>451305</v>
      </c>
    </row>
    <row r="2248" spans="1:2">
      <c r="A2248" s="70" t="s">
        <v>2643</v>
      </c>
      <c r="B2248" s="21">
        <v>452246</v>
      </c>
    </row>
    <row r="2249" spans="1:2">
      <c r="A2249" s="70" t="s">
        <v>2644</v>
      </c>
      <c r="B2249" s="21">
        <v>453216</v>
      </c>
    </row>
    <row r="2250" spans="1:2">
      <c r="A2250" s="70" t="s">
        <v>2645</v>
      </c>
      <c r="B2250" s="21">
        <v>454905</v>
      </c>
    </row>
    <row r="2251" spans="1:2">
      <c r="A2251" s="70" t="s">
        <v>2646</v>
      </c>
      <c r="B2251" s="21"/>
    </row>
    <row r="2252" spans="1:2">
      <c r="A2252" s="70" t="s">
        <v>2647</v>
      </c>
      <c r="B2252" s="21">
        <v>455320</v>
      </c>
    </row>
    <row r="2253" spans="1:2">
      <c r="A2253" s="70" t="s">
        <v>2648</v>
      </c>
      <c r="B2253" s="21">
        <v>455696</v>
      </c>
    </row>
    <row r="2254" spans="1:2">
      <c r="A2254" s="70" t="s">
        <v>2649</v>
      </c>
      <c r="B2254" s="21">
        <v>454777</v>
      </c>
    </row>
    <row r="2255" spans="1:2">
      <c r="A2255" s="70" t="s">
        <v>2650</v>
      </c>
      <c r="B2255" s="21">
        <v>454384</v>
      </c>
    </row>
    <row r="2256" spans="1:2">
      <c r="A2256" s="70" t="s">
        <v>2651</v>
      </c>
      <c r="B2256" s="21"/>
    </row>
    <row r="2257" spans="1:2">
      <c r="A2257" s="70" t="s">
        <v>2652</v>
      </c>
      <c r="B2257" s="21">
        <v>453404</v>
      </c>
    </row>
    <row r="2258" spans="1:2">
      <c r="A2258" s="70" t="s">
        <v>2653</v>
      </c>
      <c r="B2258" s="21"/>
    </row>
    <row r="2259" spans="1:2">
      <c r="A2259" s="70" t="s">
        <v>2654</v>
      </c>
      <c r="B2259" s="21">
        <v>454026</v>
      </c>
    </row>
    <row r="2260" spans="1:2">
      <c r="A2260" s="70" t="s">
        <v>2655</v>
      </c>
      <c r="B2260" s="21">
        <v>455095</v>
      </c>
    </row>
    <row r="2261" spans="1:2">
      <c r="A2261" s="70" t="s">
        <v>2656</v>
      </c>
      <c r="B2261" s="21">
        <v>454640</v>
      </c>
    </row>
    <row r="2262" spans="1:2">
      <c r="A2262" s="70" t="s">
        <v>2657</v>
      </c>
      <c r="B2262" s="21">
        <v>456571</v>
      </c>
    </row>
    <row r="2263" spans="1:2">
      <c r="A2263" s="70" t="s">
        <v>2658</v>
      </c>
      <c r="B2263" s="21">
        <v>457951</v>
      </c>
    </row>
    <row r="2264" spans="1:2">
      <c r="A2264" s="70" t="s">
        <v>2659</v>
      </c>
      <c r="B2264" s="21">
        <v>455102</v>
      </c>
    </row>
    <row r="2265" spans="1:2">
      <c r="A2265" s="70" t="s">
        <v>2660</v>
      </c>
      <c r="B2265" s="21"/>
    </row>
    <row r="2266" spans="1:2">
      <c r="A2266" s="70" t="s">
        <v>2661</v>
      </c>
      <c r="B2266" s="21">
        <v>457661</v>
      </c>
    </row>
    <row r="2267" spans="1:2">
      <c r="A2267" s="70" t="s">
        <v>2662</v>
      </c>
      <c r="B2267" s="21">
        <v>457791</v>
      </c>
    </row>
    <row r="2268" spans="1:2">
      <c r="A2268" s="70" t="s">
        <v>2663</v>
      </c>
      <c r="B2268" s="21"/>
    </row>
    <row r="2269" spans="1:2">
      <c r="A2269" s="70" t="s">
        <v>2664</v>
      </c>
      <c r="B2269" s="21"/>
    </row>
    <row r="2270" spans="1:2">
      <c r="A2270" s="70" t="s">
        <v>2665</v>
      </c>
      <c r="B2270" s="21">
        <v>458924</v>
      </c>
    </row>
    <row r="2271" spans="1:2">
      <c r="A2271" s="70" t="s">
        <v>2666</v>
      </c>
      <c r="B2271" s="21">
        <v>459329</v>
      </c>
    </row>
    <row r="2272" spans="1:2">
      <c r="A2272" s="70" t="s">
        <v>2667</v>
      </c>
      <c r="B2272" s="21"/>
    </row>
    <row r="2273" spans="1:2">
      <c r="A2273" s="70" t="s">
        <v>2668</v>
      </c>
      <c r="B2273" s="21">
        <v>457412</v>
      </c>
    </row>
    <row r="2274" spans="1:2">
      <c r="A2274" s="70" t="s">
        <v>2669</v>
      </c>
      <c r="B2274" s="21">
        <v>459204</v>
      </c>
    </row>
    <row r="2275" spans="1:2">
      <c r="A2275" s="70" t="s">
        <v>2670</v>
      </c>
      <c r="B2275" s="21">
        <v>459340</v>
      </c>
    </row>
    <row r="2276" spans="1:2">
      <c r="A2276" s="70" t="s">
        <v>2671</v>
      </c>
      <c r="B2276" s="21">
        <v>457040</v>
      </c>
    </row>
    <row r="2277" spans="1:2">
      <c r="A2277" s="70" t="s">
        <v>2672</v>
      </c>
      <c r="B2277" s="21">
        <v>457209</v>
      </c>
    </row>
    <row r="2278" spans="1:2">
      <c r="A2278" s="70" t="s">
        <v>2673</v>
      </c>
      <c r="B2278" s="21">
        <v>461909</v>
      </c>
    </row>
    <row r="2279" spans="1:2">
      <c r="A2279" s="70" t="s">
        <v>2674</v>
      </c>
      <c r="B2279" s="21"/>
    </row>
    <row r="2280" spans="1:2">
      <c r="A2280" s="70" t="s">
        <v>2675</v>
      </c>
      <c r="B2280" s="21">
        <v>456305</v>
      </c>
    </row>
    <row r="2281" spans="1:2">
      <c r="A2281" s="70" t="s">
        <v>2676</v>
      </c>
      <c r="B2281" s="21">
        <v>457487</v>
      </c>
    </row>
    <row r="2282" spans="1:2">
      <c r="A2282" s="70" t="s">
        <v>2677</v>
      </c>
      <c r="B2282" s="21"/>
    </row>
    <row r="2283" spans="1:2">
      <c r="A2283" s="70" t="s">
        <v>2678</v>
      </c>
      <c r="B2283" s="21">
        <v>459011</v>
      </c>
    </row>
    <row r="2284" spans="1:2">
      <c r="A2284" s="70" t="s">
        <v>2679</v>
      </c>
      <c r="B2284" s="21">
        <v>459752</v>
      </c>
    </row>
    <row r="2285" spans="1:2">
      <c r="A2285" s="70" t="s">
        <v>2680</v>
      </c>
      <c r="B2285" s="21">
        <v>461131</v>
      </c>
    </row>
    <row r="2286" spans="1:2">
      <c r="A2286" s="70" t="s">
        <v>2681</v>
      </c>
      <c r="B2286" s="21"/>
    </row>
    <row r="2287" spans="1:2">
      <c r="A2287" s="70" t="s">
        <v>2682</v>
      </c>
      <c r="B2287" s="21">
        <v>459323</v>
      </c>
    </row>
    <row r="2288" spans="1:2">
      <c r="A2288" s="70" t="s">
        <v>2683</v>
      </c>
      <c r="B2288" s="21">
        <v>459448</v>
      </c>
    </row>
    <row r="2289" spans="1:2">
      <c r="A2289" s="70" t="s">
        <v>2684</v>
      </c>
      <c r="B2289" s="21">
        <v>459246</v>
      </c>
    </row>
    <row r="2290" spans="1:2">
      <c r="A2290" s="70" t="s">
        <v>2685</v>
      </c>
      <c r="B2290" s="21"/>
    </row>
    <row r="2291" spans="1:2">
      <c r="A2291" s="70" t="s">
        <v>43</v>
      </c>
      <c r="B2291" s="21">
        <v>459763</v>
      </c>
    </row>
    <row r="2292" spans="1:2">
      <c r="A2292" s="70" t="s">
        <v>2686</v>
      </c>
      <c r="B2292" s="21">
        <v>458804</v>
      </c>
    </row>
    <row r="2293" spans="1:2">
      <c r="A2293" s="70" t="s">
        <v>2687</v>
      </c>
      <c r="B2293" s="21"/>
    </row>
    <row r="2294" spans="1:2">
      <c r="A2294" s="70" t="s">
        <v>2688</v>
      </c>
      <c r="B2294" s="21">
        <v>460755</v>
      </c>
    </row>
    <row r="2295" spans="1:2">
      <c r="A2295" s="70" t="s">
        <v>2689</v>
      </c>
      <c r="B2295" s="21">
        <v>461894</v>
      </c>
    </row>
    <row r="2296" spans="1:2">
      <c r="A2296" s="70" t="s">
        <v>2690</v>
      </c>
      <c r="B2296" s="21">
        <v>461478</v>
      </c>
    </row>
    <row r="2297" spans="1:2">
      <c r="A2297" s="70" t="s">
        <v>2691</v>
      </c>
      <c r="B2297" s="21">
        <v>462407</v>
      </c>
    </row>
    <row r="2298" spans="1:2">
      <c r="A2298" s="70" t="s">
        <v>2692</v>
      </c>
      <c r="B2298" s="21">
        <v>462821</v>
      </c>
    </row>
    <row r="2299" spans="1:2">
      <c r="A2299" s="70" t="s">
        <v>2693</v>
      </c>
      <c r="B2299" s="21">
        <v>465525</v>
      </c>
    </row>
    <row r="2300" spans="1:2">
      <c r="A2300" s="70" t="s">
        <v>2694</v>
      </c>
      <c r="B2300" s="21"/>
    </row>
    <row r="2301" spans="1:2">
      <c r="A2301" s="70" t="s">
        <v>2695</v>
      </c>
      <c r="B2301" s="21">
        <v>467831</v>
      </c>
    </row>
    <row r="2302" spans="1:2">
      <c r="A2302" s="70" t="s">
        <v>2696</v>
      </c>
      <c r="B2302" s="21">
        <v>469799</v>
      </c>
    </row>
    <row r="2303" spans="1:2">
      <c r="A2303" s="70" t="s">
        <v>2697</v>
      </c>
      <c r="B2303" s="21">
        <v>468704</v>
      </c>
    </row>
    <row r="2304" spans="1:2">
      <c r="A2304" s="70" t="s">
        <v>2698</v>
      </c>
      <c r="B2304" s="21">
        <v>469961</v>
      </c>
    </row>
    <row r="2305" spans="1:2">
      <c r="A2305" s="70" t="s">
        <v>2699</v>
      </c>
      <c r="B2305" s="21">
        <v>469043</v>
      </c>
    </row>
    <row r="2306" spans="1:2">
      <c r="A2306" s="70" t="s">
        <v>2700</v>
      </c>
      <c r="B2306" s="21">
        <v>469803</v>
      </c>
    </row>
    <row r="2307" spans="1:2">
      <c r="A2307" s="70" t="s">
        <v>2701</v>
      </c>
      <c r="B2307" s="21"/>
    </row>
    <row r="2308" spans="1:2">
      <c r="A2308" s="70" t="s">
        <v>2702</v>
      </c>
      <c r="B2308" s="21">
        <v>474301</v>
      </c>
    </row>
    <row r="2309" spans="1:2">
      <c r="A2309" s="70" t="s">
        <v>2703</v>
      </c>
      <c r="B2309" s="21">
        <v>475759</v>
      </c>
    </row>
    <row r="2310" spans="1:2">
      <c r="A2310" s="70" t="s">
        <v>2704</v>
      </c>
      <c r="B2310" s="21"/>
    </row>
    <row r="2311" spans="1:2">
      <c r="A2311" s="70" t="s">
        <v>2705</v>
      </c>
      <c r="B2311" s="21"/>
    </row>
    <row r="2312" spans="1:2">
      <c r="A2312" s="70" t="s">
        <v>2706</v>
      </c>
      <c r="B2312" s="21">
        <v>474592</v>
      </c>
    </row>
    <row r="2313" spans="1:2">
      <c r="A2313" s="70" t="s">
        <v>2707</v>
      </c>
      <c r="B2313" s="21">
        <v>477781</v>
      </c>
    </row>
    <row r="2314" spans="1:2">
      <c r="A2314" s="70" t="s">
        <v>2708</v>
      </c>
      <c r="B2314" s="21"/>
    </row>
    <row r="2315" spans="1:2">
      <c r="A2315" s="70" t="s">
        <v>2709</v>
      </c>
      <c r="B2315" s="21">
        <v>476901</v>
      </c>
    </row>
    <row r="2316" spans="1:2">
      <c r="A2316" s="70" t="s">
        <v>2710</v>
      </c>
      <c r="B2316" s="21">
        <v>476800</v>
      </c>
    </row>
    <row r="2317" spans="1:2">
      <c r="A2317" s="70" t="s">
        <v>2711</v>
      </c>
      <c r="B2317" s="21">
        <v>477119</v>
      </c>
    </row>
    <row r="2318" spans="1:2">
      <c r="A2318" s="70" t="s">
        <v>2712</v>
      </c>
      <c r="B2318" s="21">
        <v>478564</v>
      </c>
    </row>
    <row r="2319" spans="1:2">
      <c r="A2319" s="70" t="s">
        <v>2713</v>
      </c>
      <c r="B2319" s="21">
        <v>477436</v>
      </c>
    </row>
    <row r="2320" spans="1:2">
      <c r="A2320" s="70" t="s">
        <v>2714</v>
      </c>
      <c r="B2320" s="21">
        <v>477682</v>
      </c>
    </row>
    <row r="2321" spans="1:2">
      <c r="A2321" s="70" t="s">
        <v>2715</v>
      </c>
      <c r="B2321" s="21"/>
    </row>
    <row r="2322" spans="1:2">
      <c r="A2322" s="70" t="s">
        <v>2716</v>
      </c>
      <c r="B2322" s="21">
        <v>478809</v>
      </c>
    </row>
    <row r="2323" spans="1:2">
      <c r="A2323" s="70" t="s">
        <v>2717</v>
      </c>
      <c r="B2323" s="21">
        <v>478809</v>
      </c>
    </row>
    <row r="2324" spans="1:2">
      <c r="A2324" s="70" t="s">
        <v>2718</v>
      </c>
      <c r="B2324" s="21">
        <v>479870</v>
      </c>
    </row>
    <row r="2325" spans="1:2">
      <c r="A2325" s="70" t="s">
        <v>2719</v>
      </c>
      <c r="B2325" s="21">
        <v>478817</v>
      </c>
    </row>
    <row r="2326" spans="1:2">
      <c r="A2326" s="70" t="s">
        <v>2720</v>
      </c>
      <c r="B2326" s="21">
        <v>478328</v>
      </c>
    </row>
    <row r="2327" spans="1:2">
      <c r="A2327" s="70" t="s">
        <v>2721</v>
      </c>
      <c r="B2327" s="21">
        <v>478980</v>
      </c>
    </row>
    <row r="2328" spans="1:2">
      <c r="A2328" s="70" t="s">
        <v>2722</v>
      </c>
      <c r="B2328" s="21"/>
    </row>
    <row r="2329" spans="1:2">
      <c r="A2329" s="70" t="s">
        <v>2723</v>
      </c>
      <c r="B2329" s="21">
        <v>484077</v>
      </c>
    </row>
    <row r="2330" spans="1:2">
      <c r="A2330" s="70" t="s">
        <v>2724</v>
      </c>
      <c r="B2330" s="21">
        <v>484922</v>
      </c>
    </row>
    <row r="2331" spans="1:2">
      <c r="A2331" s="70" t="s">
        <v>2725</v>
      </c>
      <c r="B2331" s="21">
        <v>483061</v>
      </c>
    </row>
    <row r="2332" spans="1:2">
      <c r="A2332" s="70" t="s">
        <v>2726</v>
      </c>
      <c r="B2332" s="21">
        <v>487552</v>
      </c>
    </row>
    <row r="2333" spans="1:2">
      <c r="A2333" s="70" t="s">
        <v>2727</v>
      </c>
      <c r="B2333" s="21">
        <v>487552</v>
      </c>
    </row>
    <row r="2334" spans="1:2">
      <c r="A2334" s="70" t="s">
        <v>2728</v>
      </c>
      <c r="B2334" s="21">
        <v>486079</v>
      </c>
    </row>
    <row r="2335" spans="1:2">
      <c r="A2335" s="70" t="s">
        <v>2729</v>
      </c>
      <c r="B2335" s="21">
        <v>487552</v>
      </c>
    </row>
    <row r="2336" spans="1:2">
      <c r="A2336" s="70" t="s">
        <v>2730</v>
      </c>
      <c r="B2336" s="21">
        <v>487161</v>
      </c>
    </row>
    <row r="2337" spans="1:2">
      <c r="A2337" s="70" t="s">
        <v>2731</v>
      </c>
      <c r="B2337" s="21">
        <v>488106</v>
      </c>
    </row>
    <row r="2338" spans="1:2">
      <c r="A2338" s="70" t="s">
        <v>2732</v>
      </c>
      <c r="B2338" s="21">
        <v>487745</v>
      </c>
    </row>
    <row r="2339" spans="1:2">
      <c r="A2339" s="70" t="s">
        <v>2733</v>
      </c>
      <c r="B2339" s="21">
        <v>489853</v>
      </c>
    </row>
    <row r="2340" spans="1:2">
      <c r="A2340" s="70" t="s">
        <v>2734</v>
      </c>
      <c r="B2340" s="21">
        <v>492925</v>
      </c>
    </row>
    <row r="2341" spans="1:2">
      <c r="A2341" s="70" t="s">
        <v>2735</v>
      </c>
      <c r="B2341" s="21">
        <v>496094</v>
      </c>
    </row>
    <row r="2342" spans="1:2">
      <c r="A2342" s="70" t="s">
        <v>2736</v>
      </c>
      <c r="B2342" s="21"/>
    </row>
    <row r="2343" spans="1:2">
      <c r="A2343" s="70" t="s">
        <v>2737</v>
      </c>
      <c r="B2343" s="21">
        <v>495850</v>
      </c>
    </row>
    <row r="2344" spans="1:2">
      <c r="A2344" s="70" t="s">
        <v>2738</v>
      </c>
      <c r="B2344" s="21">
        <v>498143</v>
      </c>
    </row>
    <row r="2345" spans="1:2">
      <c r="A2345" s="70" t="s">
        <v>2739</v>
      </c>
      <c r="B2345" s="21">
        <v>497149</v>
      </c>
    </row>
    <row r="2346" spans="1:2">
      <c r="A2346" s="70" t="s">
        <v>2740</v>
      </c>
      <c r="B2346" s="21">
        <v>500969</v>
      </c>
    </row>
    <row r="2347" spans="1:2">
      <c r="A2347" s="70" t="s">
        <v>2741</v>
      </c>
      <c r="B2347" s="21">
        <v>502132</v>
      </c>
    </row>
    <row r="2348" spans="1:2">
      <c r="A2348" s="70" t="s">
        <v>2742</v>
      </c>
      <c r="B2348" s="21">
        <v>503855</v>
      </c>
    </row>
    <row r="2349" spans="1:2">
      <c r="A2349" s="70" t="s">
        <v>2743</v>
      </c>
      <c r="B2349" s="21"/>
    </row>
    <row r="2350" spans="1:2">
      <c r="A2350" s="70" t="s">
        <v>2744</v>
      </c>
      <c r="B2350" s="21">
        <v>505752</v>
      </c>
    </row>
    <row r="2351" spans="1:2">
      <c r="A2351" s="70" t="s">
        <v>2745</v>
      </c>
      <c r="B2351" s="21"/>
    </row>
    <row r="2352" spans="1:2">
      <c r="A2352" s="70" t="s">
        <v>2746</v>
      </c>
      <c r="B2352" s="21">
        <v>505055</v>
      </c>
    </row>
    <row r="2353" spans="1:2">
      <c r="A2353" s="70" t="s">
        <v>2747</v>
      </c>
      <c r="B2353" s="21">
        <v>505674</v>
      </c>
    </row>
    <row r="2354" spans="1:2">
      <c r="A2354" s="70" t="s">
        <v>2748</v>
      </c>
      <c r="B2354" s="21">
        <v>506045</v>
      </c>
    </row>
    <row r="2355" spans="1:2">
      <c r="A2355" s="70" t="s">
        <v>2749</v>
      </c>
      <c r="B2355" s="21">
        <v>505112</v>
      </c>
    </row>
    <row r="2356" spans="1:2">
      <c r="A2356" s="70" t="s">
        <v>2750</v>
      </c>
      <c r="B2356" s="21"/>
    </row>
    <row r="2357" spans="1:2">
      <c r="A2357" s="70" t="s">
        <v>2751</v>
      </c>
      <c r="B2357" s="21">
        <v>502839</v>
      </c>
    </row>
    <row r="2358" spans="1:2">
      <c r="A2358" s="70" t="s">
        <v>2752</v>
      </c>
      <c r="B2358" s="21">
        <v>503038</v>
      </c>
    </row>
    <row r="2359" spans="1:2">
      <c r="A2359" s="70" t="s">
        <v>2753</v>
      </c>
      <c r="B2359" s="21"/>
    </row>
    <row r="2360" spans="1:2">
      <c r="A2360" s="70" t="s">
        <v>2754</v>
      </c>
      <c r="B2360" s="21">
        <v>504655</v>
      </c>
    </row>
    <row r="2361" spans="1:2">
      <c r="A2361" s="70" t="s">
        <v>2755</v>
      </c>
      <c r="B2361" s="21"/>
    </row>
    <row r="2362" spans="1:2">
      <c r="A2362" s="70" t="s">
        <v>2756</v>
      </c>
      <c r="B2362" s="21">
        <v>505742</v>
      </c>
    </row>
    <row r="2363" spans="1:2">
      <c r="A2363" s="70" t="s">
        <v>2757</v>
      </c>
      <c r="B2363" s="21"/>
    </row>
    <row r="2364" spans="1:2">
      <c r="A2364" s="70" t="s">
        <v>2758</v>
      </c>
      <c r="B2364" s="21">
        <v>506596</v>
      </c>
    </row>
    <row r="2365" spans="1:2">
      <c r="A2365" s="70" t="s">
        <v>2759</v>
      </c>
      <c r="B2365" s="21">
        <v>507207</v>
      </c>
    </row>
    <row r="2366" spans="1:2">
      <c r="A2366" s="70" t="s">
        <v>2760</v>
      </c>
      <c r="B2366" s="21">
        <v>506749</v>
      </c>
    </row>
    <row r="2367" spans="1:2">
      <c r="A2367" s="70" t="s">
        <v>2761</v>
      </c>
      <c r="B2367" s="21">
        <v>505552</v>
      </c>
    </row>
    <row r="2368" spans="1:2">
      <c r="A2368" s="70" t="s">
        <v>2762</v>
      </c>
      <c r="B2368" s="21">
        <v>505594</v>
      </c>
    </row>
    <row r="2369" spans="1:2">
      <c r="A2369" s="70" t="s">
        <v>2763</v>
      </c>
      <c r="B2369" s="21"/>
    </row>
    <row r="2370" spans="1:2">
      <c r="A2370" s="70" t="s">
        <v>2764</v>
      </c>
      <c r="B2370" s="21"/>
    </row>
    <row r="2371" spans="1:2">
      <c r="A2371" s="70" t="s">
        <v>2765</v>
      </c>
      <c r="B2371" s="21">
        <v>508212</v>
      </c>
    </row>
    <row r="2372" spans="1:2">
      <c r="A2372" s="70" t="s">
        <v>2766</v>
      </c>
      <c r="B2372" s="21">
        <v>509186</v>
      </c>
    </row>
    <row r="2373" spans="1:2">
      <c r="A2373" s="70" t="s">
        <v>2767</v>
      </c>
      <c r="B2373" s="21">
        <v>510235</v>
      </c>
    </row>
    <row r="2374" spans="1:2">
      <c r="A2374" s="70" t="s">
        <v>2768</v>
      </c>
      <c r="B2374" s="21">
        <v>513300</v>
      </c>
    </row>
    <row r="2375" spans="1:2">
      <c r="A2375" s="70" t="s">
        <v>2769</v>
      </c>
      <c r="B2375" s="21">
        <v>513091</v>
      </c>
    </row>
    <row r="2376" spans="1:2">
      <c r="A2376" s="70" t="s">
        <v>2770</v>
      </c>
      <c r="B2376" s="21">
        <v>513045</v>
      </c>
    </row>
    <row r="2377" spans="1:2">
      <c r="A2377" s="70" t="s">
        <v>46</v>
      </c>
      <c r="B2377" s="21"/>
    </row>
    <row r="2378" spans="1:2">
      <c r="A2378" s="70" t="s">
        <v>2771</v>
      </c>
      <c r="B2378" s="21"/>
    </row>
    <row r="2379" spans="1:2">
      <c r="A2379" s="70" t="s">
        <v>48</v>
      </c>
      <c r="B2379" s="21">
        <v>516581</v>
      </c>
    </row>
    <row r="2380" spans="1:2">
      <c r="A2380" s="70" t="s">
        <v>2772</v>
      </c>
      <c r="B2380" s="21">
        <v>518564</v>
      </c>
    </row>
    <row r="2381" spans="1:2">
      <c r="A2381" s="70" t="s">
        <v>2773</v>
      </c>
      <c r="B2381" s="21">
        <v>516636</v>
      </c>
    </row>
    <row r="2382" spans="1:2">
      <c r="A2382" s="70" t="s">
        <v>2774</v>
      </c>
      <c r="B2382" s="21">
        <v>518626</v>
      </c>
    </row>
    <row r="2383" spans="1:2">
      <c r="A2383" s="70" t="s">
        <v>2775</v>
      </c>
      <c r="B2383" s="21">
        <v>519256</v>
      </c>
    </row>
    <row r="2384" spans="1:2">
      <c r="A2384" s="70" t="s">
        <v>2776</v>
      </c>
      <c r="B2384" s="21"/>
    </row>
    <row r="2385" spans="1:2">
      <c r="A2385" s="70" t="s">
        <v>2777</v>
      </c>
      <c r="B2385" s="21">
        <v>520155</v>
      </c>
    </row>
    <row r="2386" spans="1:2">
      <c r="A2386" s="70" t="s">
        <v>2778</v>
      </c>
      <c r="B2386" s="21">
        <v>520764</v>
      </c>
    </row>
    <row r="2387" spans="1:2">
      <c r="A2387" s="70" t="s">
        <v>2779</v>
      </c>
      <c r="B2387" s="21">
        <v>521844</v>
      </c>
    </row>
    <row r="2388" spans="1:2">
      <c r="A2388" s="70" t="s">
        <v>2780</v>
      </c>
      <c r="B2388" s="21">
        <v>521855</v>
      </c>
    </row>
    <row r="2389" spans="1:2">
      <c r="A2389" s="70" t="s">
        <v>2781</v>
      </c>
      <c r="B2389" s="21">
        <v>518694</v>
      </c>
    </row>
    <row r="2390" spans="1:2">
      <c r="A2390" s="70" t="s">
        <v>2782</v>
      </c>
      <c r="B2390" s="21">
        <v>519344</v>
      </c>
    </row>
    <row r="2391" spans="1:2">
      <c r="A2391" s="70" t="s">
        <v>2783</v>
      </c>
      <c r="B2391" s="21"/>
    </row>
    <row r="2392" spans="1:2">
      <c r="A2392" s="70" t="s">
        <v>2784</v>
      </c>
      <c r="B2392" s="21">
        <v>516721</v>
      </c>
    </row>
    <row r="2393" spans="1:2">
      <c r="A2393" s="70" t="s">
        <v>2785</v>
      </c>
      <c r="B2393" s="21">
        <v>518018</v>
      </c>
    </row>
    <row r="2394" spans="1:2">
      <c r="A2394" s="70" t="s">
        <v>2786</v>
      </c>
      <c r="B2394" s="21">
        <v>518612</v>
      </c>
    </row>
    <row r="2395" spans="1:2">
      <c r="A2395" s="70" t="s">
        <v>2787</v>
      </c>
      <c r="B2395" s="21">
        <v>519906</v>
      </c>
    </row>
    <row r="2396" spans="1:2">
      <c r="A2396" s="70" t="s">
        <v>2788</v>
      </c>
      <c r="B2396" s="21">
        <v>520834</v>
      </c>
    </row>
    <row r="2397" spans="1:2">
      <c r="A2397" s="70" t="s">
        <v>2789</v>
      </c>
      <c r="B2397" s="21">
        <v>521283</v>
      </c>
    </row>
    <row r="2398" spans="1:2">
      <c r="A2398" s="70" t="s">
        <v>2790</v>
      </c>
      <c r="B2398" s="21"/>
    </row>
    <row r="2399" spans="1:2">
      <c r="A2399" s="70" t="s">
        <v>2791</v>
      </c>
      <c r="B2399" s="21">
        <v>522477</v>
      </c>
    </row>
    <row r="2400" spans="1:2">
      <c r="A2400" s="70" t="s">
        <v>2792</v>
      </c>
      <c r="B2400" s="21">
        <v>524068</v>
      </c>
    </row>
    <row r="2401" spans="1:2">
      <c r="A2401" s="70" t="s">
        <v>2793</v>
      </c>
      <c r="B2401" s="21">
        <v>525368</v>
      </c>
    </row>
    <row r="2402" spans="1:2">
      <c r="A2402" s="70" t="s">
        <v>2794</v>
      </c>
      <c r="B2402" s="21">
        <v>525564</v>
      </c>
    </row>
    <row r="2403" spans="1:2">
      <c r="A2403" s="70" t="s">
        <v>2795</v>
      </c>
      <c r="B2403" s="21">
        <v>526488</v>
      </c>
    </row>
    <row r="2404" spans="1:2">
      <c r="A2404" s="70" t="s">
        <v>2796</v>
      </c>
      <c r="B2404" s="21">
        <v>526275</v>
      </c>
    </row>
    <row r="2405" spans="1:2">
      <c r="A2405" s="70" t="s">
        <v>2797</v>
      </c>
      <c r="B2405" s="21"/>
    </row>
    <row r="2406" spans="1:2">
      <c r="A2406" s="70" t="s">
        <v>2798</v>
      </c>
      <c r="B2406" s="21">
        <v>526876</v>
      </c>
    </row>
    <row r="2407" spans="1:2">
      <c r="A2407" s="70" t="s">
        <v>2799</v>
      </c>
      <c r="B2407" s="21">
        <v>528732</v>
      </c>
    </row>
    <row r="2408" spans="1:2">
      <c r="A2408" s="70" t="s">
        <v>2800</v>
      </c>
      <c r="B2408" s="21">
        <v>529051</v>
      </c>
    </row>
    <row r="2409" spans="1:2">
      <c r="A2409" s="70" t="s">
        <v>2801</v>
      </c>
      <c r="B2409" s="21">
        <v>528412</v>
      </c>
    </row>
    <row r="2410" spans="1:2">
      <c r="A2410" s="70" t="s">
        <v>2802</v>
      </c>
      <c r="B2410" s="21">
        <v>529220</v>
      </c>
    </row>
    <row r="2411" spans="1:2">
      <c r="A2411" s="70" t="s">
        <v>2803</v>
      </c>
      <c r="B2411" s="21">
        <v>528350</v>
      </c>
    </row>
    <row r="2412" spans="1:2">
      <c r="A2412" s="70" t="s">
        <v>2804</v>
      </c>
      <c r="B2412" s="21"/>
    </row>
    <row r="2413" spans="1:2">
      <c r="A2413" s="70" t="s">
        <v>2805</v>
      </c>
      <c r="B2413" s="21">
        <v>529986</v>
      </c>
    </row>
    <row r="2414" spans="1:2">
      <c r="A2414" s="70" t="s">
        <v>2806</v>
      </c>
      <c r="B2414" s="21">
        <v>529607</v>
      </c>
    </row>
    <row r="2415" spans="1:2">
      <c r="A2415" s="70" t="s">
        <v>2807</v>
      </c>
      <c r="B2415" s="21">
        <v>529737</v>
      </c>
    </row>
    <row r="2416" spans="1:2">
      <c r="A2416" s="70" t="s">
        <v>2808</v>
      </c>
      <c r="B2416" s="21">
        <v>531760</v>
      </c>
    </row>
    <row r="2417" spans="1:2">
      <c r="A2417" s="70" t="s">
        <v>2809</v>
      </c>
      <c r="B2417" s="21">
        <v>531770</v>
      </c>
    </row>
    <row r="2418" spans="1:2">
      <c r="A2418" s="70" t="s">
        <v>2810</v>
      </c>
      <c r="B2418" s="21">
        <v>536139</v>
      </c>
    </row>
    <row r="2419" spans="1:2">
      <c r="A2419" s="70" t="s">
        <v>2811</v>
      </c>
      <c r="B2419" s="21"/>
    </row>
    <row r="2420" spans="1:2">
      <c r="A2420" s="70" t="s">
        <v>2812</v>
      </c>
      <c r="B2420" s="21">
        <v>535461</v>
      </c>
    </row>
    <row r="2421" spans="1:2">
      <c r="A2421" s="70" t="s">
        <v>2813</v>
      </c>
      <c r="B2421" s="21">
        <v>535380</v>
      </c>
    </row>
    <row r="2422" spans="1:2">
      <c r="A2422" s="70" t="s">
        <v>2814</v>
      </c>
      <c r="B2422" s="21">
        <v>534808</v>
      </c>
    </row>
    <row r="2423" spans="1:2">
      <c r="A2423" s="70" t="s">
        <v>2815</v>
      </c>
      <c r="B2423" s="21">
        <v>537150</v>
      </c>
    </row>
    <row r="2424" spans="1:2">
      <c r="A2424" s="70" t="s">
        <v>2816</v>
      </c>
      <c r="B2424" s="21">
        <v>538979</v>
      </c>
    </row>
    <row r="2425" spans="1:2">
      <c r="A2425" s="70" t="s">
        <v>2817</v>
      </c>
      <c r="B2425" s="21">
        <v>529627</v>
      </c>
    </row>
    <row r="2426" spans="1:2">
      <c r="A2426" s="70" t="s">
        <v>2818</v>
      </c>
      <c r="B2426" s="21"/>
    </row>
    <row r="2427" spans="1:2">
      <c r="A2427" s="70" t="s">
        <v>2819</v>
      </c>
      <c r="B2427" s="21">
        <v>529896</v>
      </c>
    </row>
    <row r="2428" spans="1:2">
      <c r="A2428" s="70" t="s">
        <v>2820</v>
      </c>
      <c r="B2428" s="21">
        <v>533443</v>
      </c>
    </row>
    <row r="2429" spans="1:2">
      <c r="A2429" s="70" t="s">
        <v>2821</v>
      </c>
      <c r="B2429" s="21">
        <v>535035</v>
      </c>
    </row>
    <row r="2430" spans="1:2">
      <c r="A2430" s="70" t="s">
        <v>2822</v>
      </c>
      <c r="B2430" s="21">
        <v>533073</v>
      </c>
    </row>
    <row r="2431" spans="1:2">
      <c r="A2431" s="70" t="s">
        <v>2823</v>
      </c>
      <c r="B2431" s="21">
        <v>531957</v>
      </c>
    </row>
    <row r="2432" spans="1:2">
      <c r="A2432" s="70" t="s">
        <v>2824</v>
      </c>
      <c r="B2432" s="21">
        <v>531249</v>
      </c>
    </row>
    <row r="2433" spans="1:2">
      <c r="A2433" s="70" t="s">
        <v>2825</v>
      </c>
      <c r="B2433" s="21"/>
    </row>
    <row r="2434" spans="1:2">
      <c r="A2434" s="70" t="s">
        <v>2826</v>
      </c>
      <c r="B2434" s="21">
        <v>531764</v>
      </c>
    </row>
    <row r="2435" spans="1:2">
      <c r="A2435" s="70" t="s">
        <v>2827</v>
      </c>
      <c r="B2435" s="21">
        <v>532290</v>
      </c>
    </row>
    <row r="2436" spans="1:2">
      <c r="A2436" s="70" t="s">
        <v>2828</v>
      </c>
      <c r="B2436" s="21">
        <v>533530</v>
      </c>
    </row>
    <row r="2437" spans="1:2">
      <c r="A2437" s="70" t="s">
        <v>2829</v>
      </c>
      <c r="B2437" s="21">
        <v>538003</v>
      </c>
    </row>
    <row r="2438" spans="1:2">
      <c r="A2438" s="70" t="s">
        <v>2830</v>
      </c>
      <c r="B2438" s="21">
        <v>539843</v>
      </c>
    </row>
    <row r="2439" spans="1:2">
      <c r="A2439" s="70" t="s">
        <v>2831</v>
      </c>
      <c r="B2439" s="21">
        <v>537836</v>
      </c>
    </row>
    <row r="2440" spans="1:2">
      <c r="A2440" s="70" t="s">
        <v>2832</v>
      </c>
      <c r="B2440" s="21"/>
    </row>
    <row r="2441" spans="1:2">
      <c r="A2441" s="70" t="s">
        <v>2833</v>
      </c>
      <c r="B2441" s="21">
        <v>533417</v>
      </c>
    </row>
    <row r="2442" spans="1:2">
      <c r="A2442" s="70" t="s">
        <v>2834</v>
      </c>
      <c r="B2442" s="21">
        <v>536547</v>
      </c>
    </row>
    <row r="2443" spans="1:2">
      <c r="A2443" s="70" t="s">
        <v>2835</v>
      </c>
      <c r="B2443" s="21">
        <v>536902</v>
      </c>
    </row>
    <row r="2444" spans="1:2">
      <c r="A2444" s="70" t="s">
        <v>2836</v>
      </c>
      <c r="B2444" s="21">
        <v>541661</v>
      </c>
    </row>
    <row r="2445" spans="1:2">
      <c r="A2445" s="70" t="s">
        <v>2837</v>
      </c>
      <c r="B2445" s="21">
        <v>542399</v>
      </c>
    </row>
    <row r="2446" spans="1:2">
      <c r="A2446" s="70" t="s">
        <v>2838</v>
      </c>
      <c r="B2446" s="21">
        <v>547319</v>
      </c>
    </row>
    <row r="2447" spans="1:2">
      <c r="A2447" s="70" t="s">
        <v>2839</v>
      </c>
      <c r="B2447" s="21"/>
    </row>
    <row r="2448" spans="1:2">
      <c r="A2448" s="70" t="s">
        <v>2840</v>
      </c>
      <c r="B2448" s="21">
        <v>545819</v>
      </c>
    </row>
    <row r="2449" spans="1:2">
      <c r="A2449" s="70" t="s">
        <v>2841</v>
      </c>
      <c r="B2449" s="21">
        <v>550396</v>
      </c>
    </row>
    <row r="2450" spans="1:2">
      <c r="A2450" s="70" t="s">
        <v>2842</v>
      </c>
      <c r="B2450" s="21">
        <v>553394</v>
      </c>
    </row>
    <row r="2451" spans="1:2">
      <c r="A2451" s="70" t="s">
        <v>2843</v>
      </c>
      <c r="B2451" s="21">
        <v>550822</v>
      </c>
    </row>
    <row r="2452" spans="1:2">
      <c r="A2452" s="70" t="s">
        <v>2844</v>
      </c>
      <c r="B2452" s="21">
        <v>555856</v>
      </c>
    </row>
    <row r="2453" spans="1:2">
      <c r="A2453" s="70" t="s">
        <v>2845</v>
      </c>
      <c r="B2453" s="21"/>
    </row>
    <row r="2454" spans="1:2">
      <c r="A2454" s="70" t="s">
        <v>2846</v>
      </c>
      <c r="B2454" s="21"/>
    </row>
    <row r="2455" spans="1:2">
      <c r="A2455" s="70" t="s">
        <v>2847</v>
      </c>
      <c r="B2455" s="21">
        <v>561338</v>
      </c>
    </row>
    <row r="2456" spans="1:2">
      <c r="A2456" s="70" t="s">
        <v>2848</v>
      </c>
      <c r="B2456" s="21">
        <v>565825</v>
      </c>
    </row>
    <row r="2457" spans="1:2">
      <c r="A2457" s="70" t="s">
        <v>2849</v>
      </c>
      <c r="B2457" s="21">
        <v>569708</v>
      </c>
    </row>
    <row r="2458" spans="1:2">
      <c r="A2458" s="70" t="s">
        <v>2850</v>
      </c>
      <c r="B2458" s="21">
        <v>572675</v>
      </c>
    </row>
    <row r="2459" spans="1:2">
      <c r="A2459" s="70" t="s">
        <v>2851</v>
      </c>
      <c r="B2459" s="21">
        <v>572312</v>
      </c>
    </row>
    <row r="2460" spans="1:2">
      <c r="A2460" s="70" t="s">
        <v>2852</v>
      </c>
      <c r="B2460" s="21">
        <v>572074</v>
      </c>
    </row>
    <row r="2461" spans="1:2">
      <c r="A2461" s="70" t="s">
        <v>2853</v>
      </c>
      <c r="B2461" s="21"/>
    </row>
    <row r="2462" spans="1:2">
      <c r="A2462" s="70" t="s">
        <v>2854</v>
      </c>
      <c r="B2462" s="21">
        <v>571508</v>
      </c>
    </row>
    <row r="2463" spans="1:2">
      <c r="A2463" s="70" t="s">
        <v>2855</v>
      </c>
      <c r="B2463" s="21">
        <v>626441</v>
      </c>
    </row>
    <row r="2464" spans="1:2">
      <c r="A2464" s="70" t="s">
        <v>2856</v>
      </c>
      <c r="B2464" s="21">
        <v>643623</v>
      </c>
    </row>
    <row r="2465" spans="1:2">
      <c r="A2465" s="70" t="s">
        <v>2857</v>
      </c>
      <c r="B2465" s="21">
        <v>649100</v>
      </c>
    </row>
    <row r="2466" spans="1:2">
      <c r="A2466" s="70" t="s">
        <v>2858</v>
      </c>
      <c r="B2466" s="21">
        <v>651821</v>
      </c>
    </row>
    <row r="2467" spans="1:2">
      <c r="A2467" s="70" t="s">
        <v>2859</v>
      </c>
      <c r="B2467" s="21">
        <v>656722</v>
      </c>
    </row>
    <row r="2468" spans="1:2">
      <c r="A2468" s="70" t="s">
        <v>2860</v>
      </c>
      <c r="B2468" s="21"/>
    </row>
    <row r="2469" spans="1:2">
      <c r="A2469" s="70" t="s">
        <v>2861</v>
      </c>
      <c r="B2469" s="21">
        <v>655901</v>
      </c>
    </row>
    <row r="2470" spans="1:2">
      <c r="A2470" s="70" t="s">
        <v>2862</v>
      </c>
      <c r="B2470" s="21">
        <v>660614</v>
      </c>
    </row>
    <row r="2471" spans="1:2">
      <c r="A2471" s="70" t="s">
        <v>2863</v>
      </c>
      <c r="B2471" s="21">
        <v>665806</v>
      </c>
    </row>
    <row r="2472" spans="1:2">
      <c r="A2472" s="70" t="s">
        <v>2864</v>
      </c>
      <c r="B2472" s="21">
        <v>667373</v>
      </c>
    </row>
    <row r="2473" spans="1:2">
      <c r="A2473" s="70" t="s">
        <v>2865</v>
      </c>
      <c r="B2473" s="21">
        <v>668397</v>
      </c>
    </row>
    <row r="2474" spans="1:2">
      <c r="A2474" s="70" t="s">
        <v>2866</v>
      </c>
      <c r="B2474" s="21">
        <v>673065</v>
      </c>
    </row>
    <row r="2475" spans="1:2">
      <c r="A2475" s="70" t="s">
        <v>2867</v>
      </c>
      <c r="B2475" s="21"/>
    </row>
    <row r="2476" spans="1:2">
      <c r="A2476" s="70" t="s">
        <v>2868</v>
      </c>
      <c r="B2476" s="21">
        <v>673311</v>
      </c>
    </row>
    <row r="2477" spans="1:2">
      <c r="A2477" s="70" t="s">
        <v>49</v>
      </c>
      <c r="B2477" s="21">
        <v>672704</v>
      </c>
    </row>
    <row r="2478" spans="1:2">
      <c r="A2478" s="70" t="s">
        <v>2869</v>
      </c>
      <c r="B2478" s="21">
        <v>676219</v>
      </c>
    </row>
    <row r="2479" spans="1:2">
      <c r="A2479" s="70" t="s">
        <v>2870</v>
      </c>
      <c r="B2479" s="21">
        <v>676525</v>
      </c>
    </row>
    <row r="2480" spans="1:2">
      <c r="A2480" s="70" t="s">
        <v>2871</v>
      </c>
      <c r="B2480" s="21">
        <v>678944</v>
      </c>
    </row>
    <row r="2481" spans="1:2">
      <c r="A2481" s="70" t="s">
        <v>2872</v>
      </c>
      <c r="B2481" s="21">
        <v>684030</v>
      </c>
    </row>
    <row r="2482" spans="1:2">
      <c r="A2482" s="70" t="s">
        <v>2873</v>
      </c>
      <c r="B2482" s="21"/>
    </row>
    <row r="2483" spans="1:2">
      <c r="A2483" s="70" t="s">
        <v>2874</v>
      </c>
      <c r="B2483" s="21">
        <v>681704</v>
      </c>
    </row>
    <row r="2484" spans="1:2">
      <c r="A2484" s="70" t="s">
        <v>2875</v>
      </c>
      <c r="B2484" s="21">
        <v>682786</v>
      </c>
    </row>
    <row r="2485" spans="1:2">
      <c r="A2485" s="70" t="s">
        <v>2876</v>
      </c>
      <c r="B2485" s="21">
        <v>682159</v>
      </c>
    </row>
    <row r="2486" spans="1:2">
      <c r="A2486" s="70" t="s">
        <v>2877</v>
      </c>
      <c r="B2486" s="21">
        <v>687655</v>
      </c>
    </row>
    <row r="2487" spans="1:2">
      <c r="A2487" s="70" t="s">
        <v>2878</v>
      </c>
      <c r="B2487" s="21">
        <v>689662</v>
      </c>
    </row>
    <row r="2488" spans="1:2">
      <c r="A2488" s="70" t="s">
        <v>2879</v>
      </c>
      <c r="B2488" s="21">
        <v>689647</v>
      </c>
    </row>
    <row r="2489" spans="1:2">
      <c r="A2489" s="70" t="s">
        <v>2880</v>
      </c>
      <c r="B2489" s="21"/>
    </row>
    <row r="2490" spans="1:2">
      <c r="A2490" s="70" t="s">
        <v>2881</v>
      </c>
      <c r="B2490" s="21">
        <v>681396</v>
      </c>
    </row>
    <row r="2491" spans="1:2">
      <c r="A2491" s="70" t="s">
        <v>2882</v>
      </c>
      <c r="B2491" s="21">
        <v>683004</v>
      </c>
    </row>
    <row r="2492" spans="1:2">
      <c r="A2492" s="70" t="s">
        <v>2883</v>
      </c>
      <c r="B2492" s="21">
        <v>691237</v>
      </c>
    </row>
    <row r="2493" spans="1:2">
      <c r="A2493" s="70" t="s">
        <v>2884</v>
      </c>
      <c r="B2493" s="21"/>
    </row>
    <row r="2494" spans="1:2">
      <c r="A2494" s="70" t="s">
        <v>2885</v>
      </c>
      <c r="B2494" s="21">
        <v>686273</v>
      </c>
    </row>
    <row r="2495" spans="1:2">
      <c r="A2495" s="70" t="s">
        <v>2886</v>
      </c>
      <c r="B2495" s="21">
        <v>684000</v>
      </c>
    </row>
    <row r="2496" spans="1:2">
      <c r="A2496" s="70" t="s">
        <v>2887</v>
      </c>
      <c r="B2496" s="21"/>
    </row>
    <row r="2497" spans="1:2">
      <c r="A2497" s="70" t="s">
        <v>2888</v>
      </c>
      <c r="B2497" s="21">
        <v>682918</v>
      </c>
    </row>
    <row r="2498" spans="1:2">
      <c r="A2498" s="70" t="s">
        <v>2889</v>
      </c>
      <c r="B2498" s="21">
        <v>684342</v>
      </c>
    </row>
    <row r="2499" spans="1:2">
      <c r="A2499" s="70" t="s">
        <v>2890</v>
      </c>
      <c r="B2499" s="21">
        <v>684268</v>
      </c>
    </row>
    <row r="2500" spans="1:2">
      <c r="A2500" s="70" t="s">
        <v>2891</v>
      </c>
      <c r="B2500" s="21">
        <v>693065</v>
      </c>
    </row>
    <row r="2501" spans="1:2">
      <c r="A2501" s="70" t="s">
        <v>2892</v>
      </c>
      <c r="B2501" s="21">
        <v>694152</v>
      </c>
    </row>
    <row r="2502" spans="1:2">
      <c r="A2502" s="70" t="s">
        <v>2893</v>
      </c>
      <c r="B2502" s="21">
        <v>695417</v>
      </c>
    </row>
    <row r="2503" spans="1:2">
      <c r="A2503" s="70" t="s">
        <v>2894</v>
      </c>
      <c r="B2503" s="21"/>
    </row>
    <row r="2504" spans="1:2">
      <c r="A2504" s="70" t="s">
        <v>2895</v>
      </c>
      <c r="B2504" s="21">
        <v>701070</v>
      </c>
    </row>
    <row r="2505" spans="1:2">
      <c r="A2505" s="70" t="s">
        <v>2896</v>
      </c>
      <c r="B2505" s="21">
        <v>702080</v>
      </c>
    </row>
    <row r="2506" spans="1:2">
      <c r="A2506" s="70" t="s">
        <v>2897</v>
      </c>
      <c r="B2506" s="21">
        <v>701392</v>
      </c>
    </row>
    <row r="2507" spans="1:2">
      <c r="A2507" s="70" t="s">
        <v>2898</v>
      </c>
      <c r="B2507" s="21"/>
    </row>
    <row r="2508" spans="1:2">
      <c r="A2508" s="70" t="s">
        <v>2899</v>
      </c>
      <c r="B2508" s="21">
        <v>697126</v>
      </c>
    </row>
    <row r="2509" spans="1:2">
      <c r="A2509" s="70" t="s">
        <v>2900</v>
      </c>
      <c r="B2509" s="21">
        <v>697230</v>
      </c>
    </row>
    <row r="2510" spans="1:2">
      <c r="A2510" s="70" t="s">
        <v>2901</v>
      </c>
      <c r="B2510" s="21"/>
    </row>
    <row r="2511" spans="1:2">
      <c r="A2511" s="70" t="s">
        <v>2902</v>
      </c>
      <c r="B2511" s="21">
        <v>695896</v>
      </c>
    </row>
    <row r="2512" spans="1:2">
      <c r="A2512" s="70" t="s">
        <v>2903</v>
      </c>
      <c r="B2512" s="21">
        <v>695420</v>
      </c>
    </row>
    <row r="2513" spans="1:2">
      <c r="A2513" s="70" t="s">
        <v>2904</v>
      </c>
      <c r="B2513" s="21">
        <v>695462</v>
      </c>
    </row>
    <row r="2514" spans="1:2">
      <c r="A2514" s="70" t="s">
        <v>2905</v>
      </c>
      <c r="B2514" s="21">
        <v>690889</v>
      </c>
    </row>
    <row r="2515" spans="1:2">
      <c r="A2515" s="70" t="s">
        <v>2906</v>
      </c>
      <c r="B2515" s="21">
        <v>696630</v>
      </c>
    </row>
    <row r="2516" spans="1:2">
      <c r="A2516" s="70" t="s">
        <v>2907</v>
      </c>
      <c r="B2516" s="21">
        <v>699284</v>
      </c>
    </row>
    <row r="2517" spans="1:2">
      <c r="A2517" s="70" t="s">
        <v>2908</v>
      </c>
      <c r="B2517" s="21"/>
    </row>
    <row r="2518" spans="1:2">
      <c r="A2518" s="70" t="s">
        <v>2909</v>
      </c>
      <c r="B2518" s="21">
        <v>692773</v>
      </c>
    </row>
    <row r="2519" spans="1:2">
      <c r="A2519" s="70" t="s">
        <v>2910</v>
      </c>
      <c r="B2519" s="21">
        <v>692660</v>
      </c>
    </row>
    <row r="2520" spans="1:2">
      <c r="A2520" s="70" t="s">
        <v>2911</v>
      </c>
      <c r="B2520" s="21"/>
    </row>
    <row r="2521" spans="1:2">
      <c r="A2521" s="70" t="s">
        <v>2912</v>
      </c>
      <c r="B2521" s="21">
        <v>693397</v>
      </c>
    </row>
    <row r="2522" spans="1:2">
      <c r="A2522" s="70" t="s">
        <v>2913</v>
      </c>
      <c r="B2522" s="21">
        <v>694679</v>
      </c>
    </row>
    <row r="2523" spans="1:2">
      <c r="A2523" s="70" t="s">
        <v>2914</v>
      </c>
      <c r="B2523" s="21">
        <v>696358</v>
      </c>
    </row>
    <row r="2524" spans="1:2">
      <c r="A2524" s="70" t="s">
        <v>2915</v>
      </c>
      <c r="B2524" s="21"/>
    </row>
    <row r="2525" spans="1:2">
      <c r="A2525" s="70" t="s">
        <v>2916</v>
      </c>
      <c r="B2525" s="21">
        <v>702068</v>
      </c>
    </row>
    <row r="2526" spans="1:2">
      <c r="A2526" s="70" t="s">
        <v>2917</v>
      </c>
      <c r="B2526" s="21">
        <v>706537</v>
      </c>
    </row>
    <row r="2527" spans="1:2">
      <c r="A2527" s="70" t="s">
        <v>2918</v>
      </c>
      <c r="B2527" s="21">
        <v>708515</v>
      </c>
    </row>
    <row r="2528" spans="1:2">
      <c r="A2528" s="70" t="s">
        <v>2919</v>
      </c>
      <c r="B2528" s="21">
        <v>707739</v>
      </c>
    </row>
    <row r="2529" spans="1:2">
      <c r="A2529" s="70" t="s">
        <v>2920</v>
      </c>
      <c r="B2529" s="21">
        <v>706425</v>
      </c>
    </row>
    <row r="2530" spans="1:2">
      <c r="A2530" s="70" t="s">
        <v>2921</v>
      </c>
      <c r="B2530" s="21">
        <v>703401</v>
      </c>
    </row>
    <row r="2531" spans="1:2">
      <c r="A2531" s="70" t="s">
        <v>2922</v>
      </c>
      <c r="B2531" s="21"/>
    </row>
    <row r="2532" spans="1:2">
      <c r="A2532" s="70" t="s">
        <v>2923</v>
      </c>
      <c r="B2532" s="21">
        <v>708131</v>
      </c>
    </row>
    <row r="2533" spans="1:2">
      <c r="A2533" s="70" t="s">
        <v>2924</v>
      </c>
      <c r="B2533" s="21">
        <v>707611</v>
      </c>
    </row>
    <row r="2534" spans="1:2">
      <c r="A2534" s="70" t="s">
        <v>2925</v>
      </c>
      <c r="B2534" s="21">
        <v>708935</v>
      </c>
    </row>
    <row r="2535" spans="1:2">
      <c r="A2535" s="70" t="s">
        <v>2926</v>
      </c>
      <c r="B2535" s="21">
        <v>709197</v>
      </c>
    </row>
    <row r="2536" spans="1:2">
      <c r="A2536" s="70" t="s">
        <v>2927</v>
      </c>
      <c r="B2536" s="21">
        <v>711114</v>
      </c>
    </row>
    <row r="2537" spans="1:2">
      <c r="A2537" s="70" t="s">
        <v>2928</v>
      </c>
      <c r="B2537" s="21">
        <v>714343</v>
      </c>
    </row>
    <row r="2538" spans="1:2">
      <c r="A2538" s="70" t="s">
        <v>2929</v>
      </c>
      <c r="B2538" s="21"/>
    </row>
    <row r="2539" spans="1:2">
      <c r="A2539" s="70" t="s">
        <v>2930</v>
      </c>
      <c r="B2539" s="21">
        <v>706358</v>
      </c>
    </row>
    <row r="2540" spans="1:2">
      <c r="A2540" s="70" t="s">
        <v>2931</v>
      </c>
      <c r="B2540" s="21">
        <v>707972</v>
      </c>
    </row>
    <row r="2541" spans="1:2">
      <c r="A2541" s="70" t="s">
        <v>2932</v>
      </c>
      <c r="B2541" s="21">
        <v>707962</v>
      </c>
    </row>
    <row r="2542" spans="1:2">
      <c r="A2542" s="70" t="s">
        <v>2933</v>
      </c>
      <c r="B2542" s="21">
        <v>716113</v>
      </c>
    </row>
    <row r="2543" spans="1:2">
      <c r="A2543" s="70" t="s">
        <v>2934</v>
      </c>
      <c r="B2543" s="21">
        <v>718471</v>
      </c>
    </row>
    <row r="2544" spans="1:2">
      <c r="A2544" s="70" t="s">
        <v>2935</v>
      </c>
      <c r="B2544" s="21">
        <v>736820</v>
      </c>
    </row>
    <row r="2545" spans="1:2">
      <c r="A2545" s="70" t="s">
        <v>2936</v>
      </c>
      <c r="B2545" s="21"/>
    </row>
    <row r="2546" spans="1:2">
      <c r="A2546" s="70" t="s">
        <v>55</v>
      </c>
      <c r="B2546" s="21">
        <v>741620</v>
      </c>
    </row>
    <row r="2547" spans="1:2">
      <c r="A2547" s="70" t="s">
        <v>2937</v>
      </c>
      <c r="B2547" s="21">
        <v>743346</v>
      </c>
    </row>
    <row r="2548" spans="1:2">
      <c r="A2548" s="70" t="s">
        <v>2938</v>
      </c>
      <c r="B2548" s="21">
        <v>739774</v>
      </c>
    </row>
    <row r="2549" spans="1:2">
      <c r="A2549" s="70" t="s">
        <v>2939</v>
      </c>
      <c r="B2549" s="21">
        <v>740497</v>
      </c>
    </row>
    <row r="2550" spans="1:2">
      <c r="A2550" s="70" t="s">
        <v>2940</v>
      </c>
      <c r="B2550" s="21">
        <v>747884</v>
      </c>
    </row>
    <row r="2551" spans="1:2">
      <c r="A2551" s="70" t="s">
        <v>2941</v>
      </c>
      <c r="B2551" s="21">
        <v>749393</v>
      </c>
    </row>
    <row r="2552" spans="1:2">
      <c r="A2552" s="70" t="s">
        <v>2942</v>
      </c>
      <c r="B2552" s="21"/>
    </row>
    <row r="2553" spans="1:2">
      <c r="A2553" s="70" t="s">
        <v>2943</v>
      </c>
      <c r="B2553" s="21">
        <v>747533</v>
      </c>
    </row>
    <row r="2554" spans="1:2">
      <c r="A2554" s="70" t="s">
        <v>2944</v>
      </c>
      <c r="B2554" s="21">
        <v>751585</v>
      </c>
    </row>
    <row r="2555" spans="1:2">
      <c r="A2555" s="70" t="s">
        <v>2945</v>
      </c>
      <c r="B2555" s="21">
        <v>748038</v>
      </c>
    </row>
    <row r="2556" spans="1:2">
      <c r="A2556" s="70" t="s">
        <v>2946</v>
      </c>
      <c r="B2556" s="21">
        <v>750793</v>
      </c>
    </row>
    <row r="2557" spans="1:2">
      <c r="A2557" s="70" t="s">
        <v>2947</v>
      </c>
      <c r="B2557" s="21"/>
    </row>
    <row r="2558" spans="1:2">
      <c r="A2558" s="70" t="s">
        <v>2948</v>
      </c>
      <c r="B2558" s="21"/>
    </row>
    <row r="2559" spans="1:2">
      <c r="A2559" s="70" t="s">
        <v>2949</v>
      </c>
      <c r="B2559" s="21"/>
    </row>
    <row r="2560" spans="1:2">
      <c r="A2560" s="70" t="s">
        <v>2950</v>
      </c>
      <c r="B2560" s="21"/>
    </row>
    <row r="2561" spans="1:2">
      <c r="A2561" s="70" t="s">
        <v>2951</v>
      </c>
      <c r="B2561" s="21"/>
    </row>
    <row r="2562" spans="1:2">
      <c r="A2562" s="70" t="s">
        <v>2952</v>
      </c>
      <c r="B2562" s="21">
        <v>742049</v>
      </c>
    </row>
    <row r="2563" spans="1:2">
      <c r="A2563" s="70" t="s">
        <v>2953</v>
      </c>
      <c r="B2563" s="21">
        <v>742493</v>
      </c>
    </row>
    <row r="2564" spans="1:2">
      <c r="A2564" s="70" t="s">
        <v>2954</v>
      </c>
      <c r="B2564" s="21">
        <v>742400</v>
      </c>
    </row>
    <row r="2565" spans="1:2">
      <c r="A2565" s="70" t="s">
        <v>2955</v>
      </c>
      <c r="B2565" s="21"/>
    </row>
    <row r="2566" spans="1:2">
      <c r="A2566" s="70" t="s">
        <v>2956</v>
      </c>
      <c r="B2566" s="21">
        <v>745716</v>
      </c>
    </row>
    <row r="2567" spans="1:2">
      <c r="A2567" s="70" t="s">
        <v>2957</v>
      </c>
      <c r="B2567" s="21">
        <v>746897</v>
      </c>
    </row>
    <row r="2568" spans="1:2">
      <c r="A2568" s="70" t="s">
        <v>2958</v>
      </c>
      <c r="B2568" s="21"/>
    </row>
    <row r="2569" spans="1:2">
      <c r="A2569" s="70" t="s">
        <v>2959</v>
      </c>
      <c r="B2569" s="21"/>
    </row>
    <row r="2570" spans="1:2">
      <c r="A2570" s="70" t="s">
        <v>2960</v>
      </c>
      <c r="B2570" s="21"/>
    </row>
    <row r="2571" spans="1:2">
      <c r="A2571" s="70" t="s">
        <v>2961</v>
      </c>
      <c r="B2571" s="21">
        <v>747356</v>
      </c>
    </row>
    <row r="2572" spans="1:2">
      <c r="A2572" s="70" t="s">
        <v>2962</v>
      </c>
      <c r="B2572" s="21"/>
    </row>
    <row r="2573" spans="1:2">
      <c r="A2573" s="70" t="s">
        <v>2963</v>
      </c>
      <c r="B2573" s="21">
        <v>757363</v>
      </c>
    </row>
    <row r="2574" spans="1:2">
      <c r="A2574" s="70" t="s">
        <v>2964</v>
      </c>
      <c r="B2574" s="21">
        <v>753737</v>
      </c>
    </row>
    <row r="2575" spans="1:2">
      <c r="A2575" s="70" t="s">
        <v>2965</v>
      </c>
      <c r="B2575" s="21">
        <v>754210</v>
      </c>
    </row>
    <row r="2576" spans="1:2">
      <c r="A2576" s="70" t="s">
        <v>2966</v>
      </c>
      <c r="B2576" s="21">
        <v>750562</v>
      </c>
    </row>
    <row r="2577" spans="1:2">
      <c r="A2577" s="70" t="s">
        <v>2967</v>
      </c>
      <c r="B2577" s="21">
        <v>752251</v>
      </c>
    </row>
    <row r="2578" spans="1:2">
      <c r="A2578" s="70" t="s">
        <v>2968</v>
      </c>
      <c r="B2578" s="21">
        <v>761500</v>
      </c>
    </row>
    <row r="2579" spans="1:2">
      <c r="A2579" s="70" t="s">
        <v>2969</v>
      </c>
      <c r="B2579" s="21"/>
    </row>
    <row r="2580" spans="1:2">
      <c r="A2580" s="70" t="s">
        <v>2970</v>
      </c>
      <c r="B2580" s="21">
        <v>780519</v>
      </c>
    </row>
    <row r="2581" spans="1:2">
      <c r="A2581" s="70" t="s">
        <v>2971</v>
      </c>
      <c r="B2581" s="21">
        <v>781501</v>
      </c>
    </row>
    <row r="2582" spans="1:2">
      <c r="A2582" s="70" t="s">
        <v>2972</v>
      </c>
      <c r="B2582" s="21">
        <v>785314</v>
      </c>
    </row>
    <row r="2583" spans="1:2">
      <c r="A2583" s="70" t="s">
        <v>2973</v>
      </c>
      <c r="B2583" s="21">
        <v>783237</v>
      </c>
    </row>
    <row r="2584" spans="1:2">
      <c r="A2584" s="70" t="s">
        <v>2974</v>
      </c>
      <c r="B2584" s="21">
        <v>781931</v>
      </c>
    </row>
    <row r="2585" spans="1:2">
      <c r="A2585" s="70" t="s">
        <v>2975</v>
      </c>
      <c r="B2585" s="21">
        <v>790663</v>
      </c>
    </row>
    <row r="2586" spans="1:2">
      <c r="A2586" s="70" t="s">
        <v>2976</v>
      </c>
      <c r="B2586" s="21"/>
    </row>
    <row r="2587" spans="1:2">
      <c r="A2587" s="70" t="s">
        <v>2977</v>
      </c>
      <c r="B2587" s="21">
        <v>792830</v>
      </c>
    </row>
    <row r="2588" spans="1:2">
      <c r="A2588" s="70" t="s">
        <v>2978</v>
      </c>
      <c r="B2588" s="21">
        <v>789869</v>
      </c>
    </row>
    <row r="2589" spans="1:2">
      <c r="A2589" s="70" t="s">
        <v>2979</v>
      </c>
      <c r="B2589" s="21">
        <v>790669</v>
      </c>
    </row>
    <row r="2590" spans="1:2">
      <c r="A2590" s="70" t="s">
        <v>2980</v>
      </c>
      <c r="B2590" s="21">
        <v>798014</v>
      </c>
    </row>
    <row r="2591" spans="1:2">
      <c r="A2591" s="70" t="s">
        <v>2981</v>
      </c>
      <c r="B2591" s="21">
        <v>794827</v>
      </c>
    </row>
    <row r="2592" spans="1:2">
      <c r="A2592" s="70" t="s">
        <v>2982</v>
      </c>
      <c r="B2592" s="21"/>
    </row>
    <row r="2593" spans="1:2">
      <c r="A2593" s="70" t="s">
        <v>2983</v>
      </c>
      <c r="B2593" s="21"/>
    </row>
    <row r="2594" spans="1:2">
      <c r="A2594" s="70" t="s">
        <v>2984</v>
      </c>
      <c r="B2594" s="21">
        <v>788281</v>
      </c>
    </row>
    <row r="2595" spans="1:2">
      <c r="A2595" s="70" t="s">
        <v>2985</v>
      </c>
      <c r="B2595" s="21">
        <v>787069</v>
      </c>
    </row>
    <row r="2596" spans="1:2">
      <c r="A2596" s="70" t="s">
        <v>2986</v>
      </c>
      <c r="B2596" s="21">
        <v>786563</v>
      </c>
    </row>
    <row r="2597" spans="1:2">
      <c r="A2597" s="70" t="s">
        <v>52</v>
      </c>
      <c r="B2597" s="21">
        <v>787331</v>
      </c>
    </row>
    <row r="2598" spans="1:2">
      <c r="A2598" s="70" t="s">
        <v>2987</v>
      </c>
      <c r="B2598" s="21">
        <v>787635</v>
      </c>
    </row>
    <row r="2599" spans="1:2">
      <c r="A2599" s="70" t="s">
        <v>2988</v>
      </c>
      <c r="B2599" s="21">
        <v>784125</v>
      </c>
    </row>
    <row r="2600" spans="1:2">
      <c r="A2600" s="70" t="s">
        <v>2989</v>
      </c>
      <c r="B2600" s="21"/>
    </row>
    <row r="2601" spans="1:2">
      <c r="A2601" s="70" t="s">
        <v>61</v>
      </c>
      <c r="B2601" s="21">
        <v>782169</v>
      </c>
    </row>
    <row r="2602" spans="1:2">
      <c r="A2602" s="70" t="s">
        <v>2990</v>
      </c>
      <c r="B2602" s="21">
        <v>780552</v>
      </c>
    </row>
    <row r="2603" spans="1:2">
      <c r="A2603" s="70" t="s">
        <v>2991</v>
      </c>
      <c r="B2603" s="21">
        <v>780659</v>
      </c>
    </row>
    <row r="2604" spans="1:2">
      <c r="A2604" s="70" t="s">
        <v>2992</v>
      </c>
      <c r="B2604" s="21">
        <v>781741</v>
      </c>
    </row>
    <row r="2605" spans="1:2">
      <c r="A2605" s="70" t="s">
        <v>2993</v>
      </c>
      <c r="B2605" s="21">
        <v>785848</v>
      </c>
    </row>
    <row r="2606" spans="1:2">
      <c r="A2606" s="70" t="s">
        <v>2994</v>
      </c>
      <c r="B2606" s="21">
        <v>786873</v>
      </c>
    </row>
    <row r="2607" spans="1:2">
      <c r="A2607" s="70" t="s">
        <v>2995</v>
      </c>
      <c r="B2607" s="21"/>
    </row>
    <row r="2608" spans="1:2">
      <c r="A2608" s="70" t="s">
        <v>2996</v>
      </c>
      <c r="B2608" s="21">
        <v>783271</v>
      </c>
    </row>
    <row r="2609" spans="1:2">
      <c r="A2609" s="70" t="s">
        <v>2997</v>
      </c>
      <c r="B2609" s="21">
        <v>780612</v>
      </c>
    </row>
    <row r="2610" spans="1:2">
      <c r="A2610" s="70" t="s">
        <v>2998</v>
      </c>
      <c r="B2610" s="21">
        <v>780828</v>
      </c>
    </row>
    <row r="2611" spans="1:2">
      <c r="A2611" s="70" t="s">
        <v>2999</v>
      </c>
      <c r="B2611" s="21">
        <v>771556</v>
      </c>
    </row>
    <row r="2612" spans="1:2">
      <c r="A2612" s="70" t="s">
        <v>3000</v>
      </c>
      <c r="B2612" s="21">
        <v>776710</v>
      </c>
    </row>
    <row r="2613" spans="1:2">
      <c r="A2613" s="70" t="s">
        <v>3001</v>
      </c>
      <c r="B2613" s="21">
        <v>781145</v>
      </c>
    </row>
    <row r="2614" spans="1:2">
      <c r="A2614" s="70" t="s">
        <v>3002</v>
      </c>
      <c r="B2614" s="21"/>
    </row>
    <row r="2615" spans="1:2">
      <c r="A2615" s="70" t="s">
        <v>3003</v>
      </c>
      <c r="B2615" s="21">
        <v>776930</v>
      </c>
    </row>
    <row r="2616" spans="1:2">
      <c r="A2616" s="70" t="s">
        <v>3004</v>
      </c>
      <c r="B2616" s="21">
        <v>778155</v>
      </c>
    </row>
    <row r="2617" spans="1:2">
      <c r="A2617" s="70" t="s">
        <v>3005</v>
      </c>
      <c r="B2617" s="21">
        <v>777527</v>
      </c>
    </row>
    <row r="2618" spans="1:2">
      <c r="A2618" s="70" t="s">
        <v>3006</v>
      </c>
      <c r="B2618" s="21">
        <v>780144</v>
      </c>
    </row>
    <row r="2619" spans="1:2">
      <c r="A2619" s="70" t="s">
        <v>3007</v>
      </c>
      <c r="B2619" s="21">
        <v>780510</v>
      </c>
    </row>
    <row r="2620" spans="1:2">
      <c r="A2620" s="70" t="s">
        <v>3008</v>
      </c>
      <c r="B2620" s="21">
        <v>784835</v>
      </c>
    </row>
    <row r="2621" spans="1:2">
      <c r="A2621" s="70" t="s">
        <v>3009</v>
      </c>
      <c r="B2621" s="21"/>
    </row>
    <row r="2622" spans="1:2">
      <c r="A2622" s="70" t="s">
        <v>3010</v>
      </c>
      <c r="B2622" s="21">
        <v>785346</v>
      </c>
    </row>
    <row r="2623" spans="1:2">
      <c r="A2623" s="70" t="s">
        <v>3011</v>
      </c>
      <c r="B2623" s="21">
        <v>786531</v>
      </c>
    </row>
    <row r="2624" spans="1:2">
      <c r="A2624" s="70" t="s">
        <v>3012</v>
      </c>
      <c r="B2624" s="21">
        <v>786272</v>
      </c>
    </row>
    <row r="2625" spans="1:2">
      <c r="A2625" s="70" t="s">
        <v>3013</v>
      </c>
      <c r="B2625" s="21">
        <v>787487</v>
      </c>
    </row>
    <row r="2626" spans="1:2">
      <c r="A2626" s="70" t="s">
        <v>3014</v>
      </c>
      <c r="B2626" s="21">
        <v>783781</v>
      </c>
    </row>
    <row r="2627" spans="1:2">
      <c r="A2627" s="70" t="s">
        <v>3015</v>
      </c>
      <c r="B2627" s="21">
        <v>781455</v>
      </c>
    </row>
    <row r="2628" spans="1:2">
      <c r="A2628" s="70" t="s">
        <v>3016</v>
      </c>
      <c r="B2628" s="21"/>
    </row>
    <row r="2629" spans="1:2">
      <c r="A2629" s="70" t="s">
        <v>3017</v>
      </c>
      <c r="B2629" s="21">
        <v>785704</v>
      </c>
    </row>
    <row r="2630" spans="1:2">
      <c r="A2630" s="70" t="s">
        <v>3018</v>
      </c>
      <c r="B2630" s="21">
        <v>785718</v>
      </c>
    </row>
    <row r="2631" spans="1:2">
      <c r="A2631" s="70" t="s">
        <v>3019</v>
      </c>
      <c r="B2631" s="21">
        <v>785840</v>
      </c>
    </row>
    <row r="2632" spans="1:2">
      <c r="A2632" s="70" t="s">
        <v>3020</v>
      </c>
      <c r="B2632" s="21">
        <v>791930</v>
      </c>
    </row>
    <row r="2633" spans="1:2">
      <c r="A2633" s="70" t="s">
        <v>3021</v>
      </c>
      <c r="B2633" s="21"/>
    </row>
    <row r="2634" spans="1:2">
      <c r="A2634" s="70" t="s">
        <v>3022</v>
      </c>
      <c r="B2634" s="21"/>
    </row>
    <row r="2635" spans="1:2">
      <c r="A2635" s="70" t="s">
        <v>3023</v>
      </c>
      <c r="B2635" s="21"/>
    </row>
    <row r="2636" spans="1:2">
      <c r="A2636" s="70" t="s">
        <v>3024</v>
      </c>
      <c r="B2636" s="21">
        <v>788891</v>
      </c>
    </row>
    <row r="2637" spans="1:2">
      <c r="A2637" s="70" t="s">
        <v>3025</v>
      </c>
      <c r="B2637" s="21">
        <v>788145</v>
      </c>
    </row>
    <row r="2638" spans="1:2">
      <c r="A2638" s="70" t="s">
        <v>3026</v>
      </c>
      <c r="B2638" s="21">
        <v>788645</v>
      </c>
    </row>
    <row r="2639" spans="1:2">
      <c r="A2639" s="70" t="s">
        <v>3027</v>
      </c>
      <c r="B2639" s="21">
        <v>790561</v>
      </c>
    </row>
    <row r="2640" spans="1:2">
      <c r="A2640" s="70" t="s">
        <v>3028</v>
      </c>
      <c r="B2640" s="21">
        <v>791002</v>
      </c>
    </row>
    <row r="2641" spans="1:2">
      <c r="A2641" s="70" t="s">
        <v>3029</v>
      </c>
      <c r="B2641" s="21">
        <v>791002</v>
      </c>
    </row>
    <row r="2642" spans="1:2">
      <c r="A2642" s="70" t="s">
        <v>3030</v>
      </c>
      <c r="B2642" s="21"/>
    </row>
    <row r="2643" spans="1:2">
      <c r="A2643" s="70" t="s">
        <v>3031</v>
      </c>
      <c r="B2643" s="21"/>
    </row>
    <row r="2644" spans="1:2">
      <c r="A2644" s="70" t="s">
        <v>3032</v>
      </c>
      <c r="B2644" s="21">
        <v>801368</v>
      </c>
    </row>
    <row r="2645" spans="1:2">
      <c r="A2645" s="70" t="s">
        <v>3033</v>
      </c>
      <c r="B2645" s="21">
        <v>801411</v>
      </c>
    </row>
    <row r="2646" spans="1:2">
      <c r="A2646" s="70" t="s">
        <v>3034</v>
      </c>
      <c r="B2646" s="21">
        <v>803943</v>
      </c>
    </row>
    <row r="2647" spans="1:2">
      <c r="A2647" s="70" t="s">
        <v>3035</v>
      </c>
      <c r="B2647" s="21">
        <v>800794</v>
      </c>
    </row>
    <row r="2648" spans="1:2">
      <c r="A2648" s="70" t="s">
        <v>3036</v>
      </c>
      <c r="B2648" s="21"/>
    </row>
    <row r="2649" spans="1:2">
      <c r="A2649" s="70" t="s">
        <v>3037</v>
      </c>
      <c r="B2649" s="21"/>
    </row>
    <row r="2650" spans="1:2">
      <c r="A2650" s="70" t="s">
        <v>3038</v>
      </c>
      <c r="B2650" s="21">
        <v>800794</v>
      </c>
    </row>
    <row r="2651" spans="1:2">
      <c r="A2651" s="70" t="s">
        <v>3039</v>
      </c>
      <c r="B2651" s="21">
        <v>800226</v>
      </c>
    </row>
    <row r="2652" spans="1:2">
      <c r="A2652" s="70" t="s">
        <v>3040</v>
      </c>
      <c r="B2652" s="21">
        <v>799642</v>
      </c>
    </row>
    <row r="2653" spans="1:2">
      <c r="A2653" s="70" t="s">
        <v>3041</v>
      </c>
      <c r="B2653" s="21">
        <v>800096</v>
      </c>
    </row>
    <row r="2654" spans="1:2">
      <c r="A2654" s="70" t="s">
        <v>3042</v>
      </c>
      <c r="B2654" s="21">
        <v>804837</v>
      </c>
    </row>
    <row r="2655" spans="1:2">
      <c r="A2655" s="70" t="s">
        <v>3043</v>
      </c>
      <c r="B2655" s="21">
        <v>804946</v>
      </c>
    </row>
    <row r="2656" spans="1:2">
      <c r="A2656" s="70" t="s">
        <v>3044</v>
      </c>
      <c r="B2656" s="21"/>
    </row>
    <row r="2657" spans="1:2">
      <c r="A2657" s="70" t="s">
        <v>3045</v>
      </c>
      <c r="B2657" s="21">
        <v>812220</v>
      </c>
    </row>
    <row r="2658" spans="1:2">
      <c r="A2658" s="70" t="s">
        <v>3046</v>
      </c>
      <c r="B2658" s="21">
        <v>811452</v>
      </c>
    </row>
    <row r="2659" spans="1:2">
      <c r="A2659" s="70" t="s">
        <v>3047</v>
      </c>
      <c r="B2659" s="21">
        <v>809818</v>
      </c>
    </row>
    <row r="2660" spans="1:2">
      <c r="A2660" s="70" t="s">
        <v>3048</v>
      </c>
      <c r="B2660" s="21">
        <v>815874</v>
      </c>
    </row>
    <row r="2661" spans="1:2">
      <c r="A2661" s="70" t="s">
        <v>3049</v>
      </c>
      <c r="B2661" s="21">
        <v>815887</v>
      </c>
    </row>
    <row r="2662" spans="1:2">
      <c r="A2662" s="70" t="s">
        <v>3050</v>
      </c>
      <c r="B2662" s="21">
        <v>818999</v>
      </c>
    </row>
    <row r="2663" spans="1:2">
      <c r="A2663" s="70" t="s">
        <v>3051</v>
      </c>
      <c r="B2663" s="21"/>
    </row>
    <row r="2664" spans="1:2">
      <c r="A2664" s="70" t="s">
        <v>3052</v>
      </c>
      <c r="B2664" s="21"/>
    </row>
    <row r="2665" spans="1:2">
      <c r="A2665" s="70" t="s">
        <v>3053</v>
      </c>
      <c r="B2665" s="21"/>
    </row>
    <row r="2666" spans="1:2">
      <c r="A2666" s="70" t="s">
        <v>3054</v>
      </c>
      <c r="B2666" s="21">
        <v>817852</v>
      </c>
    </row>
    <row r="2667" spans="1:2">
      <c r="A2667" s="70" t="s">
        <v>3055</v>
      </c>
      <c r="B2667" s="21">
        <v>815285</v>
      </c>
    </row>
    <row r="2668" spans="1:2">
      <c r="A2668" s="70" t="s">
        <v>3056</v>
      </c>
      <c r="B2668" s="21">
        <v>814616</v>
      </c>
    </row>
    <row r="2669" spans="1:2">
      <c r="A2669" s="70" t="s">
        <v>3057</v>
      </c>
      <c r="B2669" s="21">
        <v>814246</v>
      </c>
    </row>
    <row r="2670" spans="1:2">
      <c r="A2670" s="70" t="s">
        <v>3058</v>
      </c>
      <c r="B2670" s="21"/>
    </row>
    <row r="2671" spans="1:2">
      <c r="A2671" s="70" t="s">
        <v>3059</v>
      </c>
      <c r="B2671" s="21">
        <v>813526</v>
      </c>
    </row>
    <row r="2672" spans="1:2">
      <c r="A2672" s="70" t="s">
        <v>3060</v>
      </c>
      <c r="B2672" s="21">
        <v>812663</v>
      </c>
    </row>
    <row r="2673" spans="1:2">
      <c r="A2673" s="70" t="s">
        <v>3061</v>
      </c>
      <c r="B2673" s="21">
        <v>813110</v>
      </c>
    </row>
    <row r="2674" spans="1:2">
      <c r="A2674" s="70" t="s">
        <v>3062</v>
      </c>
      <c r="B2674" s="21">
        <v>812384</v>
      </c>
    </row>
    <row r="2675" spans="1:2">
      <c r="A2675" s="70" t="s">
        <v>3063</v>
      </c>
      <c r="B2675" s="21">
        <v>808493</v>
      </c>
    </row>
    <row r="2676" spans="1:2">
      <c r="A2676" s="70" t="s">
        <v>3064</v>
      </c>
      <c r="B2676" s="21">
        <v>810141</v>
      </c>
    </row>
    <row r="2677" spans="1:2">
      <c r="A2677" s="70" t="s">
        <v>3065</v>
      </c>
      <c r="B2677" s="21"/>
    </row>
    <row r="2678" spans="1:2">
      <c r="A2678" s="70" t="s">
        <v>3066</v>
      </c>
      <c r="B2678" s="21">
        <v>811209</v>
      </c>
    </row>
    <row r="2679" spans="1:2">
      <c r="A2679" s="70" t="s">
        <v>3067</v>
      </c>
      <c r="B2679" s="21">
        <v>809612</v>
      </c>
    </row>
    <row r="2680" spans="1:2">
      <c r="A2680" s="70" t="s">
        <v>3068</v>
      </c>
      <c r="B2680" s="21">
        <v>809738</v>
      </c>
    </row>
    <row r="2681" spans="1:2">
      <c r="A2681" s="70" t="s">
        <v>3069</v>
      </c>
      <c r="B2681" s="21">
        <v>815390</v>
      </c>
    </row>
    <row r="2682" spans="1:2">
      <c r="A2682" s="70" t="s">
        <v>3070</v>
      </c>
      <c r="B2682" s="21">
        <v>818599</v>
      </c>
    </row>
    <row r="2683" spans="1:2">
      <c r="A2683" s="70" t="s">
        <v>3071</v>
      </c>
      <c r="B2683" s="21">
        <v>818509</v>
      </c>
    </row>
    <row r="2684" spans="1:2">
      <c r="A2684" s="70" t="s">
        <v>3072</v>
      </c>
      <c r="B2684" s="21"/>
    </row>
    <row r="2685" spans="1:2">
      <c r="A2685" s="70" t="s">
        <v>3073</v>
      </c>
      <c r="B2685" s="21">
        <v>817201</v>
      </c>
    </row>
    <row r="2686" spans="1:2">
      <c r="A2686" s="70" t="s">
        <v>3074</v>
      </c>
      <c r="B2686" s="21">
        <v>818286</v>
      </c>
    </row>
    <row r="2687" spans="1:2">
      <c r="A2687" s="70" t="s">
        <v>3075</v>
      </c>
      <c r="B2687" s="21">
        <v>818654</v>
      </c>
    </row>
    <row r="2688" spans="1:2">
      <c r="A2688" s="70" t="s">
        <v>3076</v>
      </c>
      <c r="B2688" s="21">
        <v>809662</v>
      </c>
    </row>
    <row r="2689" spans="1:2">
      <c r="A2689" s="70" t="s">
        <v>3077</v>
      </c>
      <c r="B2689" s="21">
        <v>804208</v>
      </c>
    </row>
    <row r="2690" spans="1:2">
      <c r="A2690" s="70" t="s">
        <v>3078</v>
      </c>
      <c r="B2690" s="21">
        <v>799977</v>
      </c>
    </row>
    <row r="2691" spans="1:2">
      <c r="A2691" s="70" t="s">
        <v>3079</v>
      </c>
      <c r="B2691" s="21"/>
    </row>
    <row r="2692" spans="1:2">
      <c r="A2692" s="70" t="s">
        <v>3080</v>
      </c>
      <c r="B2692" s="21">
        <v>806079</v>
      </c>
    </row>
    <row r="2693" spans="1:2">
      <c r="A2693" s="70" t="s">
        <v>3081</v>
      </c>
      <c r="B2693" s="21">
        <v>808386</v>
      </c>
    </row>
    <row r="2694" spans="1:2">
      <c r="A2694" s="70" t="s">
        <v>3082</v>
      </c>
      <c r="B2694" s="21">
        <v>808598</v>
      </c>
    </row>
    <row r="2695" spans="1:2">
      <c r="A2695" s="70" t="s">
        <v>3083</v>
      </c>
      <c r="B2695" s="21">
        <v>807347</v>
      </c>
    </row>
    <row r="2696" spans="1:2">
      <c r="A2696" s="70" t="s">
        <v>3084</v>
      </c>
      <c r="B2696" s="21">
        <v>808470</v>
      </c>
    </row>
    <row r="2697" spans="1:2">
      <c r="A2697" s="70" t="s">
        <v>3085</v>
      </c>
      <c r="B2697" s="21">
        <v>813700</v>
      </c>
    </row>
    <row r="2698" spans="1:2">
      <c r="A2698" s="70" t="s">
        <v>3086</v>
      </c>
      <c r="B2698" s="21"/>
    </row>
    <row r="2699" spans="1:2">
      <c r="A2699" s="70" t="s">
        <v>3087</v>
      </c>
      <c r="B2699" s="21">
        <v>814652</v>
      </c>
    </row>
    <row r="2700" spans="1:2">
      <c r="A2700" s="70" t="s">
        <v>3088</v>
      </c>
      <c r="B2700" s="21">
        <v>812350</v>
      </c>
    </row>
    <row r="2701" spans="1:2">
      <c r="A2701" s="70" t="s">
        <v>3089</v>
      </c>
      <c r="B2701" s="21">
        <v>813970</v>
      </c>
    </row>
    <row r="2702" spans="1:2">
      <c r="A2702" s="70" t="s">
        <v>3090</v>
      </c>
      <c r="B2702" s="21">
        <v>811421</v>
      </c>
    </row>
    <row r="2703" spans="1:2">
      <c r="A2703" s="70" t="s">
        <v>3091</v>
      </c>
      <c r="B2703" s="21">
        <v>816110</v>
      </c>
    </row>
    <row r="2704" spans="1:2">
      <c r="A2704" s="70" t="s">
        <v>3092</v>
      </c>
      <c r="B2704" s="21"/>
    </row>
    <row r="2705" spans="1:2">
      <c r="A2705" s="70" t="s">
        <v>3093</v>
      </c>
      <c r="B2705" s="21"/>
    </row>
    <row r="2706" spans="1:2">
      <c r="A2706" s="70" t="s">
        <v>3094</v>
      </c>
      <c r="B2706" s="21">
        <v>818800</v>
      </c>
    </row>
    <row r="2707" spans="1:2">
      <c r="A2707" s="70" t="s">
        <v>3095</v>
      </c>
      <c r="B2707" s="21">
        <v>818973</v>
      </c>
    </row>
    <row r="2708" spans="1:2">
      <c r="A2708" s="70" t="s">
        <v>3096</v>
      </c>
      <c r="B2708" s="21">
        <v>818221</v>
      </c>
    </row>
    <row r="2709" spans="1:2">
      <c r="A2709" s="70" t="s">
        <v>3097</v>
      </c>
      <c r="B2709" s="21">
        <v>815764</v>
      </c>
    </row>
    <row r="2710" spans="1:2">
      <c r="A2710" s="70" t="s">
        <v>3098</v>
      </c>
      <c r="B2710" s="21">
        <v>815257</v>
      </c>
    </row>
    <row r="2711" spans="1:2">
      <c r="A2711" s="70" t="s">
        <v>3099</v>
      </c>
      <c r="B2711" s="21">
        <v>814139</v>
      </c>
    </row>
    <row r="2712" spans="1:2">
      <c r="A2712" s="70" t="s">
        <v>3100</v>
      </c>
      <c r="B2712" s="21"/>
    </row>
    <row r="2713" spans="1:2">
      <c r="A2713" s="70" t="s">
        <v>3101</v>
      </c>
      <c r="B2713" s="21">
        <v>818678</v>
      </c>
    </row>
    <row r="2714" spans="1:2">
      <c r="A2714" s="70" t="s">
        <v>3102</v>
      </c>
      <c r="B2714" s="21"/>
    </row>
    <row r="2715" spans="1:2">
      <c r="A2715" s="70" t="s">
        <v>3103</v>
      </c>
      <c r="B2715" s="21">
        <v>817566</v>
      </c>
    </row>
    <row r="2716" spans="1:2">
      <c r="A2716" s="70" t="s">
        <v>3104</v>
      </c>
      <c r="B2716" s="21">
        <v>814977</v>
      </c>
    </row>
    <row r="2717" spans="1:2">
      <c r="A2717" s="70" t="s">
        <v>3105</v>
      </c>
      <c r="B2717" s="21">
        <v>814016</v>
      </c>
    </row>
    <row r="2718" spans="1:2">
      <c r="A2718" s="70" t="s">
        <v>3106</v>
      </c>
      <c r="B2718" s="21">
        <v>811471</v>
      </c>
    </row>
    <row r="2719" spans="1:2">
      <c r="A2719" s="70" t="s">
        <v>3107</v>
      </c>
      <c r="B2719" s="21"/>
    </row>
    <row r="2720" spans="1:2">
      <c r="A2720" s="70" t="s">
        <v>3108</v>
      </c>
      <c r="B2720" s="21">
        <v>817433</v>
      </c>
    </row>
    <row r="2721" spans="1:2">
      <c r="A2721" s="70" t="s">
        <v>3109</v>
      </c>
      <c r="B2721" s="21">
        <v>816375</v>
      </c>
    </row>
    <row r="2722" spans="1:2">
      <c r="A2722" s="70" t="s">
        <v>3110</v>
      </c>
      <c r="B2722" s="21"/>
    </row>
    <row r="2723" spans="1:2">
      <c r="A2723" s="70" t="s">
        <v>3111</v>
      </c>
      <c r="B2723" s="21">
        <v>816965</v>
      </c>
    </row>
    <row r="2724" spans="1:2">
      <c r="A2724" s="70" t="s">
        <v>3112</v>
      </c>
      <c r="B2724" s="21">
        <v>813962</v>
      </c>
    </row>
    <row r="2725" spans="1:2">
      <c r="A2725" s="70" t="s">
        <v>3113</v>
      </c>
      <c r="B2725" s="21">
        <v>815776</v>
      </c>
    </row>
    <row r="2726" spans="1:2">
      <c r="A2726" s="70" t="s">
        <v>3114</v>
      </c>
      <c r="B2726" s="21"/>
    </row>
    <row r="2727" spans="1:2">
      <c r="A2727" s="70" t="s">
        <v>3115</v>
      </c>
      <c r="B2727" s="21">
        <v>821566</v>
      </c>
    </row>
    <row r="2728" spans="1:2">
      <c r="A2728" s="70" t="s">
        <v>3116</v>
      </c>
      <c r="B2728" s="21">
        <v>818868</v>
      </c>
    </row>
    <row r="2729" spans="1:2">
      <c r="A2729" s="70" t="s">
        <v>3117</v>
      </c>
      <c r="B2729" s="21">
        <v>818924</v>
      </c>
    </row>
    <row r="2730" spans="1:2">
      <c r="A2730" s="70" t="s">
        <v>3118</v>
      </c>
      <c r="B2730" s="21">
        <v>821407</v>
      </c>
    </row>
    <row r="2731" spans="1:2">
      <c r="A2731" s="70" t="s">
        <v>3119</v>
      </c>
      <c r="B2731" s="21"/>
    </row>
    <row r="2732" spans="1:2">
      <c r="A2732" s="70" t="s">
        <v>3120</v>
      </c>
      <c r="B2732" s="21">
        <v>819210</v>
      </c>
    </row>
    <row r="2733" spans="1:2">
      <c r="A2733" s="70" t="s">
        <v>3121</v>
      </c>
      <c r="B2733" s="21"/>
    </row>
    <row r="2734" spans="1:2">
      <c r="A2734" s="70" t="s">
        <v>3122</v>
      </c>
      <c r="B2734" s="21">
        <v>819193</v>
      </c>
    </row>
    <row r="2735" spans="1:2">
      <c r="A2735" s="70" t="s">
        <v>3123</v>
      </c>
      <c r="B2735" s="21">
        <v>820601</v>
      </c>
    </row>
    <row r="2736" spans="1:2">
      <c r="A2736" s="70" t="s">
        <v>3124</v>
      </c>
      <c r="B2736" s="21">
        <v>819023</v>
      </c>
    </row>
    <row r="2737" spans="1:2">
      <c r="A2737" s="70" t="s">
        <v>3125</v>
      </c>
      <c r="B2737" s="21">
        <v>822521</v>
      </c>
    </row>
    <row r="2738" spans="1:2">
      <c r="A2738" s="70" t="s">
        <v>3126</v>
      </c>
      <c r="B2738" s="21">
        <v>827809</v>
      </c>
    </row>
    <row r="2739" spans="1:2">
      <c r="A2739" s="70" t="s">
        <v>3127</v>
      </c>
      <c r="B2739" s="21">
        <v>828289</v>
      </c>
    </row>
    <row r="2740" spans="1:2">
      <c r="A2740" s="70" t="s">
        <v>3128</v>
      </c>
      <c r="B2740" s="21"/>
    </row>
    <row r="2741" spans="1:2">
      <c r="A2741" s="70" t="s">
        <v>3129</v>
      </c>
      <c r="B2741" s="21">
        <v>821716</v>
      </c>
    </row>
    <row r="2742" spans="1:2">
      <c r="A2742" s="70" t="s">
        <v>3130</v>
      </c>
      <c r="B2742" s="21">
        <v>820473</v>
      </c>
    </row>
    <row r="2743" spans="1:2">
      <c r="A2743" s="70" t="s">
        <v>3131</v>
      </c>
      <c r="B2743" s="21">
        <v>820360</v>
      </c>
    </row>
    <row r="2744" spans="1:2">
      <c r="A2744" s="70" t="s">
        <v>3132</v>
      </c>
      <c r="B2744" s="21">
        <v>822613</v>
      </c>
    </row>
    <row r="2745" spans="1:2">
      <c r="A2745" s="70" t="s">
        <v>3133</v>
      </c>
      <c r="B2745" s="21">
        <v>824482</v>
      </c>
    </row>
    <row r="2746" spans="1:2">
      <c r="A2746" s="70" t="s">
        <v>3134</v>
      </c>
      <c r="B2746" s="21">
        <v>820588</v>
      </c>
    </row>
    <row r="2747" spans="1:2">
      <c r="A2747" s="70" t="s">
        <v>3135</v>
      </c>
      <c r="B2747" s="21"/>
    </row>
    <row r="2748" spans="1:2">
      <c r="A2748" s="70" t="s">
        <v>3136</v>
      </c>
      <c r="B2748" s="21">
        <v>816982</v>
      </c>
    </row>
    <row r="2749" spans="1:2">
      <c r="A2749" s="70" t="s">
        <v>3137</v>
      </c>
      <c r="B2749" s="21">
        <v>817913</v>
      </c>
    </row>
    <row r="2750" spans="1:2">
      <c r="A2750" s="70" t="s">
        <v>3138</v>
      </c>
      <c r="B2750" s="21">
        <v>819372</v>
      </c>
    </row>
    <row r="2751" spans="1:2">
      <c r="A2751" s="70" t="s">
        <v>3139</v>
      </c>
      <c r="B2751" s="21">
        <v>822844</v>
      </c>
    </row>
    <row r="2752" spans="1:2">
      <c r="A2752" s="70" t="s">
        <v>3140</v>
      </c>
      <c r="B2752" s="21">
        <v>823564</v>
      </c>
    </row>
    <row r="2753" spans="1:2">
      <c r="A2753" s="70" t="s">
        <v>3141</v>
      </c>
      <c r="B2753" s="21">
        <v>823309</v>
      </c>
    </row>
    <row r="2754" spans="1:2">
      <c r="A2754" s="70" t="s">
        <v>3142</v>
      </c>
      <c r="B2754" s="21"/>
    </row>
    <row r="2755" spans="1:2">
      <c r="A2755" s="70" t="s">
        <v>3143</v>
      </c>
      <c r="B2755" s="21">
        <v>824796</v>
      </c>
    </row>
    <row r="2756" spans="1:2">
      <c r="A2756" s="70" t="s">
        <v>3144</v>
      </c>
      <c r="B2756" s="21">
        <v>825083</v>
      </c>
    </row>
    <row r="2757" spans="1:2">
      <c r="A2757" s="70" t="s">
        <v>3145</v>
      </c>
      <c r="B2757" s="21">
        <v>825024</v>
      </c>
    </row>
    <row r="2758" spans="1:2">
      <c r="A2758" s="70" t="s">
        <v>3146</v>
      </c>
      <c r="B2758" s="21">
        <v>822774</v>
      </c>
    </row>
    <row r="2759" spans="1:2">
      <c r="A2759" s="70" t="s">
        <v>3147</v>
      </c>
      <c r="B2759" s="21">
        <v>821680</v>
      </c>
    </row>
    <row r="2760" spans="1:2">
      <c r="A2760" s="70" t="s">
        <v>3148</v>
      </c>
      <c r="B2760" s="21">
        <v>817337</v>
      </c>
    </row>
    <row r="2761" spans="1:2">
      <c r="A2761" s="70" t="s">
        <v>3149</v>
      </c>
      <c r="B2761" s="21"/>
    </row>
    <row r="2762" spans="1:2">
      <c r="A2762" s="70" t="s">
        <v>3150</v>
      </c>
      <c r="B2762" s="21">
        <v>817839</v>
      </c>
    </row>
    <row r="2763" spans="1:2">
      <c r="A2763" s="70" t="s">
        <v>3151</v>
      </c>
      <c r="B2763" s="21">
        <v>816828</v>
      </c>
    </row>
    <row r="2764" spans="1:2">
      <c r="A2764" s="70" t="s">
        <v>3152</v>
      </c>
      <c r="B2764" s="21">
        <v>816582</v>
      </c>
    </row>
    <row r="2765" spans="1:2">
      <c r="A2765" s="70" t="s">
        <v>3153</v>
      </c>
      <c r="B2765" s="21">
        <v>814929</v>
      </c>
    </row>
    <row r="2766" spans="1:2">
      <c r="A2766" s="70" t="s">
        <v>3154</v>
      </c>
      <c r="B2766" s="21">
        <v>817364</v>
      </c>
    </row>
    <row r="2767" spans="1:2">
      <c r="A2767" s="70" t="s">
        <v>3155</v>
      </c>
      <c r="B2767" s="21">
        <v>819117</v>
      </c>
    </row>
    <row r="2768" spans="1:2">
      <c r="A2768" s="70" t="s">
        <v>3156</v>
      </c>
      <c r="B2768" s="21"/>
    </row>
    <row r="2769" spans="1:2">
      <c r="A2769" s="70" t="s">
        <v>3157</v>
      </c>
      <c r="B2769" s="21">
        <v>821633</v>
      </c>
    </row>
    <row r="2770" spans="1:2">
      <c r="A2770" s="70" t="s">
        <v>3158</v>
      </c>
      <c r="B2770" s="21">
        <v>819185</v>
      </c>
    </row>
    <row r="2771" spans="1:2">
      <c r="A2771" s="70" t="s">
        <v>3159</v>
      </c>
      <c r="B2771" s="21">
        <v>819616</v>
      </c>
    </row>
    <row r="2772" spans="1:2">
      <c r="A2772" s="70" t="s">
        <v>3160</v>
      </c>
      <c r="B2772" s="21">
        <v>819975</v>
      </c>
    </row>
    <row r="2773" spans="1:2">
      <c r="A2773" s="70" t="s">
        <v>3161</v>
      </c>
      <c r="B2773" s="21">
        <v>816386</v>
      </c>
    </row>
    <row r="2774" spans="1:2">
      <c r="A2774" s="70" t="s">
        <v>3162</v>
      </c>
      <c r="B2774" s="21"/>
    </row>
    <row r="2775" spans="1:2">
      <c r="A2775" s="70" t="s">
        <v>3163</v>
      </c>
      <c r="B2775" s="21">
        <v>815208</v>
      </c>
    </row>
    <row r="2776" spans="1:2">
      <c r="A2776" s="70" t="s">
        <v>3164</v>
      </c>
      <c r="B2776" s="21"/>
    </row>
    <row r="2777" spans="1:2">
      <c r="A2777" s="70" t="s">
        <v>3165</v>
      </c>
      <c r="B2777" s="21">
        <v>816135</v>
      </c>
    </row>
    <row r="2778" spans="1:2">
      <c r="A2778" s="70" t="s">
        <v>3166</v>
      </c>
      <c r="B2778" s="21">
        <v>819245</v>
      </c>
    </row>
    <row r="2779" spans="1:2">
      <c r="A2779" s="70" t="s">
        <v>3167</v>
      </c>
      <c r="B2779" s="21">
        <v>818928</v>
      </c>
    </row>
    <row r="2780" spans="1:2">
      <c r="A2780" s="70" t="s">
        <v>3168</v>
      </c>
      <c r="B2780" s="21">
        <v>820486</v>
      </c>
    </row>
    <row r="2781" spans="1:2">
      <c r="A2781" s="70" t="s">
        <v>3169</v>
      </c>
      <c r="B2781" s="21">
        <v>822658</v>
      </c>
    </row>
    <row r="2782" spans="1:2">
      <c r="A2782" s="70" t="s">
        <v>3170</v>
      </c>
      <c r="B2782" s="21">
        <v>823311</v>
      </c>
    </row>
    <row r="2783" spans="1:2">
      <c r="A2783" s="70" t="s">
        <v>3171</v>
      </c>
      <c r="B2783" s="21"/>
    </row>
    <row r="2784" spans="1:2">
      <c r="A2784" s="70" t="s">
        <v>3172</v>
      </c>
      <c r="B2784" s="21">
        <v>814689</v>
      </c>
    </row>
    <row r="2785" spans="1:2">
      <c r="A2785" s="70" t="s">
        <v>3173</v>
      </c>
      <c r="B2785" s="21">
        <v>818339</v>
      </c>
    </row>
    <row r="2786" spans="1:2">
      <c r="A2786" s="70" t="s">
        <v>3174</v>
      </c>
      <c r="B2786" s="21">
        <v>814037</v>
      </c>
    </row>
    <row r="2787" spans="1:2">
      <c r="A2787" s="70" t="s">
        <v>3175</v>
      </c>
      <c r="B2787" s="21">
        <v>814099</v>
      </c>
    </row>
    <row r="2788" spans="1:2">
      <c r="A2788" s="70" t="s">
        <v>3176</v>
      </c>
      <c r="B2788" s="21">
        <v>810471</v>
      </c>
    </row>
    <row r="2789" spans="1:2">
      <c r="A2789" s="70" t="s">
        <v>3177</v>
      </c>
      <c r="B2789" s="21">
        <v>810136</v>
      </c>
    </row>
    <row r="2790" spans="1:2">
      <c r="A2790" s="70" t="s">
        <v>3178</v>
      </c>
      <c r="B2790" s="21"/>
    </row>
    <row r="2791" spans="1:2">
      <c r="A2791" s="70" t="s">
        <v>3179</v>
      </c>
      <c r="B2791" s="21">
        <v>816836</v>
      </c>
    </row>
    <row r="2792" spans="1:2">
      <c r="A2792" s="70" t="s">
        <v>3180</v>
      </c>
      <c r="B2792" s="21">
        <v>814445</v>
      </c>
    </row>
    <row r="2793" spans="1:2">
      <c r="A2793" s="70" t="s">
        <v>3181</v>
      </c>
      <c r="B2793" s="21">
        <v>820674</v>
      </c>
    </row>
    <row r="2794" spans="1:2">
      <c r="A2794" s="70" t="s">
        <v>3182</v>
      </c>
      <c r="B2794" s="21">
        <v>821260</v>
      </c>
    </row>
    <row r="2795" spans="1:2">
      <c r="A2795" s="70" t="s">
        <v>3183</v>
      </c>
      <c r="B2795" s="21">
        <v>825196</v>
      </c>
    </row>
    <row r="2796" spans="1:2">
      <c r="A2796" s="70" t="s">
        <v>3184</v>
      </c>
      <c r="B2796" s="21">
        <v>825464</v>
      </c>
    </row>
    <row r="2797" spans="1:2">
      <c r="A2797" s="70" t="s">
        <v>3185</v>
      </c>
      <c r="B2797" s="21"/>
    </row>
    <row r="2798" spans="1:2">
      <c r="A2798" s="70" t="s">
        <v>3186</v>
      </c>
      <c r="B2798" s="21">
        <v>827409</v>
      </c>
    </row>
    <row r="2799" spans="1:2">
      <c r="A2799" s="70" t="s">
        <v>3187</v>
      </c>
      <c r="B2799" s="21">
        <v>829655</v>
      </c>
    </row>
    <row r="2800" spans="1:2">
      <c r="A2800" s="70" t="s">
        <v>3188</v>
      </c>
      <c r="B2800" s="21">
        <v>830262</v>
      </c>
    </row>
    <row r="2801" spans="1:2">
      <c r="A2801" s="70" t="s">
        <v>3189</v>
      </c>
      <c r="B2801" s="21">
        <v>828539</v>
      </c>
    </row>
    <row r="2802" spans="1:2">
      <c r="A2802" s="70" t="s">
        <v>3190</v>
      </c>
      <c r="B2802" s="21">
        <v>827461</v>
      </c>
    </row>
    <row r="2803" spans="1:2">
      <c r="A2803" s="70" t="s">
        <v>3191</v>
      </c>
      <c r="B2803" s="21">
        <v>827261</v>
      </c>
    </row>
    <row r="2804" spans="1:2">
      <c r="A2804" s="70" t="s">
        <v>3192</v>
      </c>
      <c r="B2804" s="21"/>
    </row>
    <row r="2805" spans="1:2">
      <c r="A2805" s="70" t="s">
        <v>3193</v>
      </c>
      <c r="B2805" s="21">
        <v>824809</v>
      </c>
    </row>
    <row r="2806" spans="1:2">
      <c r="A2806" s="70" t="s">
        <v>3194</v>
      </c>
      <c r="B2806" s="21">
        <v>827022</v>
      </c>
    </row>
    <row r="2807" spans="1:2">
      <c r="A2807" s="70" t="s">
        <v>3195</v>
      </c>
      <c r="B2807" s="21"/>
    </row>
    <row r="2808" spans="1:2">
      <c r="A2808" s="70" t="s">
        <v>3196</v>
      </c>
      <c r="B2808" s="21">
        <v>824473</v>
      </c>
    </row>
    <row r="2809" spans="1:2">
      <c r="A2809" s="70" t="s">
        <v>3197</v>
      </c>
      <c r="B2809" s="21">
        <v>825922</v>
      </c>
    </row>
    <row r="2810" spans="1:2">
      <c r="A2810" s="70" t="s">
        <v>3198</v>
      </c>
      <c r="B2810" s="21">
        <v>829603</v>
      </c>
    </row>
    <row r="2811" spans="1:2">
      <c r="A2811" s="70" t="s">
        <v>3199</v>
      </c>
      <c r="B2811" s="21"/>
    </row>
    <row r="2812" spans="1:2">
      <c r="A2812" s="70" t="s">
        <v>3200</v>
      </c>
      <c r="B2812" s="21">
        <v>830193</v>
      </c>
    </row>
    <row r="2813" spans="1:2">
      <c r="A2813" s="70" t="s">
        <v>3201</v>
      </c>
      <c r="B2813" s="21">
        <v>830489</v>
      </c>
    </row>
    <row r="2814" spans="1:2">
      <c r="A2814" s="70" t="s">
        <v>3202</v>
      </c>
      <c r="B2814" s="21">
        <v>830946</v>
      </c>
    </row>
    <row r="2815" spans="1:2">
      <c r="A2815" s="70" t="s">
        <v>3203</v>
      </c>
      <c r="B2815" s="21">
        <v>831564</v>
      </c>
    </row>
    <row r="2816" spans="1:2">
      <c r="A2816" s="70" t="s">
        <v>3204</v>
      </c>
      <c r="B2816" s="21">
        <v>829336</v>
      </c>
    </row>
    <row r="2817" spans="1:2">
      <c r="A2817" s="70" t="s">
        <v>3205</v>
      </c>
      <c r="B2817" s="21">
        <v>836017</v>
      </c>
    </row>
    <row r="2818" spans="1:2">
      <c r="A2818" s="70" t="s">
        <v>3206</v>
      </c>
      <c r="B2818" s="21"/>
    </row>
    <row r="2819" spans="1:2">
      <c r="A2819" s="70" t="s">
        <v>3207</v>
      </c>
      <c r="B2819" s="21">
        <v>834286</v>
      </c>
    </row>
    <row r="2820" spans="1:2">
      <c r="A2820" s="70" t="s">
        <v>3208</v>
      </c>
      <c r="B2820" s="21">
        <v>829571</v>
      </c>
    </row>
    <row r="2821" spans="1:2">
      <c r="A2821" s="70" t="s">
        <v>3209</v>
      </c>
      <c r="B2821" s="21">
        <v>824706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1-2</vt:lpstr>
      <vt:lpstr>درصد ارزیری</vt:lpstr>
      <vt:lpstr>رشته ای</vt:lpstr>
      <vt:lpstr>مکانیک</vt:lpstr>
      <vt:lpstr>ابنیه</vt:lpstr>
      <vt:lpstr>تاسیسات برقی</vt:lpstr>
      <vt:lpstr>راه، راه آهن و باند فرودگاه</vt:lpstr>
      <vt:lpstr>تجهیزات آب و فاضلاب</vt:lpstr>
      <vt:lpstr>Arz </vt:lpstr>
      <vt:lpstr>'1-2'!Print_Area</vt:lpstr>
      <vt:lpstr>'1-2'!Print_Titles</vt:lpstr>
      <vt:lpstr>'درصد ارزیری'!Print_Titles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Poorroshani</dc:creator>
  <cp:keywords/>
  <dc:description/>
  <cp:lastModifiedBy>Arash Tootoonchi</cp:lastModifiedBy>
  <cp:revision>0</cp:revision>
  <dcterms:created xsi:type="dcterms:W3CDTF">2015-06-05T18:17:20Z</dcterms:created>
  <dcterms:modified xsi:type="dcterms:W3CDTF">2025-12-11T13:51:45Z</dcterms:modified>
  <cp:category/>
  <cp:contentStatus/>
</cp:coreProperties>
</file>