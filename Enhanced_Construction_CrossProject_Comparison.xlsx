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sh\Desktop\"/>
    </mc:Choice>
  </mc:AlternateContent>
  <xr:revisionPtr revIDLastSave="0" documentId="13_ncr:1_{F1DBDADE-10EB-48D4-8861-DB4736B5D122}" xr6:coauthVersionLast="47" xr6:coauthVersionMax="47" xr10:uidLastSave="{00000000-0000-0000-0000-000000000000}"/>
  <bookViews>
    <workbookView xWindow="-98" yWindow="-98" windowWidth="21795" windowHeight="13875" tabRatio="500" activeTab="1" xr2:uid="{00000000-000D-0000-FFFF-FFFF00000000}"/>
  </bookViews>
  <sheets>
    <sheet name="مقایسه پروژه‌ها" sheetId="1" r:id="rId1"/>
    <sheet name="Dashboard" sheetId="2" r:id="rId2"/>
    <sheet name="نمودار ابنیه" sheetId="3" r:id="rId3"/>
    <sheet name="نمودار مکانیکی" sheetId="4" r:id="rId4"/>
    <sheet name="نمودار تاسیسات برقی" sheetId="5" r:id="rId5"/>
    <sheet name="نمودار خطوط انتقال " sheetId="6" r:id="rId6"/>
    <sheet name="نمودار شبکه توزیع آ" sheetId="7" r:id="rId7"/>
    <sheet name="نمودار سدسازی" sheetId="8" r:id="rId8"/>
    <sheet name="نمودار جمع‌آوری و ا" sheetId="9" r:id="rId9"/>
    <sheet name="نمودار تجهیزات آب و" sheetId="10" r:id="rId10"/>
    <sheet name="نمودار پست های انتق" sheetId="11" r:id="rId11"/>
    <sheet name="نمودار توزیع نیرو ب" sheetId="12" r:id="rId12"/>
  </sheets>
  <definedNames>
    <definedName name="_xlnm.Print_Area" localSheetId="0">'مقایسه پروژه‌ها'!$A$1:$BL$65</definedName>
    <definedName name="_xlnm.Print_Titles" localSheetId="2">'نمودار ابنیه'!$5:$8,'نمودار ابنیه'!$A:$A</definedName>
    <definedName name="_xlnm.Print_Titles" localSheetId="10">'نمودار پست های انتق'!$5:$8,'نمودار پست های انتق'!$A:$A</definedName>
    <definedName name="_xlnm.Print_Titles" localSheetId="4">'نمودار تاسیسات برقی'!$5:$8,'نمودار تاسیسات برقی'!$A:$A</definedName>
    <definedName name="_xlnm.Print_Titles" localSheetId="9">'نمودار تجهیزات آب و'!$5:$8,'نمودار تجهیزات آب و'!$A:$A</definedName>
    <definedName name="_xlnm.Print_Titles" localSheetId="11">'نمودار توزیع نیرو ب'!$5:$8,'نمودار توزیع نیرو ب'!$A:$A</definedName>
    <definedName name="_xlnm.Print_Titles" localSheetId="8">'نمودار جمع‌آوری و ا'!$5:$8,'نمودار جمع‌آوری و ا'!$A:$A</definedName>
    <definedName name="_xlnm.Print_Titles" localSheetId="5">'نمودار خطوط انتقال '!$5:$8,'نمودار خطوط انتقال '!$A:$A</definedName>
    <definedName name="_xlnm.Print_Titles" localSheetId="7">'نمودار سدسازی'!$5:$8,'نمودار سدسازی'!$A:$A</definedName>
    <definedName name="_xlnm.Print_Titles" localSheetId="6">'نمودار شبکه توزیع آ'!$5:$8,'نمودار شبکه توزیع آ'!$A:$A</definedName>
    <definedName name="_xlnm.Print_Titles" localSheetId="3">'نمودار مکانیکی'!$5:$8,'نمودار مکانیکی'!$A:$A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2" l="1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V13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R13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BK22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BH11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F6" i="4"/>
  <c r="E6" i="4"/>
  <c r="D6" i="4"/>
  <c r="C6" i="4"/>
  <c r="B6" i="4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K6" i="3"/>
  <c r="I6" i="3"/>
  <c r="H6" i="3"/>
  <c r="C260" i="1" a="1"/>
  <c r="C260" i="1" s="1"/>
  <c r="C259" i="1" a="1"/>
  <c r="C259" i="1" s="1"/>
  <c r="C258" i="1" a="1"/>
  <c r="C258" i="1" s="1"/>
  <c r="C257" i="1" a="1"/>
  <c r="C257" i="1" s="1"/>
  <c r="C256" i="1" a="1"/>
  <c r="C256" i="1" s="1"/>
  <c r="C255" i="1" a="1"/>
  <c r="C255" i="1" s="1"/>
  <c r="C254" i="1" a="1"/>
  <c r="C254" i="1" s="1"/>
  <c r="C253" i="1" a="1"/>
  <c r="C253" i="1" s="1"/>
  <c r="C252" i="1" a="1"/>
  <c r="C252" i="1" s="1"/>
  <c r="C251" i="1" a="1"/>
  <c r="C251" i="1" s="1"/>
  <c r="C250" i="1" a="1"/>
  <c r="C250" i="1" s="1"/>
  <c r="C249" i="1" a="1"/>
  <c r="C249" i="1" s="1"/>
  <c r="C248" i="1" a="1"/>
  <c r="C248" i="1" s="1"/>
  <c r="C247" i="1" a="1"/>
  <c r="C247" i="1" s="1"/>
  <c r="C246" i="1" a="1"/>
  <c r="C246" i="1" s="1"/>
  <c r="C245" i="1" a="1"/>
  <c r="C245" i="1" s="1"/>
  <c r="C244" i="1" a="1"/>
  <c r="C244" i="1" s="1"/>
  <c r="C243" i="1" a="1"/>
  <c r="C243" i="1" s="1"/>
  <c r="C242" i="1" a="1"/>
  <c r="C242" i="1" s="1"/>
  <c r="C241" i="1" a="1"/>
  <c r="C241" i="1" s="1"/>
  <c r="C240" i="1" a="1"/>
  <c r="C240" i="1" s="1"/>
  <c r="C239" i="1" a="1"/>
  <c r="C239" i="1" s="1"/>
  <c r="C238" i="1" a="1"/>
  <c r="C238" i="1" s="1"/>
  <c r="C237" i="1" a="1"/>
  <c r="C237" i="1" s="1"/>
  <c r="C236" i="1" a="1"/>
  <c r="C236" i="1" s="1"/>
  <c r="C235" i="1" a="1"/>
  <c r="C235" i="1" s="1"/>
  <c r="C234" i="1" a="1"/>
  <c r="C234" i="1" s="1"/>
  <c r="C233" i="1" a="1"/>
  <c r="C233" i="1" s="1"/>
  <c r="C232" i="1" a="1"/>
  <c r="C232" i="1" s="1"/>
  <c r="C231" i="1" a="1"/>
  <c r="C231" i="1" s="1"/>
  <c r="C230" i="1" a="1"/>
  <c r="C230" i="1" s="1"/>
  <c r="C229" i="1" a="1"/>
  <c r="C229" i="1" s="1"/>
  <c r="C228" i="1" a="1"/>
  <c r="C228" i="1" s="1"/>
  <c r="C227" i="1" a="1"/>
  <c r="C227" i="1" s="1"/>
  <c r="C226" i="1" a="1"/>
  <c r="C226" i="1" s="1"/>
  <c r="C225" i="1" a="1"/>
  <c r="C225" i="1" s="1"/>
  <c r="C224" i="1" a="1"/>
  <c r="C224" i="1" s="1"/>
  <c r="C223" i="1" a="1"/>
  <c r="C223" i="1" s="1"/>
  <c r="C222" i="1" a="1"/>
  <c r="C222" i="1" s="1"/>
  <c r="C221" i="1" a="1"/>
  <c r="C221" i="1" s="1"/>
  <c r="C220" i="1" a="1"/>
  <c r="C220" i="1" s="1"/>
  <c r="C219" i="1" a="1"/>
  <c r="C219" i="1" s="1"/>
  <c r="C218" i="1" a="1"/>
  <c r="C218" i="1" s="1"/>
  <c r="C217" i="1" a="1"/>
  <c r="C217" i="1" s="1"/>
  <c r="C216" i="1" a="1"/>
  <c r="C216" i="1" s="1"/>
  <c r="C215" i="1" a="1"/>
  <c r="C215" i="1" s="1"/>
  <c r="C214" i="1" a="1"/>
  <c r="C214" i="1" s="1"/>
  <c r="C213" i="1" a="1"/>
  <c r="C213" i="1" s="1"/>
  <c r="C212" i="1" a="1"/>
  <c r="C212" i="1" s="1"/>
  <c r="C211" i="1" a="1"/>
  <c r="C211" i="1" s="1"/>
  <c r="C210" i="1" a="1"/>
  <c r="C210" i="1" s="1"/>
  <c r="C209" i="1" a="1"/>
  <c r="C209" i="1" s="1"/>
  <c r="C208" i="1" a="1"/>
  <c r="C208" i="1" s="1"/>
  <c r="C207" i="1" a="1"/>
  <c r="C207" i="1" s="1"/>
  <c r="C206" i="1" a="1"/>
  <c r="C206" i="1" s="1"/>
  <c r="C205" i="1" a="1"/>
  <c r="C205" i="1" s="1"/>
  <c r="C204" i="1" a="1"/>
  <c r="C204" i="1" s="1"/>
  <c r="C203" i="1" a="1"/>
  <c r="C203" i="1" s="1"/>
  <c r="C202" i="1" a="1"/>
  <c r="C202" i="1" s="1"/>
  <c r="C201" i="1" a="1"/>
  <c r="C201" i="1" s="1"/>
  <c r="C200" i="1" a="1"/>
  <c r="C200" i="1" s="1"/>
  <c r="C199" i="1" a="1"/>
  <c r="C199" i="1" s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 a="1"/>
  <c r="C193" i="1" s="1"/>
  <c r="C192" i="1" a="1"/>
  <c r="C192" i="1" s="1"/>
  <c r="C191" i="1" a="1"/>
  <c r="C191" i="1" s="1"/>
  <c r="C190" i="1" a="1"/>
  <c r="C190" i="1" s="1"/>
  <c r="C189" i="1" a="1"/>
  <c r="C189" i="1" s="1"/>
  <c r="C188" i="1" a="1"/>
  <c r="C188" i="1" s="1"/>
  <c r="C187" i="1" a="1"/>
  <c r="C187" i="1" s="1"/>
  <c r="C186" i="1" a="1"/>
  <c r="C186" i="1" s="1"/>
  <c r="C185" i="1" a="1"/>
  <c r="C185" i="1" s="1"/>
  <c r="C184" i="1" a="1"/>
  <c r="C184" i="1" s="1"/>
  <c r="C183" i="1" a="1"/>
  <c r="C183" i="1" s="1"/>
  <c r="C182" i="1" a="1"/>
  <c r="C182" i="1" s="1"/>
  <c r="C181" i="1" a="1"/>
  <c r="C181" i="1" s="1"/>
  <c r="C180" i="1" a="1"/>
  <c r="C180" i="1" s="1"/>
  <c r="C179" i="1" a="1"/>
  <c r="C179" i="1" s="1"/>
  <c r="C178" i="1" a="1"/>
  <c r="C178" i="1" s="1"/>
  <c r="C177" i="1" a="1"/>
  <c r="C177" i="1" s="1"/>
  <c r="C176" i="1" a="1"/>
  <c r="C176" i="1" s="1"/>
  <c r="C175" i="1" a="1"/>
  <c r="C175" i="1" s="1"/>
  <c r="C174" i="1" a="1"/>
  <c r="C174" i="1" s="1"/>
  <c r="C173" i="1" a="1"/>
  <c r="C173" i="1" s="1"/>
  <c r="C172" i="1" a="1"/>
  <c r="C172" i="1" s="1"/>
  <c r="C171" i="1" a="1"/>
  <c r="C171" i="1" s="1"/>
  <c r="C170" i="1" a="1"/>
  <c r="C170" i="1" s="1"/>
  <c r="C169" i="1" a="1"/>
  <c r="C169" i="1" s="1"/>
  <c r="C168" i="1" a="1"/>
  <c r="C168" i="1" s="1"/>
  <c r="C167" i="1" a="1"/>
  <c r="C167" i="1" s="1"/>
  <c r="C166" i="1" a="1"/>
  <c r="C166" i="1" s="1"/>
  <c r="C165" i="1" a="1"/>
  <c r="C165" i="1" s="1"/>
  <c r="C164" i="1" a="1"/>
  <c r="C164" i="1" s="1"/>
  <c r="C163" i="1" a="1"/>
  <c r="C163" i="1" s="1"/>
  <c r="C162" i="1" a="1"/>
  <c r="C162" i="1" s="1"/>
  <c r="C161" i="1" a="1"/>
  <c r="C161" i="1" s="1"/>
  <c r="C160" i="1" a="1"/>
  <c r="C160" i="1" s="1"/>
  <c r="C159" i="1" a="1"/>
  <c r="C159" i="1" s="1"/>
  <c r="C158" i="1" a="1"/>
  <c r="C158" i="1" s="1"/>
  <c r="C157" i="1" a="1"/>
  <c r="C157" i="1" s="1"/>
  <c r="C156" i="1" a="1"/>
  <c r="C156" i="1" s="1"/>
  <c r="C155" i="1" a="1"/>
  <c r="C155" i="1" s="1"/>
  <c r="C154" i="1" a="1"/>
  <c r="C154" i="1" s="1"/>
  <c r="C153" i="1" a="1"/>
  <c r="C153" i="1" s="1"/>
  <c r="C152" i="1" a="1"/>
  <c r="C152" i="1" s="1"/>
  <c r="C151" i="1" a="1"/>
  <c r="C151" i="1" s="1"/>
  <c r="C150" i="1" a="1"/>
  <c r="C150" i="1" s="1"/>
  <c r="C149" i="1" a="1"/>
  <c r="C149" i="1" s="1"/>
  <c r="C148" i="1" a="1"/>
  <c r="C148" i="1" s="1"/>
  <c r="C147" i="1" a="1"/>
  <c r="C147" i="1" s="1"/>
  <c r="C146" i="1" a="1"/>
  <c r="C146" i="1" s="1"/>
  <c r="C145" i="1" a="1"/>
  <c r="C145" i="1" s="1"/>
  <c r="C144" i="1" a="1"/>
  <c r="C144" i="1" s="1"/>
  <c r="C143" i="1" a="1"/>
  <c r="C143" i="1" s="1"/>
  <c r="C142" i="1" a="1"/>
  <c r="C142" i="1" s="1"/>
  <c r="C141" i="1" a="1"/>
  <c r="C141" i="1" s="1"/>
  <c r="C140" i="1" a="1"/>
  <c r="C140" i="1" s="1"/>
  <c r="C139" i="1" a="1"/>
  <c r="C139" i="1" s="1"/>
  <c r="C138" i="1" a="1"/>
  <c r="C138" i="1" s="1"/>
  <c r="C137" i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31" i="1" a="1"/>
  <c r="C131" i="1" s="1"/>
  <c r="C130" i="1" a="1"/>
  <c r="C130" i="1" s="1"/>
  <c r="C129" i="1" a="1"/>
  <c r="C129" i="1" s="1"/>
  <c r="C128" i="1" a="1"/>
  <c r="C128" i="1" s="1"/>
  <c r="C127" i="1" a="1"/>
  <c r="C127" i="1" s="1"/>
  <c r="C126" i="1" a="1"/>
  <c r="C126" i="1" s="1"/>
  <c r="C125" i="1" a="1"/>
  <c r="C125" i="1" s="1"/>
  <c r="C124" i="1" a="1"/>
  <c r="C124" i="1" s="1"/>
  <c r="C123" i="1" a="1"/>
  <c r="C123" i="1" s="1"/>
  <c r="C122" i="1" a="1"/>
  <c r="C122" i="1" s="1"/>
  <c r="C121" i="1" a="1"/>
  <c r="C121" i="1" s="1"/>
  <c r="C120" i="1" a="1"/>
  <c r="C120" i="1" s="1"/>
  <c r="C119" i="1" a="1"/>
  <c r="C119" i="1" s="1"/>
  <c r="C118" i="1" a="1"/>
  <c r="C118" i="1" s="1"/>
  <c r="C117" i="1" a="1"/>
  <c r="C117" i="1" s="1"/>
  <c r="C116" i="1" a="1"/>
  <c r="C116" i="1" s="1"/>
  <c r="C115" i="1" a="1"/>
  <c r="C115" i="1" s="1"/>
  <c r="C114" i="1" a="1"/>
  <c r="C114" i="1" s="1"/>
  <c r="C113" i="1" a="1"/>
  <c r="C113" i="1" s="1"/>
  <c r="C112" i="1" a="1"/>
  <c r="C112" i="1" s="1"/>
  <c r="C111" i="1" a="1"/>
  <c r="C111" i="1" s="1"/>
  <c r="C110" i="1" a="1"/>
  <c r="C110" i="1" s="1"/>
  <c r="C109" i="1" a="1"/>
  <c r="C109" i="1" s="1"/>
  <c r="C108" i="1" a="1"/>
  <c r="C108" i="1" s="1"/>
  <c r="C107" i="1" a="1"/>
  <c r="C107" i="1" s="1"/>
  <c r="C106" i="1" a="1"/>
  <c r="C106" i="1" s="1"/>
  <c r="C105" i="1" a="1"/>
  <c r="C105" i="1" s="1"/>
  <c r="C104" i="1" a="1"/>
  <c r="C104" i="1" s="1"/>
  <c r="C103" i="1" a="1"/>
  <c r="C103" i="1" s="1"/>
  <c r="C102" i="1" a="1"/>
  <c r="C102" i="1" s="1"/>
  <c r="C101" i="1" a="1"/>
  <c r="C101" i="1" s="1"/>
  <c r="C100" i="1" a="1"/>
  <c r="C100" i="1" s="1"/>
  <c r="C99" i="1" a="1"/>
  <c r="C99" i="1" s="1"/>
  <c r="C98" i="1" a="1"/>
  <c r="C98" i="1" s="1"/>
  <c r="C97" i="1" a="1"/>
  <c r="C97" i="1" s="1"/>
  <c r="C96" i="1" a="1"/>
  <c r="C96" i="1" s="1"/>
  <c r="C95" i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BM38" i="12" l="1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O15" i="11"/>
  <c r="AN15" i="11"/>
  <c r="AP14" i="11"/>
  <c r="AO14" i="11"/>
  <c r="A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T13" i="11"/>
  <c r="AS13" i="11"/>
  <c r="AR13" i="11"/>
  <c r="AQ13" i="11"/>
  <c r="AP13" i="11"/>
  <c r="AO13" i="11"/>
  <c r="AN13" i="11"/>
  <c r="BF13" i="11"/>
  <c r="BG13" i="11"/>
  <c r="BI13" i="11"/>
  <c r="BJ13" i="11"/>
  <c r="BK13" i="11"/>
  <c r="BL13" i="11"/>
  <c r="AU13" i="11"/>
  <c r="BM13" i="11"/>
  <c r="BH13" i="11"/>
  <c r="AV13" i="11"/>
  <c r="AW13" i="11"/>
  <c r="AX13" i="11"/>
  <c r="AY13" i="11"/>
  <c r="AZ13" i="11"/>
  <c r="BA13" i="11"/>
  <c r="BB13" i="11"/>
  <c r="BC13" i="11"/>
  <c r="BD13" i="11"/>
  <c r="BE13" i="11"/>
  <c r="BC12" i="11"/>
  <c r="BB12" i="11"/>
  <c r="BA12" i="11"/>
  <c r="AZ12" i="11"/>
  <c r="AY12" i="11"/>
  <c r="AX12" i="11"/>
  <c r="AV12" i="11"/>
  <c r="AU12" i="11"/>
  <c r="AT12" i="11"/>
  <c r="AS12" i="11"/>
  <c r="AR12" i="11"/>
  <c r="AQ12" i="11"/>
  <c r="AP12" i="11"/>
  <c r="AO12" i="11"/>
  <c r="AN12" i="11"/>
  <c r="AW12" i="11"/>
  <c r="BL12" i="11"/>
  <c r="BE12" i="11"/>
  <c r="BG12" i="11"/>
  <c r="BH12" i="11"/>
  <c r="BI12" i="11"/>
  <c r="BJ12" i="11"/>
  <c r="BK12" i="11"/>
  <c r="BD12" i="11"/>
  <c r="BM12" i="11"/>
  <c r="BF12" i="11"/>
  <c r="BM11" i="11"/>
  <c r="BL11" i="11"/>
  <c r="BK11" i="11"/>
  <c r="BJ11" i="11"/>
  <c r="AW11" i="11"/>
  <c r="BI11" i="11"/>
  <c r="BH11" i="11"/>
  <c r="BG11" i="11"/>
  <c r="BF11" i="11"/>
  <c r="BE11" i="11"/>
  <c r="BD11" i="11"/>
  <c r="AN11" i="11"/>
  <c r="AO11" i="11"/>
  <c r="AP11" i="11"/>
  <c r="AQ11" i="11"/>
  <c r="AR11" i="11"/>
  <c r="AS11" i="11"/>
  <c r="AT11" i="11"/>
  <c r="AU11" i="11"/>
  <c r="AV11" i="11"/>
  <c r="BC11" i="11"/>
  <c r="AX11" i="11"/>
  <c r="AY11" i="11"/>
  <c r="AZ11" i="11"/>
  <c r="BA11" i="11"/>
  <c r="BB11" i="11"/>
  <c r="BB10" i="11"/>
  <c r="AZ10" i="11"/>
  <c r="AY10" i="11"/>
  <c r="AX10" i="11"/>
  <c r="AW10" i="11"/>
  <c r="AV10" i="11"/>
  <c r="AU10" i="11"/>
  <c r="AT10" i="11"/>
  <c r="AS10" i="11"/>
  <c r="AR10" i="11"/>
  <c r="AP10" i="11"/>
  <c r="AO10" i="11"/>
  <c r="AN10" i="11"/>
  <c r="BH10" i="11"/>
  <c r="BK10" i="11"/>
  <c r="BG10" i="11"/>
  <c r="BL10" i="11"/>
  <c r="BM10" i="11"/>
  <c r="BI10" i="11"/>
  <c r="AQ10" i="11"/>
  <c r="BF10" i="11"/>
  <c r="BE10" i="11"/>
  <c r="BJ10" i="11"/>
  <c r="BD10" i="11"/>
  <c r="BC10" i="11"/>
  <c r="BA10" i="11"/>
  <c r="BG9" i="11"/>
  <c r="BH9" i="11"/>
  <c r="BI9" i="11"/>
  <c r="BJ9" i="11"/>
  <c r="BK9" i="11"/>
  <c r="BL9" i="11"/>
  <c r="BM9" i="11"/>
  <c r="AX9" i="11"/>
  <c r="AN9" i="11"/>
  <c r="AO9" i="11"/>
  <c r="AP9" i="11"/>
  <c r="AQ9" i="11"/>
  <c r="AR9" i="11"/>
  <c r="AS9" i="11"/>
  <c r="AT9" i="11"/>
  <c r="AU9" i="11"/>
  <c r="AV9" i="11"/>
  <c r="AW9" i="11"/>
  <c r="AY9" i="11"/>
  <c r="AZ9" i="11"/>
  <c r="BA9" i="11"/>
  <c r="BB9" i="11"/>
  <c r="BC9" i="11"/>
  <c r="BD9" i="11"/>
  <c r="BE9" i="11"/>
  <c r="BF9" i="11"/>
  <c r="BE42" i="10"/>
  <c r="BC42" i="10"/>
  <c r="BB42" i="10"/>
  <c r="BA42" i="10"/>
  <c r="AZ42" i="10"/>
  <c r="AY42" i="10"/>
  <c r="AX42" i="10"/>
  <c r="BG42" i="10"/>
  <c r="AW42" i="10"/>
  <c r="BH42" i="10"/>
  <c r="BI42" i="10"/>
  <c r="BJ42" i="10"/>
  <c r="BK42" i="10"/>
  <c r="BL42" i="10"/>
  <c r="BM42" i="10"/>
  <c r="BF42" i="10"/>
  <c r="BD42" i="10"/>
  <c r="AU42" i="10"/>
  <c r="AV42" i="10"/>
  <c r="BE41" i="10"/>
  <c r="BD41" i="10"/>
  <c r="BC41" i="10"/>
  <c r="BB41" i="10"/>
  <c r="BA41" i="10"/>
  <c r="AU41" i="10"/>
  <c r="AX41" i="10"/>
  <c r="BF41" i="10"/>
  <c r="AV41" i="10"/>
  <c r="BG41" i="10"/>
  <c r="BH41" i="10"/>
  <c r="BI41" i="10"/>
  <c r="BJ41" i="10"/>
  <c r="BK41" i="10"/>
  <c r="BL41" i="10"/>
  <c r="BM41" i="10"/>
  <c r="AW41" i="10"/>
  <c r="AY41" i="10"/>
  <c r="AZ41" i="10"/>
  <c r="BE40" i="10"/>
  <c r="BF40" i="10"/>
  <c r="BG40" i="10"/>
  <c r="BH40" i="10"/>
  <c r="BI40" i="10"/>
  <c r="BJ40" i="10"/>
  <c r="BK40" i="10"/>
  <c r="BM40" i="10"/>
  <c r="BL40" i="10"/>
  <c r="AU40" i="10"/>
  <c r="AV40" i="10"/>
  <c r="AW40" i="10"/>
  <c r="AX40" i="10"/>
  <c r="AY40" i="10"/>
  <c r="AZ40" i="10"/>
  <c r="BA40" i="10"/>
  <c r="BB40" i="10"/>
  <c r="BC40" i="10"/>
  <c r="BD40" i="10"/>
  <c r="BJ39" i="10"/>
  <c r="BI39" i="10"/>
  <c r="BH39" i="10"/>
  <c r="AU39" i="10"/>
  <c r="AV39" i="10"/>
  <c r="AW39" i="10"/>
  <c r="AX39" i="10"/>
  <c r="AY39" i="10"/>
  <c r="BG39" i="10"/>
  <c r="AZ39" i="10"/>
  <c r="BA39" i="10"/>
  <c r="BB39" i="10"/>
  <c r="BC39" i="10"/>
  <c r="BF39" i="10"/>
  <c r="BE39" i="10"/>
  <c r="BM39" i="10"/>
  <c r="BL39" i="10"/>
  <c r="BK39" i="10"/>
  <c r="BD39" i="10"/>
  <c r="BL36" i="10"/>
  <c r="BM36" i="10"/>
  <c r="AY36" i="10"/>
  <c r="AX36" i="10"/>
  <c r="AW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K35" i="10"/>
  <c r="BL35" i="10"/>
  <c r="BM35" i="10"/>
  <c r="BJ35" i="10"/>
  <c r="AY34" i="10"/>
  <c r="AX34" i="10"/>
  <c r="BH34" i="10"/>
  <c r="BG34" i="10"/>
  <c r="BM34" i="10"/>
  <c r="BL34" i="10"/>
  <c r="BK34" i="10"/>
  <c r="BI34" i="10"/>
  <c r="BF34" i="10"/>
  <c r="BE34" i="10"/>
  <c r="BD34" i="10"/>
  <c r="BC34" i="10"/>
  <c r="BB34" i="10"/>
  <c r="BA34" i="10"/>
  <c r="BJ34" i="10"/>
  <c r="AZ34" i="10"/>
  <c r="AW34" i="10"/>
  <c r="AU33" i="10"/>
  <c r="AX33" i="10"/>
  <c r="AW33" i="10"/>
  <c r="BA33" i="10"/>
  <c r="BB33" i="10"/>
  <c r="BC33" i="10"/>
  <c r="BD33" i="10"/>
  <c r="BE33" i="10"/>
  <c r="BF33" i="10"/>
  <c r="BG33" i="10"/>
  <c r="BH33" i="10"/>
  <c r="BI33" i="10"/>
  <c r="BJ33" i="10"/>
  <c r="BL33" i="10"/>
  <c r="BM33" i="10"/>
  <c r="AV33" i="10"/>
  <c r="BK33" i="10"/>
  <c r="AY33" i="10"/>
  <c r="AZ33" i="10"/>
  <c r="BK32" i="10"/>
  <c r="BL32" i="10"/>
  <c r="BM32" i="10"/>
  <c r="BC32" i="10"/>
  <c r="BD32" i="10"/>
  <c r="BE32" i="10"/>
  <c r="BF32" i="10"/>
  <c r="BG32" i="10"/>
  <c r="BH32" i="10"/>
  <c r="BI32" i="10"/>
  <c r="BJ32" i="10"/>
  <c r="BB32" i="10"/>
  <c r="AW32" i="10"/>
  <c r="AU32" i="10"/>
  <c r="AV32" i="10"/>
  <c r="AX32" i="10"/>
  <c r="AY32" i="10"/>
  <c r="AZ32" i="10"/>
  <c r="BA32" i="10"/>
  <c r="BL31" i="10"/>
  <c r="BM31" i="10"/>
  <c r="BE31" i="10"/>
  <c r="BK31" i="10"/>
  <c r="BJ31" i="10"/>
  <c r="BI31" i="10"/>
  <c r="BH31" i="10"/>
  <c r="BG31" i="10"/>
  <c r="BF31" i="10"/>
  <c r="BD31" i="10"/>
  <c r="BC31" i="10"/>
  <c r="BB31" i="10"/>
  <c r="BA31" i="10"/>
  <c r="AZ31" i="10"/>
  <c r="AY31" i="10"/>
  <c r="AX31" i="10"/>
  <c r="AW31" i="10"/>
  <c r="AV31" i="10"/>
  <c r="AU31" i="10"/>
  <c r="AW30" i="10"/>
  <c r="BE30" i="10"/>
  <c r="BF30" i="10"/>
  <c r="BG30" i="10"/>
  <c r="BH30" i="10"/>
  <c r="BI30" i="10"/>
  <c r="BJ30" i="10"/>
  <c r="BC30" i="10"/>
  <c r="BL30" i="10"/>
  <c r="AU30" i="10"/>
  <c r="AV30" i="10"/>
  <c r="BK30" i="10"/>
  <c r="AX30" i="10"/>
  <c r="AY30" i="10"/>
  <c r="AZ30" i="10"/>
  <c r="BA30" i="10"/>
  <c r="BB30" i="10"/>
  <c r="BD30" i="10"/>
  <c r="BM30" i="10"/>
  <c r="AU29" i="10"/>
  <c r="AX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W29" i="10"/>
  <c r="AV29" i="10"/>
  <c r="BH28" i="10"/>
  <c r="BG28" i="10"/>
  <c r="BF28" i="10"/>
  <c r="BE28" i="10"/>
  <c r="BC28" i="10"/>
  <c r="BB28" i="10"/>
  <c r="BA28" i="10"/>
  <c r="AZ28" i="10"/>
  <c r="AY28" i="10"/>
  <c r="BD28" i="10"/>
  <c r="AX28" i="10"/>
  <c r="AV28" i="10"/>
  <c r="AW28" i="10"/>
  <c r="AU28" i="10"/>
  <c r="BM28" i="10"/>
  <c r="BL28" i="10"/>
  <c r="BK28" i="10"/>
  <c r="BJ28" i="10"/>
  <c r="BI28" i="10"/>
  <c r="AW27" i="10"/>
  <c r="BG27" i="10"/>
  <c r="BF27" i="10"/>
  <c r="BE27" i="10"/>
  <c r="BD27" i="10"/>
  <c r="BC27" i="10"/>
  <c r="BB27" i="10"/>
  <c r="BA27" i="10"/>
  <c r="AV27" i="10"/>
  <c r="AZ27" i="10"/>
  <c r="AY27" i="10"/>
  <c r="AX27" i="10"/>
  <c r="AU27" i="10"/>
  <c r="BH27" i="10"/>
  <c r="BI27" i="10"/>
  <c r="BJ27" i="10"/>
  <c r="BK27" i="10"/>
  <c r="BL27" i="10"/>
  <c r="BM27" i="10"/>
  <c r="BF26" i="10"/>
  <c r="BE26" i="10"/>
  <c r="BD26" i="10"/>
  <c r="BC26" i="10"/>
  <c r="BB26" i="10"/>
  <c r="BA26" i="10"/>
  <c r="AZ26" i="10"/>
  <c r="AY26" i="10"/>
  <c r="AV26" i="10"/>
  <c r="AU26" i="10"/>
  <c r="AW26" i="10"/>
  <c r="AX26" i="10"/>
  <c r="BM26" i="10"/>
  <c r="BL26" i="10"/>
  <c r="BK26" i="10"/>
  <c r="BJ26" i="10"/>
  <c r="BI26" i="10"/>
  <c r="BH26" i="10"/>
  <c r="BG26" i="10"/>
  <c r="BK25" i="10"/>
  <c r="BM25" i="10"/>
  <c r="AX25" i="10"/>
  <c r="AY25" i="10"/>
  <c r="AZ25" i="10"/>
  <c r="BA25" i="10"/>
  <c r="BB25" i="10"/>
  <c r="AU25" i="10"/>
  <c r="BC25" i="10"/>
  <c r="BL25" i="10"/>
  <c r="BD25" i="10"/>
  <c r="BE25" i="10"/>
  <c r="BF25" i="10"/>
  <c r="AW25" i="10"/>
  <c r="BG25" i="10"/>
  <c r="BH25" i="10"/>
  <c r="BI25" i="10"/>
  <c r="BJ25" i="10"/>
  <c r="AV25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AU24" i="10"/>
  <c r="AV24" i="10"/>
  <c r="AW24" i="10"/>
  <c r="AX24" i="10"/>
  <c r="AY24" i="10"/>
  <c r="AZ24" i="10"/>
  <c r="BA24" i="10"/>
  <c r="BL23" i="10"/>
  <c r="BJ23" i="10"/>
  <c r="AZ23" i="10"/>
  <c r="BA23" i="10"/>
  <c r="BB23" i="10"/>
  <c r="BC23" i="10"/>
  <c r="BD23" i="10"/>
  <c r="BK23" i="10"/>
  <c r="BE23" i="10"/>
  <c r="BF23" i="10"/>
  <c r="BG23" i="10"/>
  <c r="BH23" i="10"/>
  <c r="AW23" i="10"/>
  <c r="AX23" i="10"/>
  <c r="BI23" i="10"/>
  <c r="AY23" i="10"/>
  <c r="BM23" i="10"/>
  <c r="AU23" i="10"/>
  <c r="AV23" i="10"/>
  <c r="BF22" i="10"/>
  <c r="BG22" i="10"/>
  <c r="BH22" i="10"/>
  <c r="BI22" i="10"/>
  <c r="BK22" i="10"/>
  <c r="BL22" i="10"/>
  <c r="BM22" i="10"/>
  <c r="BA22" i="10"/>
  <c r="BE22" i="10"/>
  <c r="BD22" i="10"/>
  <c r="BC22" i="10"/>
  <c r="BB22" i="10"/>
  <c r="AZ22" i="10"/>
  <c r="AY22" i="10"/>
  <c r="AX22" i="10"/>
  <c r="AW22" i="10"/>
  <c r="AV22" i="10"/>
  <c r="AU22" i="10"/>
  <c r="BJ22" i="10"/>
  <c r="AU21" i="10"/>
  <c r="AY21" i="10"/>
  <c r="BF21" i="10"/>
  <c r="BE21" i="10"/>
  <c r="BD21" i="10"/>
  <c r="BC21" i="10"/>
  <c r="BB21" i="10"/>
  <c r="BA21" i="10"/>
  <c r="AZ21" i="10"/>
  <c r="AX21" i="10"/>
  <c r="AW21" i="10"/>
  <c r="BM21" i="10"/>
  <c r="AV21" i="10"/>
  <c r="BL21" i="10"/>
  <c r="BK21" i="10"/>
  <c r="BJ21" i="10"/>
  <c r="BI21" i="10"/>
  <c r="BH21" i="10"/>
  <c r="BG21" i="10"/>
  <c r="BK20" i="10"/>
  <c r="BI20" i="10"/>
  <c r="BM20" i="10"/>
  <c r="BL20" i="10"/>
  <c r="BJ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BH19" i="10"/>
  <c r="BM19" i="10"/>
  <c r="AU19" i="10"/>
  <c r="AV19" i="10"/>
  <c r="AW19" i="10"/>
  <c r="AX19" i="10"/>
  <c r="AY19" i="10"/>
  <c r="BA19" i="10"/>
  <c r="BB19" i="10"/>
  <c r="BC19" i="10"/>
  <c r="BD19" i="10"/>
  <c r="BE19" i="10"/>
  <c r="BF19" i="10"/>
  <c r="BG19" i="10"/>
  <c r="BI19" i="10"/>
  <c r="BJ19" i="10"/>
  <c r="BK19" i="10"/>
  <c r="BL19" i="10"/>
  <c r="AZ19" i="10"/>
  <c r="BL18" i="10"/>
  <c r="BC18" i="10"/>
  <c r="BB18" i="10"/>
  <c r="BA18" i="10"/>
  <c r="BM18" i="10"/>
  <c r="AZ18" i="10"/>
  <c r="AY18" i="10"/>
  <c r="AX18" i="10"/>
  <c r="AW18" i="10"/>
  <c r="AV18" i="10"/>
  <c r="AU18" i="10"/>
  <c r="BF18" i="10"/>
  <c r="BG18" i="10"/>
  <c r="BH18" i="10"/>
  <c r="BE18" i="10"/>
  <c r="BI18" i="10"/>
  <c r="BD18" i="10"/>
  <c r="BJ18" i="10"/>
  <c r="BK18" i="10"/>
  <c r="BB17" i="10"/>
  <c r="BA17" i="10"/>
  <c r="AZ17" i="10"/>
  <c r="AY17" i="10"/>
  <c r="AX17" i="10"/>
  <c r="AW17" i="10"/>
  <c r="AV17" i="10"/>
  <c r="AU17" i="10"/>
  <c r="BC17" i="10"/>
  <c r="BM17" i="10"/>
  <c r="BL17" i="10"/>
  <c r="BK17" i="10"/>
  <c r="BJ17" i="10"/>
  <c r="BI17" i="10"/>
  <c r="BH17" i="10"/>
  <c r="BG17" i="10"/>
  <c r="BF17" i="10"/>
  <c r="BE17" i="10"/>
  <c r="BD17" i="10"/>
  <c r="AV16" i="10"/>
  <c r="BF16" i="10"/>
  <c r="BE16" i="10"/>
  <c r="BL16" i="10"/>
  <c r="BC16" i="10"/>
  <c r="BB16" i="10"/>
  <c r="BA16" i="10"/>
  <c r="AZ16" i="10"/>
  <c r="AY16" i="10"/>
  <c r="AX16" i="10"/>
  <c r="AW16" i="10"/>
  <c r="BM16" i="10"/>
  <c r="AU16" i="10"/>
  <c r="BG16" i="10"/>
  <c r="BK16" i="10"/>
  <c r="BJ16" i="10"/>
  <c r="BI16" i="10"/>
  <c r="BD16" i="10"/>
  <c r="BH16" i="10"/>
  <c r="AX15" i="10"/>
  <c r="BM15" i="10"/>
  <c r="BL15" i="10"/>
  <c r="BK15" i="10"/>
  <c r="BG15" i="10"/>
  <c r="BJ15" i="10"/>
  <c r="BI15" i="10"/>
  <c r="BH15" i="10"/>
  <c r="AY15" i="10"/>
  <c r="AZ15" i="10"/>
  <c r="AU15" i="10"/>
  <c r="AV15" i="10"/>
  <c r="AW15" i="10"/>
  <c r="BA15" i="10"/>
  <c r="BB15" i="10"/>
  <c r="BC15" i="10"/>
  <c r="BD15" i="10"/>
  <c r="BE15" i="10"/>
  <c r="BF15" i="10"/>
  <c r="BI14" i="10"/>
  <c r="BA14" i="10"/>
  <c r="BG14" i="10"/>
  <c r="BF14" i="10"/>
  <c r="AX14" i="10"/>
  <c r="BH14" i="10"/>
  <c r="BE14" i="10"/>
  <c r="BJ14" i="10"/>
  <c r="BK14" i="10"/>
  <c r="BL14" i="10"/>
  <c r="BM14" i="10"/>
  <c r="AY14" i="10"/>
  <c r="AW14" i="10"/>
  <c r="AU14" i="10"/>
  <c r="BD14" i="10"/>
  <c r="BC14" i="10"/>
  <c r="BB14" i="10"/>
  <c r="AV14" i="10"/>
  <c r="AZ14" i="10"/>
  <c r="BG13" i="10"/>
  <c r="BH13" i="10"/>
  <c r="BI13" i="10"/>
  <c r="BJ13" i="10"/>
  <c r="BL13" i="10"/>
  <c r="BM13" i="10"/>
  <c r="AW13" i="10"/>
  <c r="BK13" i="10"/>
  <c r="AX13" i="10"/>
  <c r="AY13" i="10"/>
  <c r="AZ13" i="10"/>
  <c r="BA13" i="10"/>
  <c r="BB13" i="10"/>
  <c r="BC13" i="10"/>
  <c r="BD13" i="10"/>
  <c r="BE13" i="10"/>
  <c r="BF13" i="10"/>
  <c r="AU13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BK11" i="10"/>
  <c r="BM11" i="10"/>
  <c r="BL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BE10" i="10"/>
  <c r="BF10" i="10"/>
  <c r="BM10" i="10"/>
  <c r="BG10" i="10"/>
  <c r="BH10" i="10"/>
  <c r="BI10" i="10"/>
  <c r="BJ10" i="10"/>
  <c r="BK10" i="10"/>
  <c r="BL10" i="10"/>
  <c r="AW10" i="10"/>
  <c r="AU10" i="10"/>
  <c r="AV10" i="10"/>
  <c r="AX10" i="10"/>
  <c r="AY10" i="10"/>
  <c r="AZ10" i="10"/>
  <c r="BA10" i="10"/>
  <c r="BB10" i="10"/>
  <c r="BC10" i="10"/>
  <c r="BD10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R26" i="9"/>
  <c r="S26" i="9"/>
  <c r="T26" i="9"/>
  <c r="U26" i="9"/>
  <c r="V26" i="9"/>
  <c r="W26" i="9"/>
  <c r="X26" i="9"/>
  <c r="Y26" i="9"/>
  <c r="AR26" i="9"/>
  <c r="AQ26" i="9"/>
  <c r="AP26" i="9"/>
  <c r="AO26" i="9"/>
  <c r="AN26" i="9"/>
  <c r="AM26" i="9"/>
  <c r="AL26" i="9"/>
  <c r="AK26" i="9"/>
  <c r="AJ26" i="9"/>
  <c r="AI26" i="9"/>
  <c r="BK26" i="9"/>
  <c r="BM26" i="9"/>
  <c r="BL26" i="9"/>
  <c r="BJ26" i="9"/>
  <c r="BI26" i="9"/>
  <c r="BH26" i="9"/>
  <c r="BG26" i="9"/>
  <c r="AH26" i="9"/>
  <c r="AG26" i="9"/>
  <c r="AF26" i="9"/>
  <c r="AE26" i="9"/>
  <c r="AD26" i="9"/>
  <c r="AC26" i="9"/>
  <c r="AB26" i="9"/>
  <c r="AA26" i="9"/>
  <c r="Z26" i="9"/>
  <c r="Q26" i="9"/>
  <c r="P26" i="9"/>
  <c r="O26" i="9"/>
  <c r="N26" i="9"/>
  <c r="M26" i="9"/>
  <c r="L26" i="9"/>
  <c r="K26" i="9"/>
  <c r="J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BB25" i="9"/>
  <c r="BA25" i="9"/>
  <c r="AZ25" i="9"/>
  <c r="AY25" i="9"/>
  <c r="BD25" i="9"/>
  <c r="L25" i="9"/>
  <c r="K25" i="9"/>
  <c r="J25" i="9"/>
  <c r="BH25" i="9"/>
  <c r="S25" i="9"/>
  <c r="AH25" i="9"/>
  <c r="AI25" i="9"/>
  <c r="AJ25" i="9"/>
  <c r="AX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BM25" i="9"/>
  <c r="BL25" i="9"/>
  <c r="BK25" i="9"/>
  <c r="BJ25" i="9"/>
  <c r="BI25" i="9"/>
  <c r="AG25" i="9"/>
  <c r="BG25" i="9"/>
  <c r="BF25" i="9"/>
  <c r="BE25" i="9"/>
  <c r="BC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R25" i="9"/>
  <c r="Q25" i="9"/>
  <c r="P25" i="9"/>
  <c r="O25" i="9"/>
  <c r="N25" i="9"/>
  <c r="M25" i="9"/>
  <c r="J24" i="9"/>
  <c r="K24" i="9"/>
  <c r="L24" i="9"/>
  <c r="M24" i="9"/>
  <c r="N24" i="9"/>
  <c r="O24" i="9"/>
  <c r="BM24" i="9"/>
  <c r="BL24" i="9"/>
  <c r="BK24" i="9"/>
  <c r="BJ24" i="9"/>
  <c r="BI24" i="9"/>
  <c r="BH24" i="9"/>
  <c r="BG24" i="9"/>
  <c r="P24" i="9"/>
  <c r="BE24" i="9"/>
  <c r="BD24" i="9"/>
  <c r="AK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BF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AL24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T23" i="9"/>
  <c r="BM23" i="9"/>
  <c r="BL23" i="9"/>
  <c r="BK23" i="9"/>
  <c r="BJ23" i="9"/>
  <c r="BI23" i="9"/>
  <c r="BH23" i="9"/>
  <c r="BG23" i="9"/>
  <c r="BF23" i="9"/>
  <c r="BE23" i="9"/>
  <c r="BD23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BK22" i="9"/>
  <c r="BL22" i="9"/>
  <c r="BM22" i="9"/>
  <c r="J22" i="9"/>
  <c r="AG22" i="9"/>
  <c r="AF22" i="9"/>
  <c r="AE22" i="9"/>
  <c r="AD22" i="9"/>
  <c r="AC22" i="9"/>
  <c r="AB22" i="9"/>
  <c r="AA22" i="9"/>
  <c r="Z22" i="9"/>
  <c r="K22" i="9"/>
  <c r="L22" i="9"/>
  <c r="M22" i="9"/>
  <c r="B22" i="9"/>
  <c r="N22" i="9"/>
  <c r="Y22" i="9"/>
  <c r="C22" i="9"/>
  <c r="D22" i="9"/>
  <c r="E22" i="9"/>
  <c r="F22" i="9"/>
  <c r="G22" i="9"/>
  <c r="H22" i="9"/>
  <c r="I22" i="9"/>
  <c r="O22" i="9"/>
  <c r="P22" i="9"/>
  <c r="Q22" i="9"/>
  <c r="R22" i="9"/>
  <c r="S22" i="9"/>
  <c r="T22" i="9"/>
  <c r="U22" i="9"/>
  <c r="V22" i="9"/>
  <c r="W22" i="9"/>
  <c r="X22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C21" i="9"/>
  <c r="BD21" i="9"/>
  <c r="BE21" i="9"/>
  <c r="BF21" i="9"/>
  <c r="BG21" i="9"/>
  <c r="BH21" i="9"/>
  <c r="BI21" i="9"/>
  <c r="BJ21" i="9"/>
  <c r="BK21" i="9"/>
  <c r="BL21" i="9"/>
  <c r="BM21" i="9"/>
  <c r="BB21" i="9"/>
  <c r="W21" i="9"/>
  <c r="X21" i="9"/>
  <c r="Y21" i="9"/>
  <c r="Z21" i="9"/>
  <c r="AA21" i="9"/>
  <c r="AB21" i="9"/>
  <c r="AC21" i="9"/>
  <c r="AD21" i="9"/>
  <c r="V21" i="9"/>
  <c r="AE21" i="9"/>
  <c r="B21" i="9"/>
  <c r="C21" i="9"/>
  <c r="D21" i="9"/>
  <c r="E21" i="9"/>
  <c r="F21" i="9"/>
  <c r="G21" i="9"/>
  <c r="H21" i="9"/>
  <c r="I21" i="9"/>
  <c r="AF21" i="9"/>
  <c r="J21" i="9"/>
  <c r="K21" i="9"/>
  <c r="L21" i="9"/>
  <c r="M21" i="9"/>
  <c r="N21" i="9"/>
  <c r="O21" i="9"/>
  <c r="P21" i="9"/>
  <c r="Q21" i="9"/>
  <c r="R21" i="9"/>
  <c r="S21" i="9"/>
  <c r="T21" i="9"/>
  <c r="U21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W20" i="9"/>
  <c r="AN20" i="9"/>
  <c r="AO20" i="9"/>
  <c r="AP20" i="9"/>
  <c r="AQ20" i="9"/>
  <c r="AR20" i="9"/>
  <c r="AS20" i="9"/>
  <c r="AT20" i="9"/>
  <c r="AU20" i="9"/>
  <c r="AV20" i="9"/>
  <c r="B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AM20" i="9"/>
  <c r="BL20" i="9"/>
  <c r="BM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BK20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G19" i="9"/>
  <c r="B19" i="9"/>
  <c r="C19" i="9"/>
  <c r="D19" i="9"/>
  <c r="E19" i="9"/>
  <c r="F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K18" i="9"/>
  <c r="J18" i="9"/>
  <c r="AR18" i="9"/>
  <c r="I18" i="9"/>
  <c r="H18" i="9"/>
  <c r="G18" i="9"/>
  <c r="F18" i="9"/>
  <c r="E18" i="9"/>
  <c r="AN18" i="9"/>
  <c r="AI18" i="9"/>
  <c r="AJ18" i="9"/>
  <c r="AK18" i="9"/>
  <c r="AL18" i="9"/>
  <c r="AM18" i="9"/>
  <c r="D18" i="9"/>
  <c r="AO18" i="9"/>
  <c r="AP18" i="9"/>
  <c r="AQ18" i="9"/>
  <c r="C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AH18" i="9"/>
  <c r="B18" i="9"/>
  <c r="BM18" i="9"/>
  <c r="BL18" i="9"/>
  <c r="BK18" i="9"/>
  <c r="BJ18" i="9"/>
  <c r="BI18" i="9"/>
  <c r="BH18" i="9"/>
  <c r="BG18" i="9"/>
  <c r="BF18" i="9"/>
  <c r="S18" i="9"/>
  <c r="R18" i="9"/>
  <c r="Q18" i="9"/>
  <c r="P18" i="9"/>
  <c r="O18" i="9"/>
  <c r="N18" i="9"/>
  <c r="M18" i="9"/>
  <c r="L18" i="9"/>
  <c r="L17" i="9"/>
  <c r="K17" i="9"/>
  <c r="I17" i="9"/>
  <c r="H17" i="9"/>
  <c r="G17" i="9"/>
  <c r="F17" i="9"/>
  <c r="E17" i="9"/>
  <c r="D17" i="9"/>
  <c r="C17" i="9"/>
  <c r="J17" i="9"/>
  <c r="B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BM16" i="9"/>
  <c r="BL16" i="9"/>
  <c r="BK16" i="9"/>
  <c r="BJ16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T14" i="9"/>
  <c r="AU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S14" i="9"/>
  <c r="AR14" i="9"/>
  <c r="AQ14" i="9"/>
  <c r="AP14" i="9"/>
  <c r="AO14" i="9"/>
  <c r="AN14" i="9"/>
  <c r="AM14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BM13" i="9"/>
  <c r="BL13" i="9"/>
  <c r="BK13" i="9"/>
  <c r="BJ13" i="9"/>
  <c r="BI13" i="9"/>
  <c r="BH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BM23" i="8"/>
  <c r="BL23" i="8"/>
  <c r="BK23" i="8"/>
  <c r="BJ23" i="8"/>
  <c r="BI23" i="8"/>
  <c r="BH23" i="8"/>
  <c r="BG23" i="8"/>
  <c r="BM22" i="8"/>
  <c r="BL22" i="8"/>
  <c r="BK22" i="8"/>
  <c r="BJ22" i="8"/>
  <c r="BI22" i="8"/>
  <c r="BH22" i="8"/>
  <c r="BG22" i="8"/>
  <c r="BM21" i="8"/>
  <c r="BL21" i="8"/>
  <c r="BK21" i="8"/>
  <c r="BJ21" i="8"/>
  <c r="BI21" i="8"/>
  <c r="BH21" i="8"/>
  <c r="BG21" i="8"/>
  <c r="BM20" i="8"/>
  <c r="BL20" i="8"/>
  <c r="BK20" i="8"/>
  <c r="BJ20" i="8"/>
  <c r="BI20" i="8"/>
  <c r="BH20" i="8"/>
  <c r="BG20" i="8"/>
  <c r="BM19" i="8"/>
  <c r="BL19" i="8"/>
  <c r="BK19" i="8"/>
  <c r="BJ19" i="8"/>
  <c r="BI19" i="8"/>
  <c r="BH19" i="8"/>
  <c r="BG19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C261" i="1" a="1"/>
  <c r="C261" i="1" s="1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BM17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BM16" i="8"/>
  <c r="H16" i="8"/>
  <c r="G16" i="8"/>
  <c r="F16" i="8"/>
  <c r="E16" i="8"/>
  <c r="D16" i="8"/>
  <c r="C16" i="8"/>
  <c r="B16" i="8"/>
  <c r="I16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BM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K15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BM14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BM13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BM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Y12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BM11" i="8"/>
  <c r="L11" i="8"/>
  <c r="K11" i="8"/>
  <c r="J11" i="8"/>
  <c r="I11" i="8"/>
  <c r="H11" i="8"/>
  <c r="G11" i="8"/>
  <c r="F11" i="8"/>
  <c r="E11" i="8"/>
  <c r="D11" i="8"/>
  <c r="C11" i="8"/>
  <c r="B11" i="8"/>
  <c r="M11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BM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G10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BM9" i="8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BM22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BM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AK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W21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BM20" i="7"/>
  <c r="BL19" i="7"/>
  <c r="BK19" i="7"/>
  <c r="BJ19" i="7"/>
  <c r="BI19" i="7"/>
  <c r="BH19" i="7"/>
  <c r="BM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BG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D19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Y18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BM17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BM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Z16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BM15" i="7"/>
  <c r="E15" i="7"/>
  <c r="D15" i="7"/>
  <c r="C15" i="7"/>
  <c r="B15" i="7"/>
  <c r="F15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BM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G14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BM13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BM12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BM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AG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Q11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BM10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BM9" i="7"/>
  <c r="I18" i="6"/>
  <c r="J18" i="6"/>
  <c r="K18" i="6"/>
  <c r="L18" i="6"/>
  <c r="H18" i="6"/>
  <c r="G18" i="6"/>
  <c r="F18" i="6"/>
  <c r="E18" i="6"/>
  <c r="D18" i="6"/>
  <c r="C18" i="6"/>
  <c r="B18" i="6"/>
  <c r="AY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BJ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N16" i="6"/>
  <c r="W16" i="6"/>
  <c r="V16" i="6"/>
  <c r="U16" i="6"/>
  <c r="T16" i="6"/>
  <c r="S16" i="6"/>
  <c r="R16" i="6"/>
  <c r="Q16" i="6"/>
  <c r="P16" i="6"/>
  <c r="O16" i="6"/>
  <c r="B16" i="6"/>
  <c r="C16" i="6"/>
  <c r="D16" i="6"/>
  <c r="E16" i="6"/>
  <c r="F16" i="6"/>
  <c r="G16" i="6"/>
  <c r="H16" i="6"/>
  <c r="I16" i="6"/>
  <c r="J16" i="6"/>
  <c r="K16" i="6"/>
  <c r="L16" i="6"/>
  <c r="BM16" i="6"/>
  <c r="BL16" i="6"/>
  <c r="BK16" i="6"/>
  <c r="M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F14" i="6"/>
  <c r="E14" i="6"/>
  <c r="D14" i="6"/>
  <c r="C14" i="6"/>
  <c r="B14" i="6"/>
  <c r="G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O13" i="6"/>
  <c r="AP13" i="6"/>
  <c r="AQ13" i="6"/>
  <c r="AR13" i="6"/>
  <c r="AS13" i="6"/>
  <c r="AT13" i="6"/>
  <c r="AM13" i="6"/>
  <c r="AL13" i="6"/>
  <c r="AK13" i="6"/>
  <c r="AJ13" i="6"/>
  <c r="AH13" i="6"/>
  <c r="AG13" i="6"/>
  <c r="AF13" i="6"/>
  <c r="AE13" i="6"/>
  <c r="AD13" i="6"/>
  <c r="AC13" i="6"/>
  <c r="AB13" i="6"/>
  <c r="AA13" i="6"/>
  <c r="Z13" i="6"/>
  <c r="R13" i="6"/>
  <c r="S13" i="6"/>
  <c r="AN13" i="6"/>
  <c r="T13" i="6"/>
  <c r="U13" i="6"/>
  <c r="V13" i="6"/>
  <c r="W13" i="6"/>
  <c r="O13" i="6"/>
  <c r="X13" i="6"/>
  <c r="Y13" i="6"/>
  <c r="AI13" i="6"/>
  <c r="P13" i="6"/>
  <c r="Q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K11" i="6"/>
  <c r="AT11" i="6"/>
  <c r="AS11" i="6"/>
  <c r="AR11" i="6"/>
  <c r="AQ11" i="6"/>
  <c r="AP11" i="6"/>
  <c r="AO11" i="6"/>
  <c r="AN11" i="6"/>
  <c r="AM11" i="6"/>
  <c r="AL11" i="6"/>
  <c r="B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BJ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BM11" i="6"/>
  <c r="BL11" i="6"/>
  <c r="BK11" i="6"/>
  <c r="C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W10" i="6"/>
  <c r="AV10" i="6"/>
  <c r="AU10" i="6"/>
  <c r="AB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AT10" i="6"/>
  <c r="BA10" i="6"/>
  <c r="AZ10" i="6"/>
  <c r="AY10" i="6"/>
  <c r="AX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D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C9" i="6"/>
  <c r="B9" i="6"/>
  <c r="AB9" i="6"/>
  <c r="AA9" i="6"/>
  <c r="Z9" i="6"/>
  <c r="Y9" i="6"/>
  <c r="X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W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BH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BE43" i="5"/>
  <c r="BK43" i="5"/>
  <c r="BM43" i="5"/>
  <c r="BL43" i="5"/>
  <c r="BJ43" i="5"/>
  <c r="BI43" i="5"/>
  <c r="BG43" i="5"/>
  <c r="BF43" i="5"/>
  <c r="BM42" i="5"/>
  <c r="BL42" i="5"/>
  <c r="BK42" i="5"/>
  <c r="BJ42" i="5"/>
  <c r="BI42" i="5"/>
  <c r="BH42" i="5"/>
  <c r="BC42" i="5"/>
  <c r="BG42" i="5"/>
  <c r="AX42" i="5"/>
  <c r="AW42" i="5"/>
  <c r="AV42" i="5"/>
  <c r="AU42" i="5"/>
  <c r="AT42" i="5"/>
  <c r="AS42" i="5"/>
  <c r="BE42" i="5"/>
  <c r="AQ42" i="5"/>
  <c r="AP42" i="5"/>
  <c r="AO42" i="5"/>
  <c r="BD42" i="5"/>
  <c r="AM42" i="5"/>
  <c r="BF42" i="5"/>
  <c r="BB42" i="5"/>
  <c r="BA42" i="5"/>
  <c r="AN42" i="5"/>
  <c r="AZ42" i="5"/>
  <c r="AY42" i="5"/>
  <c r="AR42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BM41" i="5"/>
  <c r="BL41" i="5"/>
  <c r="BK41" i="5"/>
  <c r="BJ41" i="5"/>
  <c r="BI41" i="5"/>
  <c r="BH41" i="5"/>
  <c r="BG41" i="5"/>
  <c r="BF41" i="5"/>
  <c r="BE41" i="5"/>
  <c r="BG40" i="5"/>
  <c r="AP40" i="5"/>
  <c r="AQ40" i="5"/>
  <c r="AR40" i="5"/>
  <c r="AS40" i="5"/>
  <c r="AT40" i="5"/>
  <c r="AW40" i="5"/>
  <c r="AX40" i="5"/>
  <c r="BM40" i="5"/>
  <c r="BL40" i="5"/>
  <c r="BK40" i="5"/>
  <c r="BJ40" i="5"/>
  <c r="BI40" i="5"/>
  <c r="BH40" i="5"/>
  <c r="AU40" i="5"/>
  <c r="AV40" i="5"/>
  <c r="BF40" i="5"/>
  <c r="BE40" i="5"/>
  <c r="BD40" i="5"/>
  <c r="BC40" i="5"/>
  <c r="BB40" i="5"/>
  <c r="BA40" i="5"/>
  <c r="AZ40" i="5"/>
  <c r="AY40" i="5"/>
  <c r="AO40" i="5"/>
  <c r="AN40" i="5"/>
  <c r="AM40" i="5"/>
  <c r="AW39" i="5"/>
  <c r="AX39" i="5"/>
  <c r="AY39" i="5"/>
  <c r="AM39" i="5"/>
  <c r="AN39" i="5"/>
  <c r="AO39" i="5"/>
  <c r="AP39" i="5"/>
  <c r="AQ39" i="5"/>
  <c r="AR39" i="5"/>
  <c r="AS39" i="5"/>
  <c r="AT39" i="5"/>
  <c r="AU39" i="5"/>
  <c r="AZ39" i="5"/>
  <c r="AV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BI38" i="5"/>
  <c r="BH38" i="5"/>
  <c r="BM38" i="5"/>
  <c r="BL38" i="5"/>
  <c r="BK38" i="5"/>
  <c r="BJ38" i="5"/>
  <c r="BD37" i="5"/>
  <c r="BM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E37" i="5"/>
  <c r="BF37" i="5"/>
  <c r="BG37" i="5"/>
  <c r="BH37" i="5"/>
  <c r="BI37" i="5"/>
  <c r="BJ37" i="5"/>
  <c r="BK37" i="5"/>
  <c r="BL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X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S35" i="5"/>
  <c r="AK35" i="5"/>
  <c r="AL35" i="5"/>
  <c r="AM35" i="5"/>
  <c r="AN35" i="5"/>
  <c r="AO35" i="5"/>
  <c r="AP35" i="5"/>
  <c r="AQ35" i="5"/>
  <c r="AR35" i="5"/>
  <c r="D35" i="5"/>
  <c r="AT35" i="5"/>
  <c r="B35" i="5"/>
  <c r="C35" i="5"/>
  <c r="E35" i="5"/>
  <c r="F35" i="5"/>
  <c r="G35" i="5"/>
  <c r="H35" i="5"/>
  <c r="I35" i="5"/>
  <c r="J35" i="5"/>
  <c r="K35" i="5"/>
  <c r="L35" i="5"/>
  <c r="M35" i="5"/>
  <c r="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O33" i="5"/>
  <c r="AT33" i="5"/>
  <c r="AS33" i="5"/>
  <c r="AR33" i="5"/>
  <c r="AQ33" i="5"/>
  <c r="AP33" i="5"/>
  <c r="B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BF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BG33" i="5"/>
  <c r="C33" i="5"/>
  <c r="BE33" i="5"/>
  <c r="BD33" i="5"/>
  <c r="BC33" i="5"/>
  <c r="BB33" i="5"/>
  <c r="BA33" i="5"/>
  <c r="AZ33" i="5"/>
  <c r="AY33" i="5"/>
  <c r="AX33" i="5"/>
  <c r="AW33" i="5"/>
  <c r="AV33" i="5"/>
  <c r="AU33" i="5"/>
  <c r="AW32" i="5"/>
  <c r="AV32" i="5"/>
  <c r="AU32" i="5"/>
  <c r="Y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AT32" i="5"/>
  <c r="BA32" i="5"/>
  <c r="AZ32" i="5"/>
  <c r="AY32" i="5"/>
  <c r="AX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D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C31" i="5"/>
  <c r="AB31" i="5"/>
  <c r="AA31" i="5"/>
  <c r="Z31" i="5"/>
  <c r="B31" i="5"/>
  <c r="Y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X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I30" i="5"/>
  <c r="H30" i="5"/>
  <c r="G30" i="5"/>
  <c r="F30" i="5"/>
  <c r="E30" i="5"/>
  <c r="D30" i="5"/>
  <c r="C30" i="5"/>
  <c r="B30" i="5"/>
  <c r="J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29" i="5"/>
  <c r="B29" i="5"/>
  <c r="BI29" i="5"/>
  <c r="BM29" i="5"/>
  <c r="BL29" i="5"/>
  <c r="BK29" i="5"/>
  <c r="BJ29" i="5"/>
  <c r="AU29" i="5"/>
  <c r="BH29" i="5"/>
  <c r="BG29" i="5"/>
  <c r="BF29" i="5"/>
  <c r="BE29" i="5"/>
  <c r="BD29" i="5"/>
  <c r="BC29" i="5"/>
  <c r="BB29" i="5"/>
  <c r="BA29" i="5"/>
  <c r="AD29" i="5"/>
  <c r="AZ29" i="5"/>
  <c r="AY29" i="5"/>
  <c r="AX29" i="5"/>
  <c r="AW29" i="5"/>
  <c r="AV29" i="5"/>
  <c r="D29" i="5"/>
  <c r="C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G28" i="5"/>
  <c r="AQ28" i="5"/>
  <c r="AR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AS28" i="5"/>
  <c r="F28" i="5"/>
  <c r="E28" i="5"/>
  <c r="D28" i="5"/>
  <c r="C28" i="5"/>
  <c r="B28" i="5"/>
  <c r="BM28" i="5"/>
  <c r="BL28" i="5"/>
  <c r="BK28" i="5"/>
  <c r="BJ28" i="5"/>
  <c r="BI28" i="5"/>
  <c r="BH28" i="5"/>
  <c r="BG28" i="5"/>
  <c r="AT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BC27" i="5"/>
  <c r="BM27" i="5"/>
  <c r="BL27" i="5"/>
  <c r="BK27" i="5"/>
  <c r="BJ27" i="5"/>
  <c r="BI27" i="5"/>
  <c r="BH27" i="5"/>
  <c r="BG27" i="5"/>
  <c r="BF27" i="5"/>
  <c r="BE27" i="5"/>
  <c r="BD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D26" i="5"/>
  <c r="B26" i="5"/>
  <c r="C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BL25" i="5"/>
  <c r="BM25" i="5"/>
  <c r="N25" i="5"/>
  <c r="AY25" i="5"/>
  <c r="B25" i="5"/>
  <c r="C25" i="5"/>
  <c r="D25" i="5"/>
  <c r="E25" i="5"/>
  <c r="F25" i="5"/>
  <c r="G25" i="5"/>
  <c r="H25" i="5"/>
  <c r="I25" i="5"/>
  <c r="J25" i="5"/>
  <c r="K25" i="5"/>
  <c r="L25" i="5"/>
  <c r="M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M24" i="5"/>
  <c r="N24" i="5"/>
  <c r="BD24" i="5"/>
  <c r="BE24" i="5"/>
  <c r="BF24" i="5"/>
  <c r="O24" i="5"/>
  <c r="P24" i="5"/>
  <c r="Q24" i="5"/>
  <c r="R24" i="5"/>
  <c r="S24" i="5"/>
  <c r="T24" i="5"/>
  <c r="U24" i="5"/>
  <c r="V24" i="5"/>
  <c r="W24" i="5"/>
  <c r="X24" i="5"/>
  <c r="Y24" i="5"/>
  <c r="AA24" i="5"/>
  <c r="AB24" i="5"/>
  <c r="AC24" i="5"/>
  <c r="AD24" i="5"/>
  <c r="AE24" i="5"/>
  <c r="AF24" i="5"/>
  <c r="E24" i="5"/>
  <c r="AG24" i="5"/>
  <c r="AH24" i="5"/>
  <c r="AI24" i="5"/>
  <c r="AJ24" i="5"/>
  <c r="BG24" i="5"/>
  <c r="BH24" i="5"/>
  <c r="BI24" i="5"/>
  <c r="BJ24" i="5"/>
  <c r="Z24" i="5"/>
  <c r="BK24" i="5"/>
  <c r="BL24" i="5"/>
  <c r="BM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24" i="5"/>
  <c r="C24" i="5"/>
  <c r="D24" i="5"/>
  <c r="F24" i="5"/>
  <c r="G24" i="5"/>
  <c r="H24" i="5"/>
  <c r="I24" i="5"/>
  <c r="J24" i="5"/>
  <c r="K24" i="5"/>
  <c r="L24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E23" i="5"/>
  <c r="BA23" i="5"/>
  <c r="BM23" i="5"/>
  <c r="BL23" i="5"/>
  <c r="BK23" i="5"/>
  <c r="BJ23" i="5"/>
  <c r="BI23" i="5"/>
  <c r="BH23" i="5"/>
  <c r="BG23" i="5"/>
  <c r="BF23" i="5"/>
  <c r="BD23" i="5"/>
  <c r="BC23" i="5"/>
  <c r="BB23" i="5"/>
  <c r="B23" i="5"/>
  <c r="C23" i="5"/>
  <c r="D23" i="5"/>
  <c r="E23" i="5"/>
  <c r="F23" i="5"/>
  <c r="G23" i="5"/>
  <c r="H23" i="5"/>
  <c r="AN23" i="5"/>
  <c r="BJ22" i="5"/>
  <c r="BI22" i="5"/>
  <c r="BH22" i="5"/>
  <c r="BG22" i="5"/>
  <c r="BF22" i="5"/>
  <c r="BE22" i="5"/>
  <c r="BD22" i="5"/>
  <c r="BC22" i="5"/>
  <c r="BB22" i="5"/>
  <c r="B22" i="5"/>
  <c r="C22" i="5"/>
  <c r="V22" i="5"/>
  <c r="W22" i="5"/>
  <c r="X22" i="5"/>
  <c r="Y22" i="5"/>
  <c r="AJ22" i="5"/>
  <c r="Z22" i="5"/>
  <c r="AA22" i="5"/>
  <c r="AB22" i="5"/>
  <c r="AC22" i="5"/>
  <c r="AD22" i="5"/>
  <c r="AE22" i="5"/>
  <c r="AF22" i="5"/>
  <c r="AG22" i="5"/>
  <c r="AH22" i="5"/>
  <c r="AI22" i="5"/>
  <c r="AK22" i="5"/>
  <c r="AL22" i="5"/>
  <c r="AM22" i="5"/>
  <c r="AN22" i="5"/>
  <c r="AO22" i="5"/>
  <c r="BM22" i="5"/>
  <c r="L22" i="5"/>
  <c r="AT22" i="5"/>
  <c r="AP22" i="5"/>
  <c r="AQ22" i="5"/>
  <c r="AR22" i="5"/>
  <c r="AS22" i="5"/>
  <c r="AU22" i="5"/>
  <c r="AV22" i="5"/>
  <c r="AW22" i="5"/>
  <c r="AX22" i="5"/>
  <c r="AY22" i="5"/>
  <c r="AZ22" i="5"/>
  <c r="BA22" i="5"/>
  <c r="J22" i="5"/>
  <c r="I22" i="5"/>
  <c r="H22" i="5"/>
  <c r="U22" i="5"/>
  <c r="G22" i="5"/>
  <c r="F22" i="5"/>
  <c r="E22" i="5"/>
  <c r="D22" i="5"/>
  <c r="K22" i="5"/>
  <c r="BL22" i="5"/>
  <c r="M22" i="5"/>
  <c r="N22" i="5"/>
  <c r="O22" i="5"/>
  <c r="P22" i="5"/>
  <c r="Q22" i="5"/>
  <c r="R22" i="5"/>
  <c r="S22" i="5"/>
  <c r="T22" i="5"/>
  <c r="BM21" i="5"/>
  <c r="BL21" i="5"/>
  <c r="BK21" i="5"/>
  <c r="BJ21" i="5"/>
  <c r="BI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Y21" i="5"/>
  <c r="X21" i="5"/>
  <c r="W21" i="5"/>
  <c r="V21" i="5"/>
  <c r="AQ21" i="5"/>
  <c r="T21" i="5"/>
  <c r="U21" i="5"/>
  <c r="C21" i="5"/>
  <c r="D21" i="5"/>
  <c r="E21" i="5"/>
  <c r="F21" i="5"/>
  <c r="BH21" i="5"/>
  <c r="G21" i="5"/>
  <c r="H21" i="5"/>
  <c r="I21" i="5"/>
  <c r="J21" i="5"/>
  <c r="K21" i="5"/>
  <c r="Z21" i="5"/>
  <c r="B21" i="5"/>
  <c r="M21" i="5"/>
  <c r="N21" i="5"/>
  <c r="O21" i="5"/>
  <c r="P21" i="5"/>
  <c r="Q21" i="5"/>
  <c r="R21" i="5"/>
  <c r="S21" i="5"/>
  <c r="L21" i="5"/>
  <c r="BK20" i="5"/>
  <c r="BL20" i="5"/>
  <c r="BM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V20" i="5"/>
  <c r="G20" i="5"/>
  <c r="F20" i="5"/>
  <c r="E20" i="5"/>
  <c r="D20" i="5"/>
  <c r="C20" i="5"/>
  <c r="B20" i="5"/>
  <c r="H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X19" i="5"/>
  <c r="V19" i="5"/>
  <c r="U19" i="5"/>
  <c r="T19" i="5"/>
  <c r="S19" i="5"/>
  <c r="R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T19" i="5"/>
  <c r="AI19" i="5"/>
  <c r="AJ19" i="5"/>
  <c r="AK19" i="5"/>
  <c r="BE19" i="5"/>
  <c r="BI19" i="5"/>
  <c r="BH19" i="5"/>
  <c r="BG19" i="5"/>
  <c r="AL19" i="5"/>
  <c r="AM19" i="5"/>
  <c r="AN19" i="5"/>
  <c r="Y19" i="5"/>
  <c r="AO19" i="5"/>
  <c r="AP19" i="5"/>
  <c r="AQ19" i="5"/>
  <c r="AR19" i="5"/>
  <c r="AS19" i="5"/>
  <c r="AU19" i="5"/>
  <c r="AV19" i="5"/>
  <c r="AW19" i="5"/>
  <c r="AX19" i="5"/>
  <c r="BF19" i="5"/>
  <c r="AY19" i="5"/>
  <c r="AZ19" i="5"/>
  <c r="BA19" i="5"/>
  <c r="BB19" i="5"/>
  <c r="BC19" i="5"/>
  <c r="AH19" i="5"/>
  <c r="BD19" i="5"/>
  <c r="BM19" i="5"/>
  <c r="BL19" i="5"/>
  <c r="BK19" i="5"/>
  <c r="BJ19" i="5"/>
  <c r="Q19" i="5"/>
  <c r="W19" i="5"/>
  <c r="Z19" i="5"/>
  <c r="AA19" i="5"/>
  <c r="AB19" i="5"/>
  <c r="AC19" i="5"/>
  <c r="AD19" i="5"/>
  <c r="AE19" i="5"/>
  <c r="AF19" i="5"/>
  <c r="AG19" i="5"/>
  <c r="BM18" i="5"/>
  <c r="BL18" i="5"/>
  <c r="BK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E18" i="5"/>
  <c r="D18" i="5"/>
  <c r="C18" i="5"/>
  <c r="B18" i="5"/>
  <c r="AE18" i="5"/>
  <c r="F18" i="5"/>
  <c r="AD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7" i="5"/>
  <c r="AD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L17" i="5"/>
  <c r="BM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E17" i="5"/>
  <c r="AF17" i="5"/>
  <c r="AG17" i="5"/>
  <c r="AH17" i="5"/>
  <c r="BB16" i="5"/>
  <c r="BA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BL16" i="5"/>
  <c r="AJ16" i="5"/>
  <c r="AI16" i="5"/>
  <c r="AH16" i="5"/>
  <c r="AG16" i="5"/>
  <c r="AF16" i="5"/>
  <c r="AE16" i="5"/>
  <c r="AC16" i="5"/>
  <c r="AB16" i="5"/>
  <c r="AA16" i="5"/>
  <c r="Z16" i="5"/>
  <c r="Y16" i="5"/>
  <c r="X16" i="5"/>
  <c r="W16" i="5"/>
  <c r="V16" i="5"/>
  <c r="T16" i="5"/>
  <c r="AD16" i="5"/>
  <c r="S16" i="5"/>
  <c r="AZ16" i="5"/>
  <c r="R16" i="5"/>
  <c r="Q16" i="5"/>
  <c r="P16" i="5"/>
  <c r="O16" i="5"/>
  <c r="N16" i="5"/>
  <c r="M16" i="5"/>
  <c r="L16" i="5"/>
  <c r="K16" i="5"/>
  <c r="J16" i="5"/>
  <c r="B16" i="5"/>
  <c r="I16" i="5"/>
  <c r="H16" i="5"/>
  <c r="G16" i="5"/>
  <c r="F16" i="5"/>
  <c r="E16" i="5"/>
  <c r="D16" i="5"/>
  <c r="C16" i="5"/>
  <c r="BM16" i="5"/>
  <c r="BK16" i="5"/>
  <c r="BJ16" i="5"/>
  <c r="BI16" i="5"/>
  <c r="AY16" i="5"/>
  <c r="BH16" i="5"/>
  <c r="BG16" i="5"/>
  <c r="BF16" i="5"/>
  <c r="BE16" i="5"/>
  <c r="BD16" i="5"/>
  <c r="BC16" i="5"/>
  <c r="AX16" i="5"/>
  <c r="U16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B15" i="5"/>
  <c r="N15" i="5"/>
  <c r="BM15" i="5"/>
  <c r="BL15" i="5"/>
  <c r="BK15" i="5"/>
  <c r="BJ15" i="5"/>
  <c r="BI15" i="5"/>
  <c r="BH15" i="5"/>
  <c r="BG15" i="5"/>
  <c r="BF15" i="5"/>
  <c r="BE15" i="5"/>
  <c r="BB14" i="5"/>
  <c r="G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V14" i="5"/>
  <c r="F14" i="5"/>
  <c r="E14" i="5"/>
  <c r="D14" i="5"/>
  <c r="C14" i="5"/>
  <c r="B14" i="5"/>
  <c r="BL14" i="5"/>
  <c r="BM14" i="5"/>
  <c r="BJ14" i="5"/>
  <c r="BI14" i="5"/>
  <c r="BH14" i="5"/>
  <c r="BG14" i="5"/>
  <c r="BF14" i="5"/>
  <c r="BE14" i="5"/>
  <c r="BD14" i="5"/>
  <c r="BC14" i="5"/>
  <c r="AH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BK14" i="5"/>
  <c r="AG14" i="5"/>
  <c r="AF14" i="5"/>
  <c r="AE14" i="5"/>
  <c r="AD14" i="5"/>
  <c r="AC14" i="5"/>
  <c r="AB14" i="5"/>
  <c r="AA14" i="5"/>
  <c r="Z14" i="5"/>
  <c r="Y14" i="5"/>
  <c r="X14" i="5"/>
  <c r="W14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E13" i="5"/>
  <c r="AD13" i="5"/>
  <c r="AC13" i="5"/>
  <c r="AB13" i="5"/>
  <c r="AA13" i="5"/>
  <c r="Z13" i="5"/>
  <c r="Y13" i="5"/>
  <c r="AF13" i="5"/>
  <c r="X13" i="5"/>
  <c r="BK13" i="5"/>
  <c r="BJ13" i="5"/>
  <c r="BI13" i="5"/>
  <c r="BH13" i="5"/>
  <c r="BG13" i="5"/>
  <c r="BF13" i="5"/>
  <c r="BE13" i="5"/>
  <c r="K13" i="5"/>
  <c r="BC13" i="5"/>
  <c r="BB13" i="5"/>
  <c r="BA13" i="5"/>
  <c r="AZ13" i="5"/>
  <c r="AY13" i="5"/>
  <c r="AX13" i="5"/>
  <c r="AW13" i="5"/>
  <c r="AV13" i="5"/>
  <c r="B13" i="5"/>
  <c r="C13" i="5"/>
  <c r="D13" i="5"/>
  <c r="T13" i="5"/>
  <c r="E13" i="5"/>
  <c r="F13" i="5"/>
  <c r="G13" i="5"/>
  <c r="BD13" i="5"/>
  <c r="I13" i="5"/>
  <c r="J13" i="5"/>
  <c r="U13" i="5"/>
  <c r="L13" i="5"/>
  <c r="M13" i="5"/>
  <c r="N13" i="5"/>
  <c r="W13" i="5"/>
  <c r="O13" i="5"/>
  <c r="P13" i="5"/>
  <c r="Q13" i="5"/>
  <c r="R13" i="5"/>
  <c r="S13" i="5"/>
  <c r="V13" i="5"/>
  <c r="BM13" i="5"/>
  <c r="BL13" i="5"/>
  <c r="H13" i="5"/>
  <c r="BD12" i="5"/>
  <c r="BE12" i="5"/>
  <c r="BF12" i="5"/>
  <c r="BG12" i="5"/>
  <c r="BH12" i="5"/>
  <c r="BI12" i="5"/>
  <c r="BJ12" i="5"/>
  <c r="BK12" i="5"/>
  <c r="BL12" i="5"/>
  <c r="BM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12" i="5"/>
  <c r="C12" i="5"/>
  <c r="D12" i="5"/>
  <c r="E12" i="5"/>
  <c r="F12" i="5"/>
  <c r="G12" i="5"/>
  <c r="H12" i="5"/>
  <c r="I12" i="5"/>
  <c r="J12" i="5"/>
  <c r="BB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BC12" i="5"/>
  <c r="K12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B11" i="5"/>
  <c r="AI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Y10" i="5"/>
  <c r="BE10" i="5"/>
  <c r="BF10" i="5"/>
  <c r="BG10" i="5"/>
  <c r="BI10" i="5"/>
  <c r="BJ10" i="5"/>
  <c r="BK10" i="5"/>
  <c r="BL10" i="5"/>
  <c r="BM10" i="5"/>
  <c r="AI10" i="5"/>
  <c r="BD10" i="5"/>
  <c r="BH10" i="5"/>
  <c r="X10" i="5"/>
  <c r="W10" i="5"/>
  <c r="V10" i="5"/>
  <c r="AH10" i="5"/>
  <c r="AG10" i="5"/>
  <c r="AF10" i="5"/>
  <c r="AE10" i="5"/>
  <c r="AD10" i="5"/>
  <c r="AC10" i="5"/>
  <c r="AB10" i="5"/>
  <c r="AA10" i="5"/>
  <c r="Z10" i="5"/>
  <c r="I9" i="5"/>
  <c r="AM9" i="5"/>
  <c r="AN9" i="5"/>
  <c r="AO9" i="5"/>
  <c r="AP9" i="5"/>
  <c r="AQ9" i="5"/>
  <c r="AR9" i="5"/>
  <c r="AS9" i="5"/>
  <c r="AU9" i="5"/>
  <c r="AV9" i="5"/>
  <c r="AW9" i="5"/>
  <c r="AX9" i="5"/>
  <c r="Y9" i="5"/>
  <c r="AY9" i="5"/>
  <c r="AZ9" i="5"/>
  <c r="BA9" i="5"/>
  <c r="BB9" i="5"/>
  <c r="BC9" i="5"/>
  <c r="BD9" i="5"/>
  <c r="BE9" i="5"/>
  <c r="BF9" i="5"/>
  <c r="BG9" i="5"/>
  <c r="BH9" i="5"/>
  <c r="BI9" i="5"/>
  <c r="BJ9" i="5"/>
  <c r="BL9" i="5"/>
  <c r="BM9" i="5"/>
  <c r="M9" i="5"/>
  <c r="AD9" i="5"/>
  <c r="B9" i="5"/>
  <c r="C9" i="5"/>
  <c r="D9" i="5"/>
  <c r="E9" i="5"/>
  <c r="F9" i="5"/>
  <c r="G9" i="5"/>
  <c r="H9" i="5"/>
  <c r="AT9" i="5"/>
  <c r="J9" i="5"/>
  <c r="K9" i="5"/>
  <c r="L9" i="5"/>
  <c r="N9" i="5"/>
  <c r="O9" i="5"/>
  <c r="P9" i="5"/>
  <c r="Q9" i="5"/>
  <c r="R9" i="5"/>
  <c r="S9" i="5"/>
  <c r="T9" i="5"/>
  <c r="U9" i="5"/>
  <c r="V9" i="5"/>
  <c r="W9" i="5"/>
  <c r="X9" i="5"/>
  <c r="BK9" i="5"/>
  <c r="Z9" i="5"/>
  <c r="AA9" i="5"/>
  <c r="AB9" i="5"/>
  <c r="AC9" i="5"/>
  <c r="AE9" i="5"/>
  <c r="AF9" i="5"/>
  <c r="AG9" i="5"/>
  <c r="AH9" i="5"/>
  <c r="AI9" i="5"/>
  <c r="AJ9" i="5"/>
  <c r="AK9" i="5"/>
  <c r="AL9" i="5"/>
  <c r="AF42" i="4"/>
  <c r="AG42" i="4"/>
  <c r="AH42" i="4"/>
  <c r="AI42" i="4"/>
  <c r="AJ42" i="4"/>
  <c r="AK42" i="4"/>
  <c r="B42" i="4"/>
  <c r="C42" i="4"/>
  <c r="D42" i="4"/>
  <c r="AM42" i="4"/>
  <c r="E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AL42" i="4"/>
  <c r="T42" i="4"/>
  <c r="U42" i="4"/>
  <c r="W42" i="4"/>
  <c r="F42" i="4"/>
  <c r="X42" i="4"/>
  <c r="Y42" i="4"/>
  <c r="V42" i="4"/>
  <c r="Z42" i="4"/>
  <c r="AA42" i="4"/>
  <c r="AB42" i="4"/>
  <c r="AC42" i="4"/>
  <c r="AD42" i="4"/>
  <c r="AE42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AC41" i="4"/>
  <c r="B41" i="4"/>
  <c r="C41" i="4"/>
  <c r="D41" i="4"/>
  <c r="E41" i="4"/>
  <c r="F41" i="4"/>
  <c r="G41" i="4"/>
  <c r="H41" i="4"/>
  <c r="I41" i="4"/>
  <c r="J41" i="4"/>
  <c r="BM41" i="4"/>
  <c r="BL41" i="4"/>
  <c r="BK41" i="4"/>
  <c r="BJ41" i="4"/>
  <c r="BI41" i="4"/>
  <c r="BH41" i="4"/>
  <c r="BG41" i="4"/>
  <c r="BF41" i="4"/>
  <c r="BE41" i="4"/>
  <c r="AY40" i="4"/>
  <c r="AZ40" i="4"/>
  <c r="BA40" i="4"/>
  <c r="BB40" i="4"/>
  <c r="BC40" i="4"/>
  <c r="BD40" i="4"/>
  <c r="BE40" i="4"/>
  <c r="B40" i="4"/>
  <c r="C40" i="4"/>
  <c r="D40" i="4"/>
  <c r="E40" i="4"/>
  <c r="F40" i="4"/>
  <c r="G40" i="4"/>
  <c r="H40" i="4"/>
  <c r="I40" i="4"/>
  <c r="U40" i="4"/>
  <c r="BF40" i="4"/>
  <c r="T40" i="4"/>
  <c r="S40" i="4"/>
  <c r="R40" i="4"/>
  <c r="Q40" i="4"/>
  <c r="P40" i="4"/>
  <c r="O40" i="4"/>
  <c r="N40" i="4"/>
  <c r="L40" i="4"/>
  <c r="K40" i="4"/>
  <c r="J40" i="4"/>
  <c r="AW40" i="4"/>
  <c r="AX40" i="4"/>
  <c r="BG40" i="4"/>
  <c r="BH40" i="4"/>
  <c r="BI40" i="4"/>
  <c r="BJ40" i="4"/>
  <c r="BK40" i="4"/>
  <c r="BL40" i="4"/>
  <c r="BM40" i="4"/>
  <c r="AO40" i="4"/>
  <c r="AP40" i="4"/>
  <c r="AQ40" i="4"/>
  <c r="AR40" i="4"/>
  <c r="AS40" i="4"/>
  <c r="AT40" i="4"/>
  <c r="AU40" i="4"/>
  <c r="AV40" i="4"/>
  <c r="AN40" i="4"/>
  <c r="AM40" i="4"/>
  <c r="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AG39" i="4"/>
  <c r="AW39" i="4"/>
  <c r="AV39" i="4"/>
  <c r="AU39" i="4"/>
  <c r="AT39" i="4"/>
  <c r="AS39" i="4"/>
  <c r="AR39" i="4"/>
  <c r="AQ39" i="4"/>
  <c r="AY39" i="4"/>
  <c r="AP39" i="4"/>
  <c r="AO39" i="4"/>
  <c r="AN39" i="4"/>
  <c r="AM39" i="4"/>
  <c r="AL39" i="4"/>
  <c r="AK39" i="4"/>
  <c r="AJ39" i="4"/>
  <c r="AI39" i="4"/>
  <c r="AZ39" i="4"/>
  <c r="BA39" i="4"/>
  <c r="BB39" i="4"/>
  <c r="BC39" i="4"/>
  <c r="BD39" i="4"/>
  <c r="BE39" i="4"/>
  <c r="BF39" i="4"/>
  <c r="BG39" i="4"/>
  <c r="AH39" i="4"/>
  <c r="AF39" i="4"/>
  <c r="AE39" i="4"/>
  <c r="AD39" i="4"/>
  <c r="AC39" i="4"/>
  <c r="AB39" i="4"/>
  <c r="AA39" i="4"/>
  <c r="Z39" i="4"/>
  <c r="Y39" i="4"/>
  <c r="X39" i="4"/>
  <c r="W39" i="4"/>
  <c r="V39" i="4"/>
  <c r="U39" i="4"/>
  <c r="AX39" i="4"/>
  <c r="BI39" i="4"/>
  <c r="BH39" i="4"/>
  <c r="BJ39" i="4"/>
  <c r="BK39" i="4"/>
  <c r="BL39" i="4"/>
  <c r="BM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C38" i="4"/>
  <c r="BM38" i="4"/>
  <c r="BL38" i="4"/>
  <c r="BK38" i="4"/>
  <c r="BJ38" i="4"/>
  <c r="BI38" i="4"/>
  <c r="BH38" i="4"/>
  <c r="BG38" i="4"/>
  <c r="BF38" i="4"/>
  <c r="BE38" i="4"/>
  <c r="BD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D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AL37" i="4"/>
  <c r="Q37" i="4"/>
  <c r="R37" i="4"/>
  <c r="X37" i="4"/>
  <c r="S37" i="4"/>
  <c r="T37" i="4"/>
  <c r="U37" i="4"/>
  <c r="V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BM37" i="4"/>
  <c r="BL37" i="4"/>
  <c r="W37" i="4"/>
  <c r="BK37" i="4"/>
  <c r="BJ37" i="4"/>
  <c r="BI37" i="4"/>
  <c r="BH37" i="4"/>
  <c r="BG37" i="4"/>
  <c r="BF37" i="4"/>
  <c r="BE37" i="4"/>
  <c r="Y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M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P35" i="4"/>
  <c r="BD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Q35" i="4"/>
  <c r="R35" i="4"/>
  <c r="S35" i="4"/>
  <c r="T35" i="4"/>
  <c r="U35" i="4"/>
  <c r="V35" i="4"/>
  <c r="W35" i="4"/>
  <c r="BM35" i="4"/>
  <c r="BL35" i="4"/>
  <c r="BK35" i="4"/>
  <c r="BJ35" i="4"/>
  <c r="BI35" i="4"/>
  <c r="BH35" i="4"/>
  <c r="BG35" i="4"/>
  <c r="BF35" i="4"/>
  <c r="BE35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O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N33" i="4"/>
  <c r="AM33" i="4"/>
  <c r="AL33" i="4"/>
  <c r="AK33" i="4"/>
  <c r="AJ33" i="4"/>
  <c r="AI33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BE31" i="4"/>
  <c r="BM31" i="4"/>
  <c r="BL31" i="4"/>
  <c r="BK31" i="4"/>
  <c r="BJ31" i="4"/>
  <c r="BI31" i="4"/>
  <c r="BH31" i="4"/>
  <c r="BG31" i="4"/>
  <c r="BF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G30" i="4"/>
  <c r="AR30" i="4"/>
  <c r="L30" i="4"/>
  <c r="K30" i="4"/>
  <c r="J30" i="4"/>
  <c r="I30" i="4"/>
  <c r="H30" i="4"/>
  <c r="F30" i="4"/>
  <c r="E30" i="4"/>
  <c r="D30" i="4"/>
  <c r="C30" i="4"/>
  <c r="B30" i="4"/>
  <c r="BE30" i="4"/>
  <c r="M30" i="4"/>
  <c r="N30" i="4"/>
  <c r="O30" i="4"/>
  <c r="BM30" i="4"/>
  <c r="BL30" i="4"/>
  <c r="BK30" i="4"/>
  <c r="BJ30" i="4"/>
  <c r="BI30" i="4"/>
  <c r="BH30" i="4"/>
  <c r="BG30" i="4"/>
  <c r="BF30" i="4"/>
  <c r="AA29" i="4"/>
  <c r="K29" i="4"/>
  <c r="J29" i="4"/>
  <c r="I29" i="4"/>
  <c r="H29" i="4"/>
  <c r="G29" i="4"/>
  <c r="F29" i="4"/>
  <c r="E29" i="4"/>
  <c r="D29" i="4"/>
  <c r="C29" i="4"/>
  <c r="B29" i="4"/>
  <c r="AI29" i="4"/>
  <c r="AH29" i="4"/>
  <c r="AG29" i="4"/>
  <c r="AF29" i="4"/>
  <c r="AE29" i="4"/>
  <c r="L29" i="4"/>
  <c r="AC29" i="4"/>
  <c r="AB29" i="4"/>
  <c r="Z29" i="4"/>
  <c r="Y29" i="4"/>
  <c r="X29" i="4"/>
  <c r="BM29" i="4"/>
  <c r="BL29" i="4"/>
  <c r="BK29" i="4"/>
  <c r="BJ29" i="4"/>
  <c r="BI29" i="4"/>
  <c r="BH29" i="4"/>
  <c r="BG29" i="4"/>
  <c r="BF29" i="4"/>
  <c r="BE29" i="4"/>
  <c r="W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D29" i="4"/>
  <c r="BD29" i="4"/>
  <c r="AM29" i="4"/>
  <c r="AL29" i="4"/>
  <c r="AK29" i="4"/>
  <c r="AJ29" i="4"/>
  <c r="V29" i="4"/>
  <c r="U29" i="4"/>
  <c r="T29" i="4"/>
  <c r="S29" i="4"/>
  <c r="R29" i="4"/>
  <c r="Q29" i="4"/>
  <c r="P29" i="4"/>
  <c r="O29" i="4"/>
  <c r="N29" i="4"/>
  <c r="M29" i="4"/>
  <c r="AO29" i="4"/>
  <c r="AN29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BM28" i="4"/>
  <c r="BL28" i="4"/>
  <c r="BK28" i="4"/>
  <c r="BJ28" i="4"/>
  <c r="BI28" i="4"/>
  <c r="BH28" i="4"/>
  <c r="BG28" i="4"/>
  <c r="BF28" i="4"/>
  <c r="BE28" i="4"/>
  <c r="AO27" i="4"/>
  <c r="V27" i="4"/>
  <c r="W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X27" i="4"/>
  <c r="BC27" i="4"/>
  <c r="BD27" i="4"/>
  <c r="BH27" i="4"/>
  <c r="BG27" i="4"/>
  <c r="BF27" i="4"/>
  <c r="BE27" i="4"/>
  <c r="BM27" i="4"/>
  <c r="BL27" i="4"/>
  <c r="BK27" i="4"/>
  <c r="BJ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BI27" i="4"/>
  <c r="O27" i="4"/>
  <c r="P27" i="4"/>
  <c r="Q27" i="4"/>
  <c r="R27" i="4"/>
  <c r="S27" i="4"/>
  <c r="T27" i="4"/>
  <c r="U27" i="4"/>
  <c r="Y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X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D25" i="4"/>
  <c r="E25" i="4"/>
  <c r="F25" i="4"/>
  <c r="G25" i="4"/>
  <c r="H25" i="4"/>
  <c r="I25" i="4"/>
  <c r="J25" i="4"/>
  <c r="K25" i="4"/>
  <c r="L25" i="4"/>
  <c r="BD25" i="4"/>
  <c r="Y25" i="4"/>
  <c r="X25" i="4"/>
  <c r="W25" i="4"/>
  <c r="V25" i="4"/>
  <c r="U25" i="4"/>
  <c r="T25" i="4"/>
  <c r="BC25" i="4"/>
  <c r="S25" i="4"/>
  <c r="R25" i="4"/>
  <c r="Q25" i="4"/>
  <c r="P25" i="4"/>
  <c r="O25" i="4"/>
  <c r="N25" i="4"/>
  <c r="M25" i="4"/>
  <c r="BL25" i="4"/>
  <c r="BK25" i="4"/>
  <c r="BJ25" i="4"/>
  <c r="BI25" i="4"/>
  <c r="BH25" i="4"/>
  <c r="BG25" i="4"/>
  <c r="BF25" i="4"/>
  <c r="C25" i="4"/>
  <c r="BE25" i="4"/>
  <c r="BB25" i="4"/>
  <c r="BA25" i="4"/>
  <c r="AZ25" i="4"/>
  <c r="AY25" i="4"/>
  <c r="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BM25" i="4"/>
  <c r="AH25" i="4"/>
  <c r="AG25" i="4"/>
  <c r="AF25" i="4"/>
  <c r="AE25" i="4"/>
  <c r="AD25" i="4"/>
  <c r="AC25" i="4"/>
  <c r="AB25" i="4"/>
  <c r="AA25" i="4"/>
  <c r="B25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AY24" i="4"/>
  <c r="AX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W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I22" i="4"/>
  <c r="AJ22" i="4"/>
  <c r="AK22" i="4"/>
  <c r="AL22" i="4"/>
  <c r="AM22" i="4"/>
  <c r="AN22" i="4"/>
  <c r="AA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B22" i="4"/>
  <c r="AC22" i="4"/>
  <c r="AD22" i="4"/>
  <c r="AE22" i="4"/>
  <c r="AF22" i="4"/>
  <c r="AG22" i="4"/>
  <c r="AH22" i="4"/>
  <c r="BM22" i="4"/>
  <c r="BL22" i="4"/>
  <c r="BK22" i="4"/>
  <c r="BJ22" i="4"/>
  <c r="BI22" i="4"/>
  <c r="BH22" i="4"/>
  <c r="BG22" i="4"/>
  <c r="BF22" i="4"/>
  <c r="BE22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BL21" i="4"/>
  <c r="AS21" i="4"/>
  <c r="AT21" i="4"/>
  <c r="AU21" i="4"/>
  <c r="AV21" i="4"/>
  <c r="AR21" i="4"/>
  <c r="AW21" i="4"/>
  <c r="AX21" i="4"/>
  <c r="BM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V20" i="4"/>
  <c r="U20" i="4"/>
  <c r="T20" i="4"/>
  <c r="S20" i="4"/>
  <c r="R20" i="4"/>
  <c r="Q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W20" i="4"/>
  <c r="BM20" i="4"/>
  <c r="BL20" i="4"/>
  <c r="BK20" i="4"/>
  <c r="BJ20" i="4"/>
  <c r="BI20" i="4"/>
  <c r="BH20" i="4"/>
  <c r="BG20" i="4"/>
  <c r="BF20" i="4"/>
  <c r="BE20" i="4"/>
  <c r="G19" i="4"/>
  <c r="AW19" i="4"/>
  <c r="AV19" i="4"/>
  <c r="AU19" i="4"/>
  <c r="AT19" i="4"/>
  <c r="AS19" i="4"/>
  <c r="AR19" i="4"/>
  <c r="AQ19" i="4"/>
  <c r="AP19" i="4"/>
  <c r="AO19" i="4"/>
  <c r="AN19" i="4"/>
  <c r="H19" i="4"/>
  <c r="X19" i="4"/>
  <c r="B19" i="4"/>
  <c r="C19" i="4"/>
  <c r="D19" i="4"/>
  <c r="E19" i="4"/>
  <c r="F19" i="4"/>
  <c r="AM19" i="4"/>
  <c r="I19" i="4"/>
  <c r="J19" i="4"/>
  <c r="K19" i="4"/>
  <c r="L19" i="4"/>
  <c r="M19" i="4"/>
  <c r="N19" i="4"/>
  <c r="O19" i="4"/>
  <c r="P19" i="4"/>
  <c r="Q19" i="4"/>
  <c r="R19" i="4"/>
  <c r="BL19" i="4"/>
  <c r="BK19" i="4"/>
  <c r="BJ19" i="4"/>
  <c r="BI19" i="4"/>
  <c r="BH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W19" i="4"/>
  <c r="V19" i="4"/>
  <c r="U19" i="4"/>
  <c r="T19" i="4"/>
  <c r="S19" i="4"/>
  <c r="BM19" i="4"/>
  <c r="BG19" i="4"/>
  <c r="BF19" i="4"/>
  <c r="BE19" i="4"/>
  <c r="BD19" i="4"/>
  <c r="BC19" i="4"/>
  <c r="BB19" i="4"/>
  <c r="BA19" i="4"/>
  <c r="AZ19" i="4"/>
  <c r="AY19" i="4"/>
  <c r="AX19" i="4"/>
  <c r="G17" i="4"/>
  <c r="BE17" i="4"/>
  <c r="BF17" i="4"/>
  <c r="BG17" i="4"/>
  <c r="BH17" i="4"/>
  <c r="BI17" i="4"/>
  <c r="BJ17" i="4"/>
  <c r="BK17" i="4"/>
  <c r="BL17" i="4"/>
  <c r="BM17" i="4"/>
  <c r="B17" i="4"/>
  <c r="C17" i="4"/>
  <c r="D17" i="4"/>
  <c r="E17" i="4"/>
  <c r="F17" i="4"/>
  <c r="H17" i="4"/>
  <c r="AF17" i="4"/>
  <c r="I17" i="4"/>
  <c r="J17" i="4"/>
  <c r="K17" i="4"/>
  <c r="L17" i="4"/>
  <c r="M17" i="4"/>
  <c r="N17" i="4"/>
  <c r="O17" i="4"/>
  <c r="P17" i="4"/>
  <c r="Q17" i="4"/>
  <c r="R17" i="4"/>
  <c r="T17" i="4"/>
  <c r="U17" i="4"/>
  <c r="V17" i="4"/>
  <c r="W17" i="4"/>
  <c r="X17" i="4"/>
  <c r="Y17" i="4"/>
  <c r="S17" i="4"/>
  <c r="Z17" i="4"/>
  <c r="AA17" i="4"/>
  <c r="AB17" i="4"/>
  <c r="AC17" i="4"/>
  <c r="AD17" i="4"/>
  <c r="AE17" i="4"/>
  <c r="AG17" i="4"/>
  <c r="AH17" i="4"/>
  <c r="AI17" i="4"/>
  <c r="AJ17" i="4"/>
  <c r="AK17" i="4"/>
  <c r="AL17" i="4"/>
  <c r="AM17" i="4"/>
  <c r="BD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6" i="4"/>
  <c r="BE16" i="4"/>
  <c r="BF16" i="4"/>
  <c r="BG16" i="4"/>
  <c r="BH16" i="4"/>
  <c r="BI16" i="4"/>
  <c r="BJ16" i="4"/>
  <c r="BK16" i="4"/>
  <c r="BL16" i="4"/>
  <c r="BM16" i="4"/>
  <c r="BC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B16" i="4"/>
  <c r="E16" i="4"/>
  <c r="D16" i="4"/>
  <c r="C16" i="4"/>
  <c r="B16" i="4"/>
  <c r="M16" i="4"/>
  <c r="F16" i="4"/>
  <c r="G16" i="4"/>
  <c r="H16" i="4"/>
  <c r="I16" i="4"/>
  <c r="J16" i="4"/>
  <c r="K16" i="4"/>
  <c r="L16" i="4"/>
  <c r="BA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E13" i="4"/>
  <c r="C13" i="4"/>
  <c r="B13" i="4"/>
  <c r="BL13" i="4"/>
  <c r="P13" i="4"/>
  <c r="O13" i="4"/>
  <c r="N13" i="4"/>
  <c r="M13" i="4"/>
  <c r="L13" i="4"/>
  <c r="K13" i="4"/>
  <c r="J13" i="4"/>
  <c r="I13" i="4"/>
  <c r="H13" i="4"/>
  <c r="G13" i="4"/>
  <c r="F13" i="4"/>
  <c r="BM13" i="4"/>
  <c r="AF13" i="4"/>
  <c r="D13" i="4"/>
  <c r="AM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L13" i="4"/>
  <c r="AK13" i="4"/>
  <c r="AJ13" i="4"/>
  <c r="AI13" i="4"/>
  <c r="AH13" i="4"/>
  <c r="AG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B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C12" i="4"/>
  <c r="X12" i="4"/>
  <c r="W12" i="4"/>
  <c r="AK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S12" i="4"/>
  <c r="T12" i="4"/>
  <c r="U12" i="4"/>
  <c r="V12" i="4"/>
  <c r="R12" i="4"/>
  <c r="BM12" i="4"/>
  <c r="BL12" i="4"/>
  <c r="BK12" i="4"/>
  <c r="BJ12" i="4"/>
  <c r="BI12" i="4"/>
  <c r="BH12" i="4"/>
  <c r="BG12" i="4"/>
  <c r="BF12" i="4"/>
  <c r="BE12" i="4"/>
  <c r="BD12" i="4"/>
  <c r="BC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BB12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BI11" i="4"/>
  <c r="BJ11" i="4"/>
  <c r="BK11" i="4"/>
  <c r="BL11" i="4"/>
  <c r="BM11" i="4"/>
  <c r="V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R11" i="4"/>
  <c r="F10" i="4"/>
  <c r="V10" i="4"/>
  <c r="U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AW10" i="4"/>
  <c r="E10" i="4"/>
  <c r="D10" i="4"/>
  <c r="C10" i="4"/>
  <c r="B10" i="4"/>
  <c r="T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AL9" i="4"/>
  <c r="AM9" i="4"/>
  <c r="AN9" i="4"/>
  <c r="T9" i="4"/>
  <c r="BM9" i="4"/>
  <c r="BL9" i="4"/>
  <c r="BK9" i="4"/>
  <c r="BJ9" i="4"/>
  <c r="BI9" i="4"/>
  <c r="BH9" i="4"/>
  <c r="BG9" i="4"/>
  <c r="BF9" i="4"/>
  <c r="BE9" i="4"/>
  <c r="BD9" i="4"/>
  <c r="BC9" i="4"/>
  <c r="AZ9" i="4"/>
  <c r="BB9" i="4"/>
  <c r="AO9" i="4"/>
  <c r="AP9" i="4"/>
  <c r="AQ9" i="4"/>
  <c r="AR9" i="4"/>
  <c r="AS9" i="4"/>
  <c r="AT9" i="4"/>
  <c r="AU9" i="4"/>
  <c r="AV9" i="4"/>
  <c r="AW9" i="4"/>
  <c r="AX9" i="4"/>
  <c r="AY9" i="4"/>
  <c r="U9" i="4"/>
  <c r="V9" i="4"/>
  <c r="BA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B9" i="4"/>
  <c r="C37" i="3"/>
  <c r="T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I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AJ37" i="3"/>
  <c r="B37" i="3"/>
  <c r="AF36" i="3"/>
  <c r="C36" i="3"/>
  <c r="AG36" i="3"/>
  <c r="AH36" i="3"/>
  <c r="B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I36" i="3"/>
  <c r="AD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E36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O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BH34" i="3"/>
  <c r="BG34" i="3"/>
  <c r="BF34" i="3"/>
  <c r="BC34" i="3"/>
  <c r="BD34" i="3"/>
  <c r="BB34" i="3"/>
  <c r="BA34" i="3"/>
  <c r="AZ34" i="3"/>
  <c r="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B34" i="3"/>
  <c r="AJ34" i="3"/>
  <c r="AI34" i="3"/>
  <c r="AH34" i="3"/>
  <c r="AE34" i="3"/>
  <c r="AD34" i="3"/>
  <c r="AC34" i="3"/>
  <c r="AB34" i="3"/>
  <c r="AA34" i="3"/>
  <c r="AG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AF34" i="3"/>
  <c r="C34" i="3"/>
  <c r="BE34" i="3"/>
  <c r="BM34" i="3"/>
  <c r="BL34" i="3"/>
  <c r="BK34" i="3"/>
  <c r="BJ34" i="3"/>
  <c r="BI34" i="3"/>
  <c r="AD33" i="3"/>
  <c r="AN33" i="3"/>
  <c r="AO33" i="3"/>
  <c r="AP33" i="3"/>
  <c r="AQ33" i="3"/>
  <c r="AR33" i="3"/>
  <c r="AS33" i="3"/>
  <c r="AU33" i="3"/>
  <c r="AV33" i="3"/>
  <c r="AW33" i="3"/>
  <c r="AX33" i="3"/>
  <c r="AY33" i="3"/>
  <c r="AZ33" i="3"/>
  <c r="BA33" i="3"/>
  <c r="BB33" i="3"/>
  <c r="BC33" i="3"/>
  <c r="G33" i="3"/>
  <c r="BD33" i="3"/>
  <c r="BE33" i="3"/>
  <c r="BF33" i="3"/>
  <c r="BG33" i="3"/>
  <c r="BH33" i="3"/>
  <c r="BI33" i="3"/>
  <c r="BJ33" i="3"/>
  <c r="BK33" i="3"/>
  <c r="BL33" i="3"/>
  <c r="BM33" i="3"/>
  <c r="B33" i="3"/>
  <c r="C33" i="3"/>
  <c r="D33" i="3"/>
  <c r="E33" i="3"/>
  <c r="F33" i="3"/>
  <c r="V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AT33" i="3"/>
  <c r="W33" i="3"/>
  <c r="X33" i="3"/>
  <c r="Y33" i="3"/>
  <c r="Z33" i="3"/>
  <c r="AA33" i="3"/>
  <c r="AB33" i="3"/>
  <c r="AC33" i="3"/>
  <c r="AE33" i="3"/>
  <c r="AF33" i="3"/>
  <c r="AG33" i="3"/>
  <c r="AH33" i="3"/>
  <c r="AI33" i="3"/>
  <c r="AJ33" i="3"/>
  <c r="AK33" i="3"/>
  <c r="AL33" i="3"/>
  <c r="AM33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C32" i="3"/>
  <c r="BD32" i="3"/>
  <c r="BE32" i="3"/>
  <c r="BF32" i="3"/>
  <c r="BG32" i="3"/>
  <c r="BH32" i="3"/>
  <c r="BI32" i="3"/>
  <c r="BK32" i="3"/>
  <c r="BL32" i="3"/>
  <c r="BM32" i="3"/>
  <c r="BB32" i="3"/>
  <c r="BJ32" i="3"/>
  <c r="D32" i="3"/>
  <c r="C32" i="3"/>
  <c r="B32" i="3"/>
  <c r="G32" i="3"/>
  <c r="AL32" i="3"/>
  <c r="AK32" i="3"/>
  <c r="AJ32" i="3"/>
  <c r="AI32" i="3"/>
  <c r="AH32" i="3"/>
  <c r="AG32" i="3"/>
  <c r="AF32" i="3"/>
  <c r="AE32" i="3"/>
  <c r="F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E32" i="3"/>
  <c r="O32" i="3"/>
  <c r="N32" i="3"/>
  <c r="M32" i="3"/>
  <c r="L32" i="3"/>
  <c r="K32" i="3"/>
  <c r="J32" i="3"/>
  <c r="I32" i="3"/>
  <c r="H32" i="3"/>
  <c r="P32" i="3"/>
  <c r="D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AU31" i="3"/>
  <c r="B31" i="3"/>
  <c r="C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H30" i="3"/>
  <c r="G30" i="3"/>
  <c r="F30" i="3"/>
  <c r="E30" i="3"/>
  <c r="D30" i="3"/>
  <c r="C30" i="3"/>
  <c r="B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X30" i="3"/>
  <c r="BE30" i="3"/>
  <c r="BF30" i="3"/>
  <c r="BG30" i="3"/>
  <c r="BH30" i="3"/>
  <c r="BI30" i="3"/>
  <c r="BJ30" i="3"/>
  <c r="BK30" i="3"/>
  <c r="BL30" i="3"/>
  <c r="BM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I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U29" i="3"/>
  <c r="AT29" i="3"/>
  <c r="AS29" i="3"/>
  <c r="AR29" i="3"/>
  <c r="AQ29" i="3"/>
  <c r="AP29" i="3"/>
  <c r="AL29" i="3"/>
  <c r="B29" i="3"/>
  <c r="C29" i="3"/>
  <c r="AV29" i="3"/>
  <c r="D29" i="3"/>
  <c r="AM29" i="3"/>
  <c r="AN29" i="3"/>
  <c r="E29" i="3"/>
  <c r="AO29" i="3"/>
  <c r="R29" i="3"/>
  <c r="F29" i="3"/>
  <c r="G29" i="3"/>
  <c r="H29" i="3"/>
  <c r="I29" i="3"/>
  <c r="J29" i="3"/>
  <c r="K29" i="3"/>
  <c r="L29" i="3"/>
  <c r="M29" i="3"/>
  <c r="N29" i="3"/>
  <c r="O29" i="3"/>
  <c r="P29" i="3"/>
  <c r="Q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BM28" i="3"/>
  <c r="B28" i="3"/>
  <c r="D28" i="3"/>
  <c r="E28" i="3"/>
  <c r="AR28" i="3"/>
  <c r="AS28" i="3"/>
  <c r="AT28" i="3"/>
  <c r="BG28" i="3"/>
  <c r="AU28" i="3"/>
  <c r="AV28" i="3"/>
  <c r="AW28" i="3"/>
  <c r="AX28" i="3"/>
  <c r="AY28" i="3"/>
  <c r="AZ28" i="3"/>
  <c r="BA28" i="3"/>
  <c r="G28" i="3"/>
  <c r="BC28" i="3"/>
  <c r="BD28" i="3"/>
  <c r="BE28" i="3"/>
  <c r="C28" i="3"/>
  <c r="BF28" i="3"/>
  <c r="BH28" i="3"/>
  <c r="BI28" i="3"/>
  <c r="BJ28" i="3"/>
  <c r="BK28" i="3"/>
  <c r="BL28" i="3"/>
  <c r="I28" i="3"/>
  <c r="J28" i="3"/>
  <c r="K28" i="3"/>
  <c r="L28" i="3"/>
  <c r="M28" i="3"/>
  <c r="N28" i="3"/>
  <c r="F28" i="3"/>
  <c r="O28" i="3"/>
  <c r="P28" i="3"/>
  <c r="Q28" i="3"/>
  <c r="R28" i="3"/>
  <c r="S28" i="3"/>
  <c r="T28" i="3"/>
  <c r="H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BB28" i="3"/>
  <c r="J27" i="3"/>
  <c r="I27" i="3"/>
  <c r="H27" i="3"/>
  <c r="G27" i="3"/>
  <c r="F27" i="3"/>
  <c r="E27" i="3"/>
  <c r="D27" i="3"/>
  <c r="C27" i="3"/>
  <c r="B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V27" i="3"/>
  <c r="U27" i="3"/>
  <c r="T27" i="3"/>
  <c r="S27" i="3"/>
  <c r="R27" i="3"/>
  <c r="Q27" i="3"/>
  <c r="P27" i="3"/>
  <c r="O27" i="3"/>
  <c r="N27" i="3"/>
  <c r="M27" i="3"/>
  <c r="L27" i="3"/>
  <c r="K27" i="3"/>
  <c r="AF26" i="3"/>
  <c r="BB26" i="3"/>
  <c r="BC26" i="3"/>
  <c r="BD26" i="3"/>
  <c r="BE26" i="3"/>
  <c r="BF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X26" i="3"/>
  <c r="AA26" i="3"/>
  <c r="Z26" i="3"/>
  <c r="Y26" i="3"/>
  <c r="BG26" i="3"/>
  <c r="BH26" i="3"/>
  <c r="BI26" i="3"/>
  <c r="BJ26" i="3"/>
  <c r="BK26" i="3"/>
  <c r="AC26" i="3"/>
  <c r="BL26" i="3"/>
  <c r="W26" i="3"/>
  <c r="BM26" i="3"/>
  <c r="B26" i="3"/>
  <c r="C26" i="3"/>
  <c r="D26" i="3"/>
  <c r="E26" i="3"/>
  <c r="AB26" i="3"/>
  <c r="AD26" i="3"/>
  <c r="AE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D25" i="3"/>
  <c r="AA25" i="3"/>
  <c r="BM25" i="3"/>
  <c r="BL25" i="3"/>
  <c r="BK25" i="3"/>
  <c r="BJ25" i="3"/>
  <c r="BI25" i="3"/>
  <c r="BH25" i="3"/>
  <c r="BG25" i="3"/>
  <c r="BF25" i="3"/>
  <c r="BE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B25" i="3"/>
  <c r="C25" i="3"/>
  <c r="D25" i="3"/>
  <c r="AB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N24" i="3"/>
  <c r="AH24" i="3"/>
  <c r="AI24" i="3"/>
  <c r="AJ24" i="3"/>
  <c r="B24" i="3"/>
  <c r="C24" i="3"/>
  <c r="D24" i="3"/>
  <c r="E24" i="3"/>
  <c r="F24" i="3"/>
  <c r="G24" i="3"/>
  <c r="H24" i="3"/>
  <c r="I24" i="3"/>
  <c r="J24" i="3"/>
  <c r="K24" i="3"/>
  <c r="L24" i="3"/>
  <c r="M24" i="3"/>
  <c r="AE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D24" i="3"/>
  <c r="AY24" i="3"/>
  <c r="AF24" i="3"/>
  <c r="AG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C24" i="3"/>
  <c r="AK24" i="3"/>
  <c r="G23" i="3"/>
  <c r="AD23" i="3"/>
  <c r="BK23" i="3"/>
  <c r="BL23" i="3"/>
  <c r="BM23" i="3"/>
  <c r="BJ23" i="3"/>
  <c r="C23" i="3"/>
  <c r="Q23" i="3"/>
  <c r="R23" i="3"/>
  <c r="S23" i="3"/>
  <c r="T23" i="3"/>
  <c r="U23" i="3"/>
  <c r="V23" i="3"/>
  <c r="D23" i="3"/>
  <c r="E23" i="3"/>
  <c r="F23" i="3"/>
  <c r="AC23" i="3"/>
  <c r="H23" i="3"/>
  <c r="I23" i="3"/>
  <c r="J23" i="3"/>
  <c r="B23" i="3"/>
  <c r="K23" i="3"/>
  <c r="X23" i="3"/>
  <c r="L23" i="3"/>
  <c r="M23" i="3"/>
  <c r="N23" i="3"/>
  <c r="O23" i="3"/>
  <c r="W23" i="3"/>
  <c r="P23" i="3"/>
  <c r="Y23" i="3"/>
  <c r="Z23" i="3"/>
  <c r="AA23" i="3"/>
  <c r="AB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V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2" i="3"/>
  <c r="X22" i="3"/>
  <c r="Y22" i="3"/>
  <c r="Z22" i="3"/>
  <c r="AA22" i="3"/>
  <c r="AB22" i="3"/>
  <c r="AC22" i="3"/>
  <c r="AD22" i="3"/>
  <c r="AE22" i="3"/>
  <c r="AF22" i="3"/>
  <c r="AG22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W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BM21" i="3"/>
  <c r="AX21" i="3"/>
  <c r="AV21" i="3"/>
  <c r="AU21" i="3"/>
  <c r="AT21" i="3"/>
  <c r="AS21" i="3"/>
  <c r="AR21" i="3"/>
  <c r="AP21" i="3"/>
  <c r="AO21" i="3"/>
  <c r="AN21" i="3"/>
  <c r="AM21" i="3"/>
  <c r="AL21" i="3"/>
  <c r="AK21" i="3"/>
  <c r="AJ21" i="3"/>
  <c r="AI21" i="3"/>
  <c r="AQ21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X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U15" i="3"/>
  <c r="P15" i="3"/>
  <c r="N15" i="3"/>
  <c r="L15" i="3"/>
  <c r="J15" i="3"/>
  <c r="I15" i="3"/>
  <c r="G15" i="3"/>
  <c r="E15" i="3"/>
  <c r="C15" i="3"/>
  <c r="S15" i="3"/>
  <c r="BK15" i="3"/>
  <c r="BG15" i="3"/>
  <c r="BE15" i="3"/>
  <c r="BC15" i="3"/>
  <c r="BA15" i="3"/>
  <c r="AY15" i="3"/>
  <c r="AW15" i="3"/>
  <c r="AT15" i="3"/>
  <c r="AQ15" i="3"/>
  <c r="AO15" i="3"/>
  <c r="AM15" i="3"/>
  <c r="AK15" i="3"/>
  <c r="AI15" i="3"/>
  <c r="AG15" i="3"/>
  <c r="AE15" i="3"/>
  <c r="AC15" i="3"/>
  <c r="AA15" i="3"/>
  <c r="BM15" i="3"/>
  <c r="BL15" i="3"/>
  <c r="BJ15" i="3"/>
  <c r="BI15" i="3"/>
  <c r="BH15" i="3"/>
  <c r="BF15" i="3"/>
  <c r="BD15" i="3"/>
  <c r="BB15" i="3"/>
  <c r="AZ15" i="3"/>
  <c r="AX15" i="3"/>
  <c r="AV15" i="3"/>
  <c r="AU15" i="3"/>
  <c r="AS15" i="3"/>
  <c r="AR15" i="3"/>
  <c r="AP15" i="3"/>
  <c r="AN15" i="3"/>
  <c r="AL15" i="3"/>
  <c r="AJ15" i="3"/>
  <c r="AH15" i="3"/>
  <c r="AF15" i="3"/>
  <c r="AD15" i="3"/>
  <c r="AB15" i="3"/>
  <c r="Z15" i="3"/>
  <c r="X15" i="3"/>
  <c r="V15" i="3"/>
  <c r="T15" i="3"/>
  <c r="R15" i="3"/>
  <c r="Q15" i="3"/>
  <c r="O15" i="3"/>
  <c r="M15" i="3"/>
  <c r="K15" i="3"/>
  <c r="H15" i="3"/>
  <c r="F15" i="3"/>
  <c r="D15" i="3"/>
  <c r="B15" i="3"/>
  <c r="E11" i="1" l="1" a="1"/>
  <c r="E11" i="1" s="1"/>
  <c r="E14" i="1" a="1"/>
  <c r="E14" i="1" s="1"/>
  <c r="E15" i="1" a="1"/>
  <c r="E15" i="1" s="1"/>
  <c r="E17" i="1" a="1"/>
  <c r="E17" i="1" s="1"/>
  <c r="E25" i="1" a="1"/>
  <c r="E25" i="1" s="1"/>
  <c r="E16" i="1" a="1"/>
  <c r="E16" i="1" s="1"/>
  <c r="E9" i="1" a="1"/>
  <c r="E9" i="1" s="1"/>
  <c r="E8" i="1" a="1"/>
  <c r="E8" i="1" s="1"/>
  <c r="E13" i="1" a="1"/>
  <c r="E13" i="1" s="1"/>
  <c r="E18" i="1" a="1"/>
  <c r="E18" i="1" s="1"/>
  <c r="E12" i="1" a="1"/>
  <c r="E12" i="1" s="1"/>
  <c r="E10" i="1" a="1"/>
  <c r="E10" i="1" s="1"/>
  <c r="E7" i="1" a="1"/>
  <c r="E7" i="1" s="1"/>
  <c r="E6" i="1" a="1"/>
  <c r="E6" i="1" s="1"/>
  <c r="E24" i="1" a="1"/>
  <c r="E24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G18" i="1" l="1" a="1"/>
  <c r="G18" i="1" s="1"/>
  <c r="H18" i="1" a="1"/>
  <c r="H18" i="1" s="1"/>
  <c r="U18" i="1" a="1"/>
  <c r="U18" i="1" s="1"/>
  <c r="X18" i="1" a="1"/>
  <c r="X18" i="1" s="1"/>
  <c r="Y18" i="1" a="1"/>
  <c r="Y18" i="1" s="1"/>
  <c r="Z18" i="1" a="1"/>
  <c r="Z18" i="1" s="1"/>
  <c r="AA18" i="1" a="1"/>
  <c r="AA18" i="1" s="1"/>
  <c r="AB18" i="1" a="1"/>
  <c r="AB18" i="1" s="1"/>
  <c r="AC18" i="1" a="1"/>
  <c r="AC18" i="1" s="1"/>
  <c r="AD18" i="1" a="1"/>
  <c r="AD18" i="1" s="1"/>
  <c r="AE18" i="1" a="1"/>
  <c r="AE18" i="1" s="1"/>
  <c r="AF18" i="1" a="1"/>
  <c r="AF18" i="1" s="1"/>
  <c r="AG18" i="1" a="1"/>
  <c r="AG18" i="1" s="1"/>
  <c r="AH18" i="1" a="1"/>
  <c r="AH18" i="1" s="1"/>
  <c r="AJ18" i="1" a="1"/>
  <c r="AJ18" i="1" s="1"/>
  <c r="AM18" i="1" a="1"/>
  <c r="AM18" i="1" s="1"/>
  <c r="AO18" i="1" a="1"/>
  <c r="AO18" i="1" s="1"/>
  <c r="AP18" i="1" a="1"/>
  <c r="AP18" i="1" s="1"/>
  <c r="AQ18" i="1" a="1"/>
  <c r="AQ18" i="1" s="1"/>
  <c r="AR18" i="1" a="1"/>
  <c r="AR18" i="1" s="1"/>
  <c r="AT18" i="1" a="1"/>
  <c r="AT18" i="1" s="1"/>
  <c r="AU18" i="1" a="1"/>
  <c r="AU18" i="1" s="1"/>
  <c r="AV18" i="1" a="1"/>
  <c r="AV18" i="1" s="1"/>
  <c r="AX18" i="1" a="1"/>
  <c r="AX18" i="1" s="1"/>
  <c r="AQ24" i="1" a="1"/>
  <c r="AQ24" i="1" s="1"/>
  <c r="AO24" i="1" a="1"/>
  <c r="AO24" i="1" s="1"/>
  <c r="BL11" i="1" a="1"/>
  <c r="BL11" i="1" s="1"/>
  <c r="O11" i="1" a="1"/>
  <c r="O11" i="1" s="1"/>
  <c r="BK11" i="1" a="1"/>
  <c r="BK11" i="1" s="1"/>
  <c r="BJ11" i="1" a="1"/>
  <c r="BJ11" i="1" s="1"/>
  <c r="BI11" i="1" a="1"/>
  <c r="BI11" i="1" s="1"/>
  <c r="BH11" i="1" a="1"/>
  <c r="BH11" i="1" s="1"/>
  <c r="BG11" i="1" a="1"/>
  <c r="BG11" i="1" s="1"/>
  <c r="BF11" i="1" a="1"/>
  <c r="BF11" i="1" s="1"/>
  <c r="BB11" i="1" a="1"/>
  <c r="BB11" i="1" s="1"/>
  <c r="BE11" i="1" a="1"/>
  <c r="BE11" i="1" s="1"/>
  <c r="BD11" i="1" a="1"/>
  <c r="BD11" i="1" s="1"/>
  <c r="BC11" i="1" a="1"/>
  <c r="BC11" i="1" s="1"/>
  <c r="AT11" i="1" a="1"/>
  <c r="AT11" i="1" s="1"/>
  <c r="BA11" i="1" a="1"/>
  <c r="BA11" i="1" s="1"/>
  <c r="AZ11" i="1" a="1"/>
  <c r="AZ11" i="1" s="1"/>
  <c r="Z11" i="1" a="1"/>
  <c r="Z11" i="1" s="1"/>
  <c r="Y11" i="1" a="1"/>
  <c r="Y11" i="1" s="1"/>
  <c r="X11" i="1" a="1"/>
  <c r="X11" i="1" s="1"/>
  <c r="W11" i="1" a="1"/>
  <c r="W11" i="1" s="1"/>
  <c r="V11" i="1" a="1"/>
  <c r="V11" i="1" s="1"/>
  <c r="U11" i="1" a="1"/>
  <c r="U11" i="1" s="1"/>
  <c r="T11" i="1" a="1"/>
  <c r="T11" i="1" s="1"/>
  <c r="S11" i="1" a="1"/>
  <c r="S11" i="1" s="1"/>
  <c r="R11" i="1" a="1"/>
  <c r="R11" i="1" s="1"/>
  <c r="Q11" i="1" a="1"/>
  <c r="Q11" i="1" s="1"/>
  <c r="P11" i="1" a="1"/>
  <c r="P11" i="1" s="1"/>
  <c r="AY11" i="1" a="1"/>
  <c r="AY11" i="1" s="1"/>
  <c r="N11" i="1" a="1"/>
  <c r="N11" i="1" s="1"/>
  <c r="M11" i="1" a="1"/>
  <c r="M11" i="1" s="1"/>
  <c r="L11" i="1" a="1"/>
  <c r="L11" i="1" s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AX11" i="1" a="1"/>
  <c r="AX11" i="1" s="1"/>
  <c r="AW11" i="1" a="1"/>
  <c r="AW11" i="1" s="1"/>
  <c r="AV11" i="1" a="1"/>
  <c r="AV11" i="1" s="1"/>
  <c r="AU11" i="1" a="1"/>
  <c r="AU11" i="1" s="1"/>
  <c r="AS11" i="1" a="1"/>
  <c r="AS11" i="1" s="1"/>
  <c r="AR11" i="1" a="1"/>
  <c r="AR11" i="1" s="1"/>
  <c r="AQ11" i="1" a="1"/>
  <c r="AQ11" i="1" s="1"/>
  <c r="AP11" i="1" a="1"/>
  <c r="AP11" i="1" s="1"/>
  <c r="AO11" i="1" a="1"/>
  <c r="AO11" i="1" s="1"/>
  <c r="AN11" i="1" a="1"/>
  <c r="AN11" i="1" s="1"/>
  <c r="AM11" i="1" a="1"/>
  <c r="AM11" i="1" s="1"/>
  <c r="AL11" i="1" a="1"/>
  <c r="AL11" i="1" s="1"/>
  <c r="AK11" i="1" a="1"/>
  <c r="AK11" i="1" s="1"/>
  <c r="AJ11" i="1" a="1"/>
  <c r="AJ11" i="1" s="1"/>
  <c r="AI11" i="1" a="1"/>
  <c r="AI11" i="1" s="1"/>
  <c r="AH11" i="1" a="1"/>
  <c r="AH11" i="1" s="1"/>
  <c r="AG11" i="1" a="1"/>
  <c r="AG11" i="1" s="1"/>
  <c r="AF11" i="1" a="1"/>
  <c r="AF11" i="1" s="1"/>
  <c r="AE11" i="1" a="1"/>
  <c r="AE11" i="1" s="1"/>
  <c r="AD11" i="1" a="1"/>
  <c r="AD11" i="1" s="1"/>
  <c r="AC11" i="1" a="1"/>
  <c r="AC11" i="1" s="1"/>
  <c r="AB11" i="1" a="1"/>
  <c r="AB11" i="1" s="1"/>
  <c r="AA11" i="1" a="1"/>
  <c r="AA11" i="1" s="1"/>
  <c r="L14" i="1" a="1"/>
  <c r="L14" i="1" s="1"/>
  <c r="BE14" i="1" a="1"/>
  <c r="BE14" i="1" s="1"/>
  <c r="Y14" i="1" a="1"/>
  <c r="Y14" i="1" s="1"/>
  <c r="X14" i="1" a="1"/>
  <c r="X14" i="1" s="1"/>
  <c r="W14" i="1" a="1"/>
  <c r="W14" i="1" s="1"/>
  <c r="V14" i="1" a="1"/>
  <c r="V14" i="1" s="1"/>
  <c r="U14" i="1" a="1"/>
  <c r="U14" i="1" s="1"/>
  <c r="T14" i="1" a="1"/>
  <c r="T14" i="1" s="1"/>
  <c r="S14" i="1" a="1"/>
  <c r="S14" i="1" s="1"/>
  <c r="R14" i="1" a="1"/>
  <c r="R14" i="1" s="1"/>
  <c r="Q14" i="1" a="1"/>
  <c r="Q14" i="1" s="1"/>
  <c r="P14" i="1" a="1"/>
  <c r="P14" i="1" s="1"/>
  <c r="O14" i="1" a="1"/>
  <c r="O14" i="1" s="1"/>
  <c r="N14" i="1" a="1"/>
  <c r="N14" i="1" s="1"/>
  <c r="AO14" i="1" a="1"/>
  <c r="AO14" i="1" s="1"/>
  <c r="M14" i="1" a="1"/>
  <c r="M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BL14" i="1" a="1"/>
  <c r="BL14" i="1" s="1"/>
  <c r="BJ14" i="1" a="1"/>
  <c r="BJ14" i="1" s="1"/>
  <c r="BH14" i="1" a="1"/>
  <c r="BH14" i="1" s="1"/>
  <c r="AS14" i="1" a="1"/>
  <c r="AS14" i="1" s="1"/>
  <c r="AZ14" i="1" a="1"/>
  <c r="AZ14" i="1" s="1"/>
  <c r="BF14" i="1" a="1"/>
  <c r="BF14" i="1" s="1"/>
  <c r="BB14" i="1" a="1"/>
  <c r="BB14" i="1" s="1"/>
  <c r="AX14" i="1" a="1"/>
  <c r="AX14" i="1" s="1"/>
  <c r="AW14" i="1" a="1"/>
  <c r="AW14" i="1" s="1"/>
  <c r="AV14" i="1" a="1"/>
  <c r="AV14" i="1" s="1"/>
  <c r="AU14" i="1" a="1"/>
  <c r="AU14" i="1" s="1"/>
  <c r="AT14" i="1" a="1"/>
  <c r="AT14" i="1" s="1"/>
  <c r="BK14" i="1" a="1"/>
  <c r="BK14" i="1" s="1"/>
  <c r="BI14" i="1" a="1"/>
  <c r="BI14" i="1" s="1"/>
  <c r="BG14" i="1" a="1"/>
  <c r="BG14" i="1" s="1"/>
  <c r="BC14" i="1" a="1"/>
  <c r="BC14" i="1" s="1"/>
  <c r="AF14" i="1" a="1"/>
  <c r="AF14" i="1" s="1"/>
  <c r="AG14" i="1" a="1"/>
  <c r="AG14" i="1" s="1"/>
  <c r="AH14" i="1" a="1"/>
  <c r="AH14" i="1" s="1"/>
  <c r="AI14" i="1" a="1"/>
  <c r="AI14" i="1" s="1"/>
  <c r="AJ14" i="1" a="1"/>
  <c r="AJ14" i="1" s="1"/>
  <c r="BA14" i="1" a="1"/>
  <c r="BA14" i="1" s="1"/>
  <c r="AY14" i="1" a="1"/>
  <c r="AY14" i="1" s="1"/>
  <c r="BD14" i="1" a="1"/>
  <c r="BD14" i="1" s="1"/>
  <c r="AK14" i="1" a="1"/>
  <c r="AK14" i="1" s="1"/>
  <c r="AL14" i="1" a="1"/>
  <c r="AL14" i="1" s="1"/>
  <c r="AM14" i="1" a="1"/>
  <c r="AM14" i="1" s="1"/>
  <c r="AN14" i="1" a="1"/>
  <c r="AN14" i="1" s="1"/>
  <c r="AP14" i="1" a="1"/>
  <c r="AP14" i="1" s="1"/>
  <c r="AQ14" i="1" a="1"/>
  <c r="AQ14" i="1" s="1"/>
  <c r="AR14" i="1" a="1"/>
  <c r="AR14" i="1" s="1"/>
  <c r="AE14" i="1" a="1"/>
  <c r="AE14" i="1" s="1"/>
  <c r="AD14" i="1" a="1"/>
  <c r="AD14" i="1" s="1"/>
  <c r="AC14" i="1" a="1"/>
  <c r="AC14" i="1" s="1"/>
  <c r="AB14" i="1" a="1"/>
  <c r="AB14" i="1" s="1"/>
  <c r="AA14" i="1" a="1"/>
  <c r="AA14" i="1" s="1"/>
  <c r="Z14" i="1" a="1"/>
  <c r="Z14" i="1" s="1"/>
  <c r="Z15" i="1" a="1"/>
  <c r="Z15" i="1" s="1"/>
  <c r="AB15" i="1" a="1"/>
  <c r="AB15" i="1" s="1"/>
  <c r="AD15" i="1" a="1"/>
  <c r="AD15" i="1" s="1"/>
  <c r="AF15" i="1" a="1"/>
  <c r="AF15" i="1" s="1"/>
  <c r="AH15" i="1" a="1"/>
  <c r="AH15" i="1" s="1"/>
  <c r="AJ15" i="1" a="1"/>
  <c r="AJ15" i="1" s="1"/>
  <c r="AL15" i="1" a="1"/>
  <c r="AL15" i="1" s="1"/>
  <c r="AP15" i="1" a="1"/>
  <c r="AP15" i="1" s="1"/>
  <c r="AR15" i="1" a="1"/>
  <c r="AR15" i="1" s="1"/>
  <c r="AT15" i="1" a="1"/>
  <c r="AT15" i="1" s="1"/>
  <c r="AV15" i="1" a="1"/>
  <c r="AV15" i="1" s="1"/>
  <c r="AX15" i="1" a="1"/>
  <c r="AX15" i="1" s="1"/>
  <c r="AZ15" i="1" a="1"/>
  <c r="AZ15" i="1" s="1"/>
  <c r="BB15" i="1" a="1"/>
  <c r="BB15" i="1" s="1"/>
  <c r="BD15" i="1" a="1"/>
  <c r="BD15" i="1" s="1"/>
  <c r="BC15" i="1" a="1"/>
  <c r="BC15" i="1" s="1"/>
  <c r="BH15" i="1" a="1"/>
  <c r="BH15" i="1" s="1"/>
  <c r="BJ15" i="1" a="1"/>
  <c r="BJ15" i="1" s="1"/>
  <c r="U15" i="1" a="1"/>
  <c r="U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P15" i="1" a="1"/>
  <c r="P15" i="1" s="1"/>
  <c r="Q15" i="1" a="1"/>
  <c r="Q15" i="1" s="1"/>
  <c r="S15" i="1" a="1"/>
  <c r="S15" i="1" s="1"/>
  <c r="AN15" i="1" a="1"/>
  <c r="AN15" i="1" s="1"/>
  <c r="W15" i="1" a="1"/>
  <c r="W15" i="1" s="1"/>
  <c r="Y15" i="1" a="1"/>
  <c r="Y15" i="1" s="1"/>
  <c r="AA15" i="1" a="1"/>
  <c r="AA15" i="1" s="1"/>
  <c r="AC15" i="1" a="1"/>
  <c r="AC15" i="1" s="1"/>
  <c r="AE15" i="1" a="1"/>
  <c r="AE15" i="1" s="1"/>
  <c r="AG15" i="1" a="1"/>
  <c r="AG15" i="1" s="1"/>
  <c r="AI15" i="1" a="1"/>
  <c r="AI15" i="1" s="1"/>
  <c r="AK15" i="1" a="1"/>
  <c r="AK15" i="1" s="1"/>
  <c r="AM15" i="1" a="1"/>
  <c r="AM15" i="1" s="1"/>
  <c r="AO15" i="1" a="1"/>
  <c r="AO15" i="1" s="1"/>
  <c r="AQ15" i="1" a="1"/>
  <c r="AQ15" i="1" s="1"/>
  <c r="AS15" i="1" a="1"/>
  <c r="AS15" i="1" s="1"/>
  <c r="AU15" i="1" a="1"/>
  <c r="AU15" i="1" s="1"/>
  <c r="AW15" i="1" a="1"/>
  <c r="AW15" i="1" s="1"/>
  <c r="AY15" i="1" a="1"/>
  <c r="AY15" i="1" s="1"/>
  <c r="BA15" i="1" a="1"/>
  <c r="BA15" i="1" s="1"/>
  <c r="BE15" i="1" a="1"/>
  <c r="BE15" i="1" s="1"/>
  <c r="BG15" i="1" a="1"/>
  <c r="BG15" i="1" s="1"/>
  <c r="BI15" i="1" a="1"/>
  <c r="BI15" i="1" s="1"/>
  <c r="BK15" i="1" a="1"/>
  <c r="BK15" i="1" s="1"/>
  <c r="BL15" i="1" a="1"/>
  <c r="BL15" i="1" s="1"/>
  <c r="BF15" i="1" a="1"/>
  <c r="BF15" i="1" s="1"/>
  <c r="O15" i="1" a="1"/>
  <c r="O15" i="1" s="1"/>
  <c r="R15" i="1" a="1"/>
  <c r="R15" i="1" s="1"/>
  <c r="T15" i="1" a="1"/>
  <c r="T15" i="1" s="1"/>
  <c r="V15" i="1" a="1"/>
  <c r="V15" i="1" s="1"/>
  <c r="X15" i="1" a="1"/>
  <c r="X15" i="1" s="1"/>
  <c r="H17" i="1" a="1"/>
  <c r="H17" i="1" s="1"/>
  <c r="F17" i="1" a="1"/>
  <c r="F17" i="1" s="1"/>
  <c r="G17" i="1" a="1"/>
  <c r="G17" i="1" s="1"/>
  <c r="BJ25" i="1" a="1"/>
  <c r="BJ25" i="1" s="1"/>
  <c r="AP25" i="1" a="1"/>
  <c r="AP25" i="1" s="1"/>
  <c r="AO25" i="1" a="1"/>
  <c r="AO25" i="1" s="1"/>
  <c r="AM25" i="1" a="1"/>
  <c r="AM25" i="1" s="1"/>
  <c r="AL25" i="1" a="1"/>
  <c r="AL25" i="1" s="1"/>
  <c r="AK25" i="1" a="1"/>
  <c r="AK25" i="1" s="1"/>
  <c r="AJ25" i="1" a="1"/>
  <c r="AJ25" i="1" s="1"/>
  <c r="AI25" i="1" a="1"/>
  <c r="AI25" i="1" s="1"/>
  <c r="AH25" i="1" a="1"/>
  <c r="AH25" i="1" s="1"/>
  <c r="AG25" i="1" a="1"/>
  <c r="AG25" i="1" s="1"/>
  <c r="AN25" i="1" a="1"/>
  <c r="AN25" i="1" s="1"/>
  <c r="H25" i="1" a="1"/>
  <c r="H25" i="1" s="1"/>
  <c r="AF25" i="1" a="1"/>
  <c r="AF25" i="1" s="1"/>
  <c r="AE25" i="1" a="1"/>
  <c r="AE25" i="1" s="1"/>
  <c r="BK25" i="1" a="1"/>
  <c r="BK25" i="1" s="1"/>
  <c r="AR25" i="1" a="1"/>
  <c r="AR25" i="1" s="1"/>
  <c r="AD25" i="1" a="1"/>
  <c r="AD25" i="1" s="1"/>
  <c r="AC25" i="1" a="1"/>
  <c r="AC25" i="1" s="1"/>
  <c r="AB25" i="1" a="1"/>
  <c r="AB25" i="1" s="1"/>
  <c r="AA25" i="1" a="1"/>
  <c r="AA25" i="1" s="1"/>
  <c r="Z25" i="1" a="1"/>
  <c r="Z25" i="1" s="1"/>
  <c r="Y25" i="1" a="1"/>
  <c r="Y25" i="1" s="1"/>
  <c r="X25" i="1" a="1"/>
  <c r="X25" i="1" s="1"/>
  <c r="W25" i="1" a="1"/>
  <c r="W25" i="1" s="1"/>
  <c r="V25" i="1" a="1"/>
  <c r="V25" i="1" s="1"/>
  <c r="U25" i="1" a="1"/>
  <c r="U25" i="1" s="1"/>
  <c r="T25" i="1" a="1"/>
  <c r="T25" i="1" s="1"/>
  <c r="S25" i="1" a="1"/>
  <c r="S25" i="1" s="1"/>
  <c r="R25" i="1" a="1"/>
  <c r="R25" i="1" s="1"/>
  <c r="Q25" i="1" a="1"/>
  <c r="Q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G25" i="1" a="1"/>
  <c r="G25" i="1" s="1"/>
  <c r="F25" i="1" a="1"/>
  <c r="F25" i="1" s="1"/>
  <c r="BL25" i="1" a="1"/>
  <c r="BL25" i="1" s="1"/>
  <c r="BI25" i="1" a="1"/>
  <c r="BI25" i="1" s="1"/>
  <c r="BH25" i="1" a="1"/>
  <c r="BH25" i="1" s="1"/>
  <c r="BG25" i="1" a="1"/>
  <c r="BG25" i="1" s="1"/>
  <c r="BF25" i="1" a="1"/>
  <c r="BF25" i="1" s="1"/>
  <c r="BE25" i="1" a="1"/>
  <c r="BE25" i="1" s="1"/>
  <c r="BD25" i="1" a="1"/>
  <c r="BD25" i="1" s="1"/>
  <c r="BC25" i="1" a="1"/>
  <c r="BC25" i="1" s="1"/>
  <c r="BB25" i="1" a="1"/>
  <c r="BB25" i="1" s="1"/>
  <c r="BA25" i="1" a="1"/>
  <c r="BA25" i="1" s="1"/>
  <c r="AZ25" i="1" a="1"/>
  <c r="AZ25" i="1" s="1"/>
  <c r="AY25" i="1" a="1"/>
  <c r="AY25" i="1" s="1"/>
  <c r="AX25" i="1" a="1"/>
  <c r="AX25" i="1" s="1"/>
  <c r="AW25" i="1" a="1"/>
  <c r="AW25" i="1" s="1"/>
  <c r="AV25" i="1" a="1"/>
  <c r="AV25" i="1" s="1"/>
  <c r="AU25" i="1" a="1"/>
  <c r="AU25" i="1" s="1"/>
  <c r="AT25" i="1" a="1"/>
  <c r="AT25" i="1" s="1"/>
  <c r="AS25" i="1" a="1"/>
  <c r="AS25" i="1" s="1"/>
  <c r="P25" i="1" a="1"/>
  <c r="P25" i="1" s="1"/>
  <c r="AQ25" i="1" a="1"/>
  <c r="AQ25" i="1" s="1"/>
  <c r="L16" i="1" a="1"/>
  <c r="L16" i="1" s="1"/>
  <c r="M16" i="1" a="1"/>
  <c r="M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 s="1"/>
  <c r="AT16" i="1" a="1"/>
  <c r="AT16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BH16" i="1" a="1"/>
  <c r="BH16" i="1" s="1"/>
  <c r="BI16" i="1" a="1"/>
  <c r="BI16" i="1" s="1"/>
  <c r="BJ16" i="1" a="1"/>
  <c r="BJ16" i="1" s="1"/>
  <c r="BK16" i="1" a="1"/>
  <c r="BK16" i="1" s="1"/>
  <c r="BL16" i="1" a="1"/>
  <c r="BL16" i="1" s="1"/>
  <c r="AN16" i="1" a="1"/>
  <c r="AN16" i="1" s="1"/>
  <c r="AB16" i="1" a="1"/>
  <c r="AB16" i="1" s="1"/>
  <c r="AA16" i="1" a="1"/>
  <c r="AA16" i="1" s="1"/>
  <c r="Z16" i="1" a="1"/>
  <c r="Z16" i="1" s="1"/>
  <c r="Y16" i="1" a="1"/>
  <c r="Y16" i="1" s="1"/>
  <c r="AM16" i="1" a="1"/>
  <c r="AM16" i="1" s="1"/>
  <c r="K16" i="1" a="1"/>
  <c r="K16" i="1" s="1"/>
  <c r="AL16" i="1" a="1"/>
  <c r="AL16" i="1" s="1"/>
  <c r="AK16" i="1" a="1"/>
  <c r="AK16" i="1" s="1"/>
  <c r="AJ16" i="1" a="1"/>
  <c r="AJ16" i="1" s="1"/>
  <c r="AI16" i="1" a="1"/>
  <c r="AI16" i="1" s="1"/>
  <c r="AH16" i="1" a="1"/>
  <c r="AH16" i="1" s="1"/>
  <c r="AG16" i="1" a="1"/>
  <c r="AG16" i="1" s="1"/>
  <c r="AF16" i="1" a="1"/>
  <c r="AF16" i="1" s="1"/>
  <c r="AE16" i="1" a="1"/>
  <c r="AE16" i="1" s="1"/>
  <c r="AD16" i="1" a="1"/>
  <c r="AD16" i="1" s="1"/>
  <c r="AC16" i="1" a="1"/>
  <c r="AC16" i="1" s="1"/>
  <c r="F16" i="1" a="1"/>
  <c r="F16" i="1" s="1"/>
  <c r="G16" i="1" a="1"/>
  <c r="G16" i="1" s="1"/>
  <c r="H16" i="1" a="1"/>
  <c r="H16" i="1" s="1"/>
  <c r="I16" i="1" a="1"/>
  <c r="I16" i="1" s="1"/>
  <c r="J16" i="1" a="1"/>
  <c r="J16" i="1" s="1"/>
  <c r="AA9" i="1" a="1"/>
  <c r="AA9" i="1" s="1"/>
  <c r="AB9" i="1" a="1"/>
  <c r="AB9" i="1" s="1"/>
  <c r="AC9" i="1" a="1"/>
  <c r="AC9" i="1" s="1"/>
  <c r="AD9" i="1" a="1"/>
  <c r="AD9" i="1" s="1"/>
  <c r="AE9" i="1" a="1"/>
  <c r="AE9" i="1" s="1"/>
  <c r="AF9" i="1" a="1"/>
  <c r="AF9" i="1" s="1"/>
  <c r="AG9" i="1" a="1"/>
  <c r="AG9" i="1" s="1"/>
  <c r="AH9" i="1" a="1"/>
  <c r="AH9" i="1" s="1"/>
  <c r="AI9" i="1" a="1"/>
  <c r="AI9" i="1" s="1"/>
  <c r="AJ9" i="1" a="1"/>
  <c r="AJ9" i="1" s="1"/>
  <c r="AK9" i="1" a="1"/>
  <c r="AK9" i="1" s="1"/>
  <c r="AL9" i="1" a="1"/>
  <c r="AL9" i="1" s="1"/>
  <c r="AM9" i="1" a="1"/>
  <c r="AM9" i="1" s="1"/>
  <c r="AN9" i="1" a="1"/>
  <c r="AN9" i="1" s="1"/>
  <c r="AO9" i="1" a="1"/>
  <c r="AO9" i="1" s="1"/>
  <c r="AP9" i="1" a="1"/>
  <c r="AP9" i="1" s="1"/>
  <c r="AQ9" i="1" a="1"/>
  <c r="AQ9" i="1" s="1"/>
  <c r="AR9" i="1" a="1"/>
  <c r="AR9" i="1" s="1"/>
  <c r="AS9" i="1" a="1"/>
  <c r="AS9" i="1" s="1"/>
  <c r="AT9" i="1" a="1"/>
  <c r="AT9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C9" i="1" a="1"/>
  <c r="BC9" i="1" s="1"/>
  <c r="BD9" i="1" a="1"/>
  <c r="BD9" i="1" s="1"/>
  <c r="BE9" i="1" a="1"/>
  <c r="BE9" i="1" s="1"/>
  <c r="BF9" i="1" a="1"/>
  <c r="BF9" i="1" s="1"/>
  <c r="BG9" i="1" a="1"/>
  <c r="BG9" i="1" s="1"/>
  <c r="BH9" i="1" a="1"/>
  <c r="BH9" i="1" s="1"/>
  <c r="BI9" i="1" a="1"/>
  <c r="BI9" i="1" s="1"/>
  <c r="BJ9" i="1" a="1"/>
  <c r="BJ9" i="1" s="1"/>
  <c r="BK9" i="1" a="1"/>
  <c r="BK9" i="1" s="1"/>
  <c r="BL9" i="1" a="1"/>
  <c r="BL9" i="1" s="1"/>
  <c r="BB9" i="1" a="1"/>
  <c r="BB9" i="1" s="1"/>
  <c r="F9" i="1" a="1"/>
  <c r="F9" i="1" s="1"/>
  <c r="G9" i="1" a="1"/>
  <c r="G9" i="1" s="1"/>
  <c r="H9" i="1" a="1"/>
  <c r="H9" i="1" s="1"/>
  <c r="I9" i="1" a="1"/>
  <c r="I9" i="1" s="1"/>
  <c r="J9" i="1" a="1"/>
  <c r="J9" i="1" s="1"/>
  <c r="K9" i="1" a="1"/>
  <c r="K9" i="1" s="1"/>
  <c r="L9" i="1" a="1"/>
  <c r="L9" i="1" s="1"/>
  <c r="M9" i="1" a="1"/>
  <c r="M9" i="1" s="1"/>
  <c r="N9" i="1" a="1"/>
  <c r="N9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L8" i="1" a="1"/>
  <c r="L8" i="1" s="1"/>
  <c r="G8" i="1" a="1"/>
  <c r="G8" i="1" s="1"/>
  <c r="AY8" i="1" a="1"/>
  <c r="AY8" i="1" s="1"/>
  <c r="AD8" i="1" a="1"/>
  <c r="AD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F8" i="1" a="1"/>
  <c r="F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H8" i="1" a="1"/>
  <c r="H8" i="1" s="1"/>
  <c r="I8" i="1" a="1"/>
  <c r="I8" i="1" s="1"/>
  <c r="J8" i="1" a="1"/>
  <c r="J8" i="1" s="1"/>
  <c r="K8" i="1" a="1"/>
  <c r="K8" i="1" s="1"/>
  <c r="T8" i="1" a="1"/>
  <c r="T8" i="1" s="1"/>
  <c r="AJ8" i="1" a="1"/>
  <c r="AJ8" i="1" s="1"/>
  <c r="AL8" i="1" a="1"/>
  <c r="AL8" i="1" s="1"/>
  <c r="AN8" i="1" a="1"/>
  <c r="AN8" i="1" s="1"/>
  <c r="AO8" i="1" a="1"/>
  <c r="AO8" i="1" s="1"/>
  <c r="AZ8" i="1" a="1"/>
  <c r="AZ8" i="1" s="1"/>
  <c r="BA8" i="1" a="1"/>
  <c r="BA8" i="1" s="1"/>
  <c r="BB8" i="1" a="1"/>
  <c r="BB8" i="1" s="1"/>
  <c r="AC8" i="1" a="1"/>
  <c r="AC8" i="1" s="1"/>
  <c r="BC8" i="1" a="1"/>
  <c r="BC8" i="1" s="1"/>
  <c r="BD8" i="1" a="1"/>
  <c r="BD8" i="1" s="1"/>
  <c r="BE8" i="1" a="1"/>
  <c r="BE8" i="1" s="1"/>
  <c r="AK8" i="1" a="1"/>
  <c r="AK8" i="1" s="1"/>
  <c r="AM8" i="1" a="1"/>
  <c r="AM8" i="1" s="1"/>
  <c r="AP8" i="1" a="1"/>
  <c r="AP8" i="1" s="1"/>
  <c r="BF8" i="1" a="1"/>
  <c r="BF8" i="1" s="1"/>
  <c r="BG8" i="1" a="1"/>
  <c r="BG8" i="1" s="1"/>
  <c r="BH8" i="1" a="1"/>
  <c r="BH8" i="1" s="1"/>
  <c r="BI8" i="1" a="1"/>
  <c r="BI8" i="1" s="1"/>
  <c r="BJ8" i="1" a="1"/>
  <c r="BJ8" i="1" s="1"/>
  <c r="BK8" i="1" a="1"/>
  <c r="BK8" i="1" s="1"/>
  <c r="BL8" i="1" a="1"/>
  <c r="BL8" i="1" s="1"/>
  <c r="U8" i="1" a="1"/>
  <c r="U8" i="1" s="1"/>
  <c r="AX8" i="1" a="1"/>
  <c r="AX8" i="1" s="1"/>
  <c r="V8" i="1" a="1"/>
  <c r="V8" i="1" s="1"/>
  <c r="AE8" i="1" a="1"/>
  <c r="AE8" i="1" s="1"/>
  <c r="AF8" i="1" a="1"/>
  <c r="AF8" i="1" s="1"/>
  <c r="AG8" i="1" a="1"/>
  <c r="AG8" i="1" s="1"/>
  <c r="AH8" i="1" a="1"/>
  <c r="AH8" i="1" s="1"/>
  <c r="AI8" i="1" a="1"/>
  <c r="AI8" i="1" s="1"/>
  <c r="AQ8" i="1" a="1"/>
  <c r="AQ8" i="1" s="1"/>
  <c r="AR8" i="1" a="1"/>
  <c r="AR8" i="1" s="1"/>
  <c r="AS8" i="1" a="1"/>
  <c r="AS8" i="1" s="1"/>
  <c r="AT8" i="1" a="1"/>
  <c r="AT8" i="1" s="1"/>
  <c r="AU8" i="1" a="1"/>
  <c r="AU8" i="1" s="1"/>
  <c r="AV8" i="1" a="1"/>
  <c r="AV8" i="1" s="1"/>
  <c r="AW8" i="1" a="1"/>
  <c r="AW8" i="1" s="1"/>
  <c r="AF13" i="1" a="1"/>
  <c r="AF13" i="1" s="1"/>
  <c r="U13" i="1" a="1"/>
  <c r="U13" i="1" s="1"/>
  <c r="S13" i="1" a="1"/>
  <c r="S13" i="1" s="1"/>
  <c r="Q13" i="1" a="1"/>
  <c r="Q13" i="1" s="1"/>
  <c r="O13" i="1" a="1"/>
  <c r="O13" i="1" s="1"/>
  <c r="M13" i="1" a="1"/>
  <c r="M13" i="1" s="1"/>
  <c r="K13" i="1" a="1"/>
  <c r="K13" i="1" s="1"/>
  <c r="J13" i="1" a="1"/>
  <c r="J13" i="1" s="1"/>
  <c r="H13" i="1" a="1"/>
  <c r="H13" i="1" s="1"/>
  <c r="G13" i="1" a="1"/>
  <c r="G13" i="1" s="1"/>
  <c r="F13" i="1" a="1"/>
  <c r="F13" i="1" s="1"/>
  <c r="BB13" i="1" a="1"/>
  <c r="BB13" i="1" s="1"/>
  <c r="AZ13" i="1" a="1"/>
  <c r="AZ13" i="1" s="1"/>
  <c r="AY13" i="1" a="1"/>
  <c r="AY13" i="1" s="1"/>
  <c r="AW13" i="1" a="1"/>
  <c r="AW13" i="1" s="1"/>
  <c r="AT13" i="1" a="1"/>
  <c r="AT13" i="1" s="1"/>
  <c r="AS13" i="1" a="1"/>
  <c r="AS13" i="1" s="1"/>
  <c r="AP13" i="1" a="1"/>
  <c r="AP13" i="1" s="1"/>
  <c r="AO13" i="1" a="1"/>
  <c r="AO13" i="1" s="1"/>
  <c r="AM13" i="1" a="1"/>
  <c r="AM13" i="1" s="1"/>
  <c r="AJ13" i="1" a="1"/>
  <c r="AJ13" i="1" s="1"/>
  <c r="AH13" i="1" a="1"/>
  <c r="AH13" i="1" s="1"/>
  <c r="L13" i="1" a="1"/>
  <c r="L13" i="1" s="1"/>
  <c r="P13" i="1" a="1"/>
  <c r="P13" i="1" s="1"/>
  <c r="R13" i="1" a="1"/>
  <c r="R13" i="1" s="1"/>
  <c r="T13" i="1" a="1"/>
  <c r="T13" i="1" s="1"/>
  <c r="V13" i="1" a="1"/>
  <c r="V13" i="1" s="1"/>
  <c r="W13" i="1" a="1"/>
  <c r="W13" i="1" s="1"/>
  <c r="I13" i="1" a="1"/>
  <c r="I13" i="1" s="1"/>
  <c r="Y13" i="1" a="1"/>
  <c r="Y13" i="1" s="1"/>
  <c r="AA13" i="1" a="1"/>
  <c r="AA13" i="1" s="1"/>
  <c r="AB13" i="1" a="1"/>
  <c r="AB13" i="1" s="1"/>
  <c r="AD13" i="1" a="1"/>
  <c r="AD13" i="1" s="1"/>
  <c r="BL13" i="1" a="1"/>
  <c r="BL13" i="1" s="1"/>
  <c r="BJ13" i="1" a="1"/>
  <c r="BJ13" i="1" s="1"/>
  <c r="BH13" i="1" a="1"/>
  <c r="BH13" i="1" s="1"/>
  <c r="N13" i="1" a="1"/>
  <c r="N13" i="1" s="1"/>
  <c r="BI13" i="1" a="1"/>
  <c r="BI13" i="1" s="1"/>
  <c r="BK13" i="1" a="1"/>
  <c r="BK13" i="1" s="1"/>
  <c r="BG13" i="1" a="1"/>
  <c r="BG13" i="1" s="1"/>
  <c r="BF13" i="1" a="1"/>
  <c r="BF13" i="1" s="1"/>
  <c r="BE13" i="1" a="1"/>
  <c r="BE13" i="1" s="1"/>
  <c r="BD13" i="1" a="1"/>
  <c r="BD13" i="1" s="1"/>
  <c r="BC13" i="1" a="1"/>
  <c r="BC13" i="1" s="1"/>
  <c r="BA13" i="1" a="1"/>
  <c r="BA13" i="1" s="1"/>
  <c r="AX13" i="1" a="1"/>
  <c r="AX13" i="1" s="1"/>
  <c r="AV13" i="1" a="1"/>
  <c r="AV13" i="1" s="1"/>
  <c r="AU13" i="1" a="1"/>
  <c r="AU13" i="1" s="1"/>
  <c r="AR13" i="1" a="1"/>
  <c r="AR13" i="1" s="1"/>
  <c r="AQ13" i="1" a="1"/>
  <c r="AQ13" i="1" s="1"/>
  <c r="AN13" i="1" a="1"/>
  <c r="AN13" i="1" s="1"/>
  <c r="AL13" i="1" a="1"/>
  <c r="AL13" i="1" s="1"/>
  <c r="AK13" i="1" a="1"/>
  <c r="AK13" i="1" s="1"/>
  <c r="AI13" i="1" a="1"/>
  <c r="AI13" i="1" s="1"/>
  <c r="AG13" i="1" a="1"/>
  <c r="AG13" i="1" s="1"/>
  <c r="AE13" i="1" a="1"/>
  <c r="AE13" i="1" s="1"/>
  <c r="AC13" i="1" a="1"/>
  <c r="AC13" i="1" s="1"/>
  <c r="Z13" i="1" a="1"/>
  <c r="Z13" i="1" s="1"/>
  <c r="X13" i="1" a="1"/>
  <c r="X13" i="1" s="1"/>
  <c r="BB18" i="1" a="1"/>
  <c r="BB18" i="1" s="1"/>
  <c r="BC18" i="1" a="1"/>
  <c r="BC18" i="1" s="1"/>
  <c r="BD18" i="1" a="1"/>
  <c r="BD18" i="1" s="1"/>
  <c r="BG18" i="1" a="1"/>
  <c r="BG18" i="1" s="1"/>
  <c r="BI18" i="1" a="1"/>
  <c r="BI18" i="1" s="1"/>
  <c r="BL18" i="1" a="1"/>
  <c r="BL18" i="1" s="1"/>
  <c r="F18" i="1" a="1"/>
  <c r="F18" i="1" s="1"/>
  <c r="J18" i="1" a="1"/>
  <c r="J18" i="1" s="1"/>
  <c r="L18" i="1" a="1"/>
  <c r="L18" i="1" s="1"/>
  <c r="O18" i="1" a="1"/>
  <c r="O18" i="1" s="1"/>
  <c r="I18" i="1" a="1"/>
  <c r="I18" i="1" s="1"/>
  <c r="K18" i="1" a="1"/>
  <c r="K18" i="1" s="1"/>
  <c r="M18" i="1" a="1"/>
  <c r="M18" i="1" s="1"/>
  <c r="N18" i="1" a="1"/>
  <c r="N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V18" i="1" a="1"/>
  <c r="V18" i="1" s="1"/>
  <c r="W18" i="1" a="1"/>
  <c r="W18" i="1" s="1"/>
  <c r="AI18" i="1" a="1"/>
  <c r="AI18" i="1" s="1"/>
  <c r="AK18" i="1" a="1"/>
  <c r="AK18" i="1" s="1"/>
  <c r="AL18" i="1" a="1"/>
  <c r="AL18" i="1" s="1"/>
  <c r="AN18" i="1" a="1"/>
  <c r="AN18" i="1" s="1"/>
  <c r="AS18" i="1" a="1"/>
  <c r="AS18" i="1" s="1"/>
  <c r="AW18" i="1" a="1"/>
  <c r="AW18" i="1" s="1"/>
  <c r="AY18" i="1" a="1"/>
  <c r="AY18" i="1" s="1"/>
  <c r="BE18" i="1" a="1"/>
  <c r="BE18" i="1" s="1"/>
  <c r="BF18" i="1" a="1"/>
  <c r="BF18" i="1" s="1"/>
  <c r="BH18" i="1" a="1"/>
  <c r="BH18" i="1" s="1"/>
  <c r="BJ18" i="1" a="1"/>
  <c r="BJ18" i="1" s="1"/>
  <c r="BK18" i="1" a="1"/>
  <c r="BK18" i="1" s="1"/>
  <c r="BA18" i="1" a="1"/>
  <c r="BA18" i="1" s="1"/>
  <c r="AZ18" i="1" a="1"/>
  <c r="AZ18" i="1" s="1"/>
  <c r="BC10" i="1" a="1"/>
  <c r="BC10" i="1" s="1"/>
  <c r="BD10" i="1" a="1"/>
  <c r="BD10" i="1" s="1"/>
  <c r="BF10" i="1" a="1"/>
  <c r="BF10" i="1" s="1"/>
  <c r="BG10" i="1" a="1"/>
  <c r="BG10" i="1" s="1"/>
  <c r="BH10" i="1" a="1"/>
  <c r="BH10" i="1" s="1"/>
  <c r="BI10" i="1" a="1"/>
  <c r="BI10" i="1" s="1"/>
  <c r="BJ10" i="1" a="1"/>
  <c r="BJ10" i="1" s="1"/>
  <c r="BK10" i="1" a="1"/>
  <c r="BK10" i="1" s="1"/>
  <c r="BL10" i="1" a="1"/>
  <c r="BL10" i="1" s="1"/>
  <c r="AS10" i="1" a="1"/>
  <c r="AS10" i="1" s="1"/>
  <c r="AT10" i="1" a="1"/>
  <c r="AT10" i="1" s="1"/>
  <c r="AM10" i="1" a="1"/>
  <c r="AM10" i="1" s="1"/>
  <c r="AU10" i="1" a="1"/>
  <c r="AU10" i="1" s="1"/>
  <c r="AY10" i="1" a="1"/>
  <c r="AY10" i="1" s="1"/>
  <c r="AX10" i="1" a="1"/>
  <c r="AX10" i="1" s="1"/>
  <c r="AW10" i="1" a="1"/>
  <c r="AW10" i="1" s="1"/>
  <c r="BE10" i="1" a="1"/>
  <c r="BE10" i="1" s="1"/>
  <c r="BB10" i="1" a="1"/>
  <c r="BB10" i="1" s="1"/>
  <c r="AV10" i="1" a="1"/>
  <c r="AV10" i="1" s="1"/>
  <c r="BA10" i="1" a="1"/>
  <c r="BA10" i="1" s="1"/>
  <c r="T10" i="1" a="1"/>
  <c r="T10" i="1" s="1"/>
  <c r="AZ10" i="1" a="1"/>
  <c r="AZ10" i="1" s="1"/>
  <c r="AQ10" i="1" a="1"/>
  <c r="AQ10" i="1" s="1"/>
  <c r="AR10" i="1" a="1"/>
  <c r="AR10" i="1" s="1"/>
  <c r="AP10" i="1" a="1"/>
  <c r="AP10" i="1" s="1"/>
  <c r="AO10" i="1" a="1"/>
  <c r="AO10" i="1" s="1"/>
  <c r="AN10" i="1" a="1"/>
  <c r="AN10" i="1" s="1"/>
  <c r="AL10" i="1" a="1"/>
  <c r="AL10" i="1" s="1"/>
  <c r="AK10" i="1" a="1"/>
  <c r="AK10" i="1" s="1"/>
  <c r="AJ10" i="1" a="1"/>
  <c r="AJ10" i="1" s="1"/>
  <c r="AI10" i="1" a="1"/>
  <c r="AI10" i="1" s="1"/>
  <c r="AH10" i="1" a="1"/>
  <c r="AH10" i="1" s="1"/>
  <c r="AG10" i="1" a="1"/>
  <c r="AG10" i="1" s="1"/>
  <c r="AF10" i="1" a="1"/>
  <c r="AF10" i="1" s="1"/>
  <c r="AE10" i="1" a="1"/>
  <c r="AE10" i="1" s="1"/>
  <c r="AD10" i="1" a="1"/>
  <c r="AD10" i="1" s="1"/>
  <c r="AC10" i="1" a="1"/>
  <c r="AC10" i="1" s="1"/>
  <c r="AB10" i="1" a="1"/>
  <c r="AB10" i="1" s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 s="1"/>
  <c r="U10" i="1" a="1"/>
  <c r="U10" i="1" s="1"/>
  <c r="S10" i="1" a="1"/>
  <c r="S10" i="1" s="1"/>
  <c r="R10" i="1" a="1"/>
  <c r="R10" i="1" s="1"/>
  <c r="Q10" i="1" a="1"/>
  <c r="Q10" i="1" s="1"/>
  <c r="P10" i="1" a="1"/>
  <c r="P10" i="1" s="1"/>
  <c r="O10" i="1" a="1"/>
  <c r="O10" i="1" s="1"/>
  <c r="N10" i="1" a="1"/>
  <c r="N10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AA7" i="1" a="1"/>
  <c r="AA7" i="1" s="1"/>
  <c r="Z7" i="1" a="1"/>
  <c r="Z7" i="1" s="1"/>
  <c r="Y7" i="1" a="1"/>
  <c r="Y7" i="1" s="1"/>
  <c r="X7" i="1" a="1"/>
  <c r="X7" i="1" s="1"/>
  <c r="W7" i="1" a="1"/>
  <c r="W7" i="1" s="1"/>
  <c r="V7" i="1" a="1"/>
  <c r="V7" i="1" s="1"/>
  <c r="U7" i="1" a="1"/>
  <c r="U7" i="1" s="1"/>
  <c r="T7" i="1" a="1"/>
  <c r="T7" i="1" s="1"/>
  <c r="S7" i="1" a="1"/>
  <c r="S7" i="1" s="1"/>
  <c r="Q7" i="1" a="1"/>
  <c r="Q7" i="1" s="1"/>
  <c r="P7" i="1" a="1"/>
  <c r="P7" i="1" s="1"/>
  <c r="O7" i="1" a="1"/>
  <c r="O7" i="1" s="1"/>
  <c r="N7" i="1" a="1"/>
  <c r="N7" i="1" s="1"/>
  <c r="M7" i="1" a="1"/>
  <c r="M7" i="1" s="1"/>
  <c r="L7" i="1" a="1"/>
  <c r="L7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AN7" i="1" a="1"/>
  <c r="AN7" i="1" s="1"/>
  <c r="BB7" i="1" a="1"/>
  <c r="BB7" i="1" s="1"/>
  <c r="BA7" i="1" a="1"/>
  <c r="BA7" i="1" s="1"/>
  <c r="AZ7" i="1" a="1"/>
  <c r="AZ7" i="1" s="1"/>
  <c r="AY7" i="1" a="1"/>
  <c r="AY7" i="1" s="1"/>
  <c r="AX7" i="1" a="1"/>
  <c r="AX7" i="1" s="1"/>
  <c r="AW7" i="1" a="1"/>
  <c r="AW7" i="1" s="1"/>
  <c r="AV7" i="1" a="1"/>
  <c r="AV7" i="1" s="1"/>
  <c r="AU7" i="1" a="1"/>
  <c r="AU7" i="1" s="1"/>
  <c r="AT7" i="1" a="1"/>
  <c r="AT7" i="1" s="1"/>
  <c r="AS7" i="1" a="1"/>
  <c r="AS7" i="1" s="1"/>
  <c r="AR7" i="1" a="1"/>
  <c r="AR7" i="1" s="1"/>
  <c r="AQ7" i="1" a="1"/>
  <c r="AQ7" i="1" s="1"/>
  <c r="AP7" i="1" a="1"/>
  <c r="AP7" i="1" s="1"/>
  <c r="AO7" i="1" a="1"/>
  <c r="AO7" i="1" s="1"/>
  <c r="AM7" i="1" a="1"/>
  <c r="AM7" i="1" s="1"/>
  <c r="BD7" i="1" a="1"/>
  <c r="BD7" i="1" s="1"/>
  <c r="BE7" i="1" a="1"/>
  <c r="BE7" i="1" s="1"/>
  <c r="BF7" i="1" a="1"/>
  <c r="BF7" i="1" s="1"/>
  <c r="BG7" i="1" a="1"/>
  <c r="BG7" i="1" s="1"/>
  <c r="BH7" i="1" a="1"/>
  <c r="BH7" i="1" s="1"/>
  <c r="BI7" i="1" a="1"/>
  <c r="BI7" i="1" s="1"/>
  <c r="R7" i="1" a="1"/>
  <c r="R7" i="1" s="1"/>
  <c r="BJ7" i="1" a="1"/>
  <c r="BJ7" i="1" s="1"/>
  <c r="BK7" i="1" a="1"/>
  <c r="BK7" i="1" s="1"/>
  <c r="BL7" i="1" a="1"/>
  <c r="BL7" i="1" s="1"/>
  <c r="AL7" i="1" a="1"/>
  <c r="AL7" i="1" s="1"/>
  <c r="AK7" i="1" a="1"/>
  <c r="AK7" i="1" s="1"/>
  <c r="AJ7" i="1" a="1"/>
  <c r="AJ7" i="1" s="1"/>
  <c r="AB7" i="1" a="1"/>
  <c r="AB7" i="1" s="1"/>
  <c r="AI7" i="1" a="1"/>
  <c r="AI7" i="1" s="1"/>
  <c r="AH7" i="1" a="1"/>
  <c r="AH7" i="1" s="1"/>
  <c r="AG7" i="1" a="1"/>
  <c r="AG7" i="1" s="1"/>
  <c r="AF7" i="1" a="1"/>
  <c r="AF7" i="1" s="1"/>
  <c r="AE7" i="1" a="1"/>
  <c r="AE7" i="1" s="1"/>
  <c r="AD7" i="1" a="1"/>
  <c r="AD7" i="1" s="1"/>
  <c r="AC7" i="1" a="1"/>
  <c r="AC7" i="1" s="1"/>
  <c r="BC7" i="1" a="1"/>
  <c r="BC7" i="1" s="1"/>
  <c r="AR6" i="1" a="1"/>
  <c r="AR6" i="1" s="1"/>
  <c r="AN6" i="1" a="1"/>
  <c r="AN6" i="1" s="1"/>
  <c r="AA6" i="1" a="1"/>
  <c r="AA6" i="1" s="1"/>
  <c r="Y6" i="1" a="1"/>
  <c r="Y6" i="1" s="1"/>
  <c r="AC6" i="1" a="1"/>
  <c r="AC6" i="1" s="1"/>
  <c r="AE6" i="1" a="1"/>
  <c r="AE6" i="1" s="1"/>
  <c r="AG6" i="1" a="1"/>
  <c r="AG6" i="1" s="1"/>
  <c r="AJ6" i="1" a="1"/>
  <c r="AJ6" i="1" s="1"/>
  <c r="AM6" i="1" a="1"/>
  <c r="AM6" i="1" s="1"/>
  <c r="AO6" i="1" a="1"/>
  <c r="AO6" i="1" s="1"/>
  <c r="AP6" i="1" a="1"/>
  <c r="AP6" i="1" s="1"/>
  <c r="AQ6" i="1" a="1"/>
  <c r="AQ6" i="1" s="1"/>
  <c r="AK6" i="1" a="1"/>
  <c r="AK6" i="1" s="1"/>
  <c r="AH6" i="1" a="1"/>
  <c r="AH6" i="1" s="1"/>
  <c r="AF6" i="1" a="1"/>
  <c r="AF6" i="1" s="1"/>
  <c r="AD6" i="1" a="1"/>
  <c r="AD6" i="1" s="1"/>
  <c r="AB6" i="1" a="1"/>
  <c r="AB6" i="1" s="1"/>
  <c r="Z6" i="1" a="1"/>
  <c r="Z6" i="1" s="1"/>
  <c r="X6" i="1" a="1"/>
  <c r="X6" i="1" s="1"/>
  <c r="AI6" i="1" a="1"/>
  <c r="AI6" i="1" s="1"/>
  <c r="AL6" i="1" a="1"/>
  <c r="AL6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BH24" i="1" a="1"/>
  <c r="BH24" i="1" s="1"/>
  <c r="BI24" i="1" a="1"/>
  <c r="BI24" i="1" s="1"/>
  <c r="BJ24" i="1" a="1"/>
  <c r="BJ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BK24" i="1" a="1"/>
  <c r="BK24" i="1" s="1"/>
  <c r="AP24" i="1" a="1"/>
  <c r="AP24" i="1" s="1"/>
  <c r="AX24" i="1" a="1"/>
  <c r="AX24" i="1" s="1"/>
  <c r="AY24" i="1" a="1"/>
  <c r="AY24" i="1" s="1"/>
  <c r="AZ24" i="1" a="1"/>
  <c r="AZ24" i="1" s="1"/>
  <c r="BL24" i="1" a="1"/>
  <c r="BL24" i="1" s="1"/>
  <c r="T17" i="1" a="1"/>
  <c r="T17" i="1" s="1"/>
  <c r="R17" i="1" a="1"/>
  <c r="R17" i="1" s="1"/>
  <c r="S17" i="1" a="1"/>
  <c r="S17" i="1" s="1"/>
  <c r="AD17" i="1" a="1"/>
  <c r="AD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AA17" i="1" a="1"/>
  <c r="AA17" i="1" s="1"/>
  <c r="AB17" i="1" a="1"/>
  <c r="AB17" i="1" s="1"/>
  <c r="AC17" i="1" a="1"/>
  <c r="AC17" i="1" s="1"/>
  <c r="I17" i="1" a="1"/>
  <c r="I17" i="1" s="1"/>
  <c r="AE17" i="1" a="1"/>
  <c r="AE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AF17" i="1" a="1"/>
  <c r="AF17" i="1" s="1"/>
  <c r="AG17" i="1" a="1"/>
  <c r="AG17" i="1" s="1"/>
  <c r="AH17" i="1" a="1"/>
  <c r="AH17" i="1" s="1"/>
  <c r="AI17" i="1" a="1"/>
  <c r="AI17" i="1" s="1"/>
  <c r="AJ17" i="1" a="1"/>
  <c r="AJ17" i="1" s="1"/>
  <c r="AK17" i="1" a="1"/>
  <c r="AK17" i="1" s="1"/>
  <c r="AL17" i="1" a="1"/>
  <c r="AL17" i="1" s="1"/>
  <c r="AM17" i="1" a="1"/>
  <c r="AM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BH17" i="1" a="1"/>
  <c r="BH17" i="1" s="1"/>
  <c r="BI17" i="1" a="1"/>
  <c r="BI17" i="1" s="1"/>
  <c r="BJ17" i="1" a="1"/>
  <c r="BJ17" i="1" s="1"/>
  <c r="BK17" i="1" a="1"/>
  <c r="BK17" i="1" s="1"/>
  <c r="BL17" i="1" a="1"/>
  <c r="BL17" i="1" s="1"/>
  <c r="J12" i="1" a="1"/>
  <c r="J12" i="1" s="1"/>
  <c r="AD12" i="1" a="1"/>
  <c r="AD12" i="1" s="1"/>
  <c r="AQ12" i="1" a="1"/>
  <c r="AQ12" i="1" s="1"/>
  <c r="AP12" i="1" a="1"/>
  <c r="AP12" i="1" s="1"/>
  <c r="AO12" i="1" a="1"/>
  <c r="AO12" i="1" s="1"/>
  <c r="AN12" i="1" a="1"/>
  <c r="AN12" i="1" s="1"/>
  <c r="AM12" i="1" a="1"/>
  <c r="AM12" i="1" s="1"/>
  <c r="AL12" i="1" a="1"/>
  <c r="AL12" i="1" s="1"/>
  <c r="AK12" i="1" a="1"/>
  <c r="AK12" i="1" s="1"/>
  <c r="AJ12" i="1" a="1"/>
  <c r="AJ12" i="1" s="1"/>
  <c r="AI12" i="1" a="1"/>
  <c r="AI12" i="1" s="1"/>
  <c r="AH12" i="1" a="1"/>
  <c r="AH12" i="1" s="1"/>
  <c r="AG12" i="1" a="1"/>
  <c r="AG12" i="1" s="1"/>
  <c r="AF12" i="1" a="1"/>
  <c r="AF12" i="1" s="1"/>
  <c r="AE12" i="1" a="1"/>
  <c r="AE12" i="1" s="1"/>
  <c r="AC12" i="1" a="1"/>
  <c r="AC12" i="1" s="1"/>
  <c r="AB12" i="1" a="1"/>
  <c r="AB12" i="1" s="1"/>
  <c r="AA12" i="1" a="1"/>
  <c r="AA12" i="1" s="1"/>
  <c r="Z12" i="1" a="1"/>
  <c r="Z12" i="1" s="1"/>
  <c r="Y12" i="1" a="1"/>
  <c r="Y12" i="1" s="1"/>
  <c r="X12" i="1" a="1"/>
  <c r="X12" i="1" s="1"/>
  <c r="W12" i="1" a="1"/>
  <c r="W12" i="1" s="1"/>
  <c r="V12" i="1" a="1"/>
  <c r="V12" i="1" s="1"/>
  <c r="I12" i="1" a="1"/>
  <c r="I12" i="1" s="1"/>
  <c r="U12" i="1" a="1"/>
  <c r="U12" i="1" s="1"/>
  <c r="T12" i="1" a="1"/>
  <c r="T12" i="1" s="1"/>
  <c r="S12" i="1" a="1"/>
  <c r="S12" i="1" s="1"/>
  <c r="R12" i="1" a="1"/>
  <c r="R12" i="1" s="1"/>
  <c r="Q12" i="1" a="1"/>
  <c r="Q12" i="1" s="1"/>
  <c r="P12" i="1" a="1"/>
  <c r="P12" i="1" s="1"/>
  <c r="O12" i="1" a="1"/>
  <c r="O12" i="1" s="1"/>
  <c r="N12" i="1" a="1"/>
  <c r="N12" i="1" s="1"/>
  <c r="M12" i="1" a="1"/>
  <c r="M12" i="1" s="1"/>
  <c r="L12" i="1" a="1"/>
  <c r="L12" i="1" s="1"/>
  <c r="K12" i="1" a="1"/>
  <c r="K12" i="1" s="1"/>
  <c r="F12" i="1" a="1"/>
  <c r="F12" i="1" s="1"/>
  <c r="G12" i="1" a="1"/>
  <c r="G12" i="1" s="1"/>
  <c r="H12" i="1" a="1"/>
  <c r="H12" i="1" s="1"/>
  <c r="AR12" i="1" a="1"/>
  <c r="AR12" i="1" s="1"/>
  <c r="AS12" i="1" a="1"/>
  <c r="AS12" i="1" s="1"/>
  <c r="AT12" i="1" a="1"/>
  <c r="AT12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BH12" i="1" a="1"/>
  <c r="BH12" i="1" s="1"/>
  <c r="BI12" i="1" a="1"/>
  <c r="BI12" i="1" s="1"/>
  <c r="BJ12" i="1" a="1"/>
  <c r="BJ12" i="1" s="1"/>
  <c r="BK12" i="1" a="1"/>
  <c r="BK12" i="1" s="1"/>
  <c r="BL12" i="1" a="1"/>
  <c r="BL12" i="1" s="1"/>
  <c r="BG6" i="1" a="1"/>
  <c r="BG6" i="1" s="1"/>
  <c r="AS6" i="1" a="1"/>
  <c r="AS6" i="1" s="1"/>
  <c r="AT6" i="1" a="1"/>
  <c r="AT6" i="1" s="1"/>
  <c r="AU6" i="1" a="1"/>
  <c r="AU6" i="1" s="1"/>
  <c r="AV6" i="1" a="1"/>
  <c r="AV6" i="1" s="1"/>
  <c r="AW6" i="1" a="1"/>
  <c r="AW6" i="1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H6" i="1" a="1"/>
  <c r="BH6" i="1" s="1"/>
  <c r="BI6" i="1" a="1"/>
  <c r="BI6" i="1" s="1"/>
  <c r="BJ6" i="1" a="1"/>
  <c r="BJ6" i="1" s="1"/>
  <c r="BK6" i="1" a="1"/>
  <c r="BK6" i="1" s="1"/>
  <c r="BL6" i="1" a="1"/>
  <c r="BL6" i="1" s="1"/>
  <c r="F6" i="1" a="1"/>
  <c r="F6" i="1" s="1"/>
  <c r="G6" i="1" a="1"/>
  <c r="G6" i="1" s="1"/>
  <c r="H6" i="1" a="1"/>
  <c r="H6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24" i="1" a="1"/>
  <c r="X24" i="1" s="1"/>
  <c r="V24" i="1" a="1"/>
  <c r="V24" i="1" s="1"/>
  <c r="T24" i="1" a="1"/>
  <c r="T24" i="1" s="1"/>
  <c r="Q24" i="1" a="1"/>
  <c r="Q24" i="1" s="1"/>
  <c r="P24" i="1" a="1"/>
  <c r="P24" i="1" s="1"/>
  <c r="N24" i="1" a="1"/>
  <c r="N24" i="1" s="1"/>
  <c r="M24" i="1" a="1"/>
  <c r="M24" i="1" s="1"/>
  <c r="L24" i="1" a="1"/>
  <c r="L24" i="1" s="1"/>
  <c r="J24" i="1" a="1"/>
  <c r="J24" i="1" s="1"/>
  <c r="H24" i="1" a="1"/>
  <c r="H24" i="1" s="1"/>
  <c r="AA24" i="1" a="1"/>
  <c r="AA24" i="1" s="1"/>
  <c r="F24" i="1" a="1"/>
  <c r="F24" i="1" s="1"/>
  <c r="AN24" i="1" a="1"/>
  <c r="AN24" i="1" s="1"/>
  <c r="AM24" i="1" a="1"/>
  <c r="AM24" i="1" s="1"/>
  <c r="AL24" i="1" a="1"/>
  <c r="AL24" i="1" s="1"/>
  <c r="AK24" i="1" a="1"/>
  <c r="AK24" i="1" s="1"/>
  <c r="AJ24" i="1" a="1"/>
  <c r="AJ24" i="1" s="1"/>
  <c r="AI24" i="1" a="1"/>
  <c r="AI24" i="1" s="1"/>
  <c r="AH24" i="1" a="1"/>
  <c r="AH24" i="1" s="1"/>
  <c r="AG24" i="1" a="1"/>
  <c r="AG24" i="1" s="1"/>
  <c r="AF24" i="1" a="1"/>
  <c r="AF24" i="1" s="1"/>
  <c r="AD24" i="1" a="1"/>
  <c r="AD24" i="1" s="1"/>
  <c r="AC24" i="1" a="1"/>
  <c r="AC24" i="1" s="1"/>
  <c r="Y24" i="1" a="1"/>
  <c r="Y24" i="1" s="1"/>
  <c r="W24" i="1" a="1"/>
  <c r="W24" i="1" s="1"/>
  <c r="U24" i="1" a="1"/>
  <c r="U24" i="1" s="1"/>
  <c r="S24" i="1" a="1"/>
  <c r="S24" i="1" s="1"/>
  <c r="R24" i="1" a="1"/>
  <c r="R24" i="1" s="1"/>
  <c r="O24" i="1" a="1"/>
  <c r="O24" i="1" s="1"/>
  <c r="K24" i="1" a="1"/>
  <c r="K24" i="1" s="1"/>
  <c r="I24" i="1" a="1"/>
  <c r="I24" i="1" s="1"/>
  <c r="G24" i="1" a="1"/>
  <c r="G24" i="1" s="1"/>
  <c r="AE24" i="1" a="1"/>
  <c r="AE24" i="1" s="1"/>
  <c r="AB24" i="1" a="1"/>
  <c r="AB24" i="1" s="1"/>
  <c r="Z24" i="1" a="1"/>
  <c r="Z24" i="1" s="1"/>
  <c r="H19" i="1" a="1"/>
  <c r="H19" i="1" s="1"/>
  <c r="F19" i="1" a="1"/>
  <c r="F19" i="1" s="1"/>
  <c r="BB19" i="1" a="1"/>
  <c r="BB19" i="1" s="1"/>
  <c r="AV19" i="1" a="1"/>
  <c r="AV19" i="1" s="1"/>
  <c r="AS19" i="1" a="1"/>
  <c r="AS19" i="1" s="1"/>
  <c r="AQ19" i="1" a="1"/>
  <c r="AQ19" i="1" s="1"/>
  <c r="AP19" i="1" a="1"/>
  <c r="AP19" i="1" s="1"/>
  <c r="AO19" i="1" a="1"/>
  <c r="AO19" i="1" s="1"/>
  <c r="AN19" i="1" a="1"/>
  <c r="AN19" i="1" s="1"/>
  <c r="AM19" i="1" a="1"/>
  <c r="AM19" i="1" s="1"/>
  <c r="AL19" i="1" a="1"/>
  <c r="AL19" i="1" s="1"/>
  <c r="AK19" i="1" a="1"/>
  <c r="AK19" i="1" s="1"/>
  <c r="AJ19" i="1" a="1"/>
  <c r="AJ19" i="1" s="1"/>
  <c r="AI19" i="1" a="1"/>
  <c r="AI19" i="1" s="1"/>
  <c r="AH19" i="1" a="1"/>
  <c r="AH19" i="1" s="1"/>
  <c r="AE19" i="1" a="1"/>
  <c r="AE19" i="1" s="1"/>
  <c r="AA19" i="1" a="1"/>
  <c r="AA19" i="1" s="1"/>
  <c r="Y19" i="1" a="1"/>
  <c r="Y19" i="1" s="1"/>
  <c r="W19" i="1" a="1"/>
  <c r="W19" i="1" s="1"/>
  <c r="U19" i="1" a="1"/>
  <c r="U19" i="1" s="1"/>
  <c r="S19" i="1" a="1"/>
  <c r="S19" i="1" s="1"/>
  <c r="P19" i="1" a="1"/>
  <c r="P19" i="1" s="1"/>
  <c r="M19" i="1" a="1"/>
  <c r="M19" i="1" s="1"/>
  <c r="I19" i="1" a="1"/>
  <c r="I19" i="1" s="1"/>
  <c r="BL19" i="1" a="1"/>
  <c r="BL19" i="1" s="1"/>
  <c r="BK19" i="1" a="1"/>
  <c r="BK19" i="1" s="1"/>
  <c r="BJ19" i="1" a="1"/>
  <c r="BJ19" i="1" s="1"/>
  <c r="BI19" i="1" a="1"/>
  <c r="BI19" i="1" s="1"/>
  <c r="BH19" i="1" a="1"/>
  <c r="BH19" i="1" s="1"/>
  <c r="BG19" i="1" a="1"/>
  <c r="BG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AZ19" i="1" a="1"/>
  <c r="AZ19" i="1" s="1"/>
  <c r="AY19" i="1" a="1"/>
  <c r="AY19" i="1" s="1"/>
  <c r="AX19" i="1" a="1"/>
  <c r="AX19" i="1" s="1"/>
  <c r="AW19" i="1" a="1"/>
  <c r="AW19" i="1" s="1"/>
  <c r="AU19" i="1" a="1"/>
  <c r="AU19" i="1" s="1"/>
  <c r="AT19" i="1" a="1"/>
  <c r="AT19" i="1" s="1"/>
  <c r="AR19" i="1" a="1"/>
  <c r="AR19" i="1" s="1"/>
  <c r="AF19" i="1" a="1"/>
  <c r="AF19" i="1" s="1"/>
  <c r="AD19" i="1" a="1"/>
  <c r="AD19" i="1" s="1"/>
  <c r="AB19" i="1" a="1"/>
  <c r="AB19" i="1" s="1"/>
  <c r="Z19" i="1" a="1"/>
  <c r="Z19" i="1" s="1"/>
  <c r="X19" i="1" a="1"/>
  <c r="X19" i="1" s="1"/>
  <c r="V19" i="1" a="1"/>
  <c r="V19" i="1" s="1"/>
  <c r="T19" i="1" a="1"/>
  <c r="T19" i="1" s="1"/>
  <c r="Q19" i="1" a="1"/>
  <c r="Q19" i="1" s="1"/>
  <c r="L19" i="1" a="1"/>
  <c r="L19" i="1" s="1"/>
  <c r="K19" i="1" a="1"/>
  <c r="K19" i="1" s="1"/>
  <c r="AG19" i="1" a="1"/>
  <c r="AG19" i="1" s="1"/>
  <c r="AC19" i="1" a="1"/>
  <c r="AC19" i="1" s="1"/>
  <c r="R19" i="1" a="1"/>
  <c r="R19" i="1" s="1"/>
  <c r="O19" i="1" a="1"/>
  <c r="O19" i="1" s="1"/>
  <c r="N19" i="1" a="1"/>
  <c r="N19" i="1" s="1"/>
  <c r="J19" i="1" a="1"/>
  <c r="J19" i="1" s="1"/>
  <c r="G19" i="1" a="1"/>
  <c r="G19" i="1" s="1"/>
  <c r="BL20" i="1" a="1"/>
  <c r="BL20" i="1" s="1"/>
  <c r="BK20" i="1" a="1"/>
  <c r="BK20" i="1" s="1"/>
  <c r="BJ20" i="1" a="1"/>
  <c r="BJ20" i="1" s="1"/>
  <c r="BI20" i="1" a="1"/>
  <c r="BI20" i="1" s="1"/>
  <c r="AB20" i="1" a="1"/>
  <c r="AB20" i="1" s="1"/>
  <c r="V20" i="1" a="1"/>
  <c r="V20" i="1" s="1"/>
  <c r="P20" i="1" a="1"/>
  <c r="P20" i="1" s="1"/>
  <c r="M20" i="1" a="1"/>
  <c r="M20" i="1" s="1"/>
  <c r="J20" i="1" a="1"/>
  <c r="J20" i="1" s="1"/>
  <c r="G20" i="1" a="1"/>
  <c r="G20" i="1" s="1"/>
  <c r="F20" i="1" a="1"/>
  <c r="F20" i="1" s="1"/>
  <c r="L20" i="1" a="1"/>
  <c r="L20" i="1" s="1"/>
  <c r="BH20" i="1" a="1"/>
  <c r="BH20" i="1" s="1"/>
  <c r="BG20" i="1" a="1"/>
  <c r="BG20" i="1" s="1"/>
  <c r="BF20" i="1" a="1"/>
  <c r="BF20" i="1" s="1"/>
  <c r="BE20" i="1" a="1"/>
  <c r="BE20" i="1" s="1"/>
  <c r="BD20" i="1" a="1"/>
  <c r="BD20" i="1" s="1"/>
  <c r="BC20" i="1" a="1"/>
  <c r="BC20" i="1" s="1"/>
  <c r="BB20" i="1" a="1"/>
  <c r="BB20" i="1" s="1"/>
  <c r="BA20" i="1" a="1"/>
  <c r="BA20" i="1" s="1"/>
  <c r="AZ20" i="1" a="1"/>
  <c r="AZ20" i="1" s="1"/>
  <c r="AY20" i="1" a="1"/>
  <c r="AY20" i="1" s="1"/>
  <c r="AX20" i="1" a="1"/>
  <c r="AX20" i="1" s="1"/>
  <c r="AW20" i="1" a="1"/>
  <c r="AW20" i="1" s="1"/>
  <c r="AV20" i="1" a="1"/>
  <c r="AV20" i="1" s="1"/>
  <c r="AU20" i="1" a="1"/>
  <c r="AU20" i="1" s="1"/>
  <c r="AS20" i="1" a="1"/>
  <c r="AS20" i="1" s="1"/>
  <c r="AR20" i="1" a="1"/>
  <c r="AR20" i="1" s="1"/>
  <c r="AQ20" i="1" a="1"/>
  <c r="AQ20" i="1" s="1"/>
  <c r="AP20" i="1" a="1"/>
  <c r="AP20" i="1" s="1"/>
  <c r="AO20" i="1" a="1"/>
  <c r="AO20" i="1" s="1"/>
  <c r="AM20" i="1" a="1"/>
  <c r="AM20" i="1" s="1"/>
  <c r="AK20" i="1" a="1"/>
  <c r="AK20" i="1" s="1"/>
  <c r="AI20" i="1" a="1"/>
  <c r="AI20" i="1" s="1"/>
  <c r="AG20" i="1" a="1"/>
  <c r="AG20" i="1" s="1"/>
  <c r="AE20" i="1" a="1"/>
  <c r="AE20" i="1" s="1"/>
  <c r="W20" i="1" a="1"/>
  <c r="W20" i="1" s="1"/>
  <c r="U20" i="1" a="1"/>
  <c r="U20" i="1" s="1"/>
  <c r="Q20" i="1" a="1"/>
  <c r="Q20" i="1" s="1"/>
  <c r="O20" i="1" a="1"/>
  <c r="O20" i="1" s="1"/>
  <c r="K20" i="1" a="1"/>
  <c r="K20" i="1" s="1"/>
  <c r="I20" i="1" a="1"/>
  <c r="I20" i="1" s="1"/>
  <c r="AT20" i="1" a="1"/>
  <c r="AT20" i="1" s="1"/>
  <c r="AN20" i="1" a="1"/>
  <c r="AN20" i="1" s="1"/>
  <c r="AL20" i="1" a="1"/>
  <c r="AL20" i="1" s="1"/>
  <c r="AJ20" i="1" a="1"/>
  <c r="AJ20" i="1" s="1"/>
  <c r="AH20" i="1" a="1"/>
  <c r="AH20" i="1" s="1"/>
  <c r="AF20" i="1" a="1"/>
  <c r="AF20" i="1" s="1"/>
  <c r="AD20" i="1" a="1"/>
  <c r="AD20" i="1" s="1"/>
  <c r="AC20" i="1" a="1"/>
  <c r="AC20" i="1" s="1"/>
  <c r="AA20" i="1" a="1"/>
  <c r="AA20" i="1" s="1"/>
  <c r="Z20" i="1" a="1"/>
  <c r="Z20" i="1" s="1"/>
  <c r="Y20" i="1" a="1"/>
  <c r="Y20" i="1" s="1"/>
  <c r="X20" i="1" a="1"/>
  <c r="X20" i="1" s="1"/>
  <c r="T20" i="1" a="1"/>
  <c r="T20" i="1" s="1"/>
  <c r="S20" i="1" a="1"/>
  <c r="S20" i="1" s="1"/>
  <c r="R20" i="1" a="1"/>
  <c r="R20" i="1" s="1"/>
  <c r="N20" i="1" a="1"/>
  <c r="N20" i="1" s="1"/>
  <c r="H20" i="1" a="1"/>
  <c r="H20" i="1" s="1"/>
  <c r="BL21" i="1" a="1"/>
  <c r="BL21" i="1" s="1"/>
  <c r="BK21" i="1" a="1"/>
  <c r="BK21" i="1" s="1"/>
  <c r="BJ21" i="1" a="1"/>
  <c r="BJ21" i="1" s="1"/>
  <c r="BI21" i="1" a="1"/>
  <c r="BI21" i="1" s="1"/>
  <c r="BH21" i="1" a="1"/>
  <c r="BH21" i="1" s="1"/>
  <c r="BG21" i="1" a="1"/>
  <c r="BG21" i="1" s="1"/>
  <c r="BF21" i="1" a="1"/>
  <c r="BF21" i="1" s="1"/>
  <c r="BE21" i="1" a="1"/>
  <c r="BE21" i="1" s="1"/>
  <c r="BD21" i="1" a="1"/>
  <c r="BD21" i="1" s="1"/>
  <c r="BC21" i="1" a="1"/>
  <c r="BC21" i="1" s="1"/>
  <c r="BB21" i="1" a="1"/>
  <c r="BB21" i="1" s="1"/>
  <c r="BA21" i="1" a="1"/>
  <c r="BA21" i="1" s="1"/>
  <c r="AZ21" i="1" a="1"/>
  <c r="AZ21" i="1" s="1"/>
  <c r="AY21" i="1" a="1"/>
  <c r="AY21" i="1" s="1"/>
  <c r="AX21" i="1" a="1"/>
  <c r="AX21" i="1" s="1"/>
  <c r="AW21" i="1" a="1"/>
  <c r="AW21" i="1" s="1"/>
  <c r="AV21" i="1" a="1"/>
  <c r="AV21" i="1" s="1"/>
  <c r="AU21" i="1" a="1"/>
  <c r="AU21" i="1" s="1"/>
  <c r="AT21" i="1" a="1"/>
  <c r="AT21" i="1" s="1"/>
  <c r="AS21" i="1" a="1"/>
  <c r="AS21" i="1" s="1"/>
  <c r="AR21" i="1" a="1"/>
  <c r="AR21" i="1" s="1"/>
  <c r="AQ21" i="1" a="1"/>
  <c r="AQ21" i="1" s="1"/>
  <c r="AP21" i="1" a="1"/>
  <c r="AP21" i="1" s="1"/>
  <c r="AO21" i="1" a="1"/>
  <c r="AO21" i="1" s="1"/>
  <c r="AN21" i="1" a="1"/>
  <c r="AN21" i="1" s="1"/>
  <c r="AM21" i="1" a="1"/>
  <c r="AM21" i="1" s="1"/>
  <c r="AL21" i="1" a="1"/>
  <c r="AL21" i="1" s="1"/>
  <c r="AK21" i="1" a="1"/>
  <c r="AK21" i="1" s="1"/>
  <c r="AJ21" i="1" a="1"/>
  <c r="AJ21" i="1" s="1"/>
  <c r="AI21" i="1" a="1"/>
  <c r="AI21" i="1" s="1"/>
  <c r="AH21" i="1" a="1"/>
  <c r="AH21" i="1" s="1"/>
  <c r="AG21" i="1" a="1"/>
  <c r="AG21" i="1" s="1"/>
  <c r="AF21" i="1" a="1"/>
  <c r="AF21" i="1" s="1"/>
  <c r="AE21" i="1" a="1"/>
  <c r="AE21" i="1" s="1"/>
  <c r="AD21" i="1" a="1"/>
  <c r="AD21" i="1" s="1"/>
  <c r="AC21" i="1" a="1"/>
  <c r="AC21" i="1" s="1"/>
  <c r="AB21" i="1" a="1"/>
  <c r="AB21" i="1" s="1"/>
  <c r="AA21" i="1" a="1"/>
  <c r="AA21" i="1" s="1"/>
  <c r="Z21" i="1" a="1"/>
  <c r="Z21" i="1" s="1"/>
  <c r="Y21" i="1" a="1"/>
  <c r="Y21" i="1" s="1"/>
  <c r="X21" i="1" a="1"/>
  <c r="X21" i="1" s="1"/>
  <c r="W21" i="1" a="1"/>
  <c r="W21" i="1" s="1"/>
  <c r="V21" i="1" a="1"/>
  <c r="V21" i="1" s="1"/>
  <c r="U21" i="1" a="1"/>
  <c r="U21" i="1" s="1"/>
  <c r="T21" i="1" a="1"/>
  <c r="T21" i="1" s="1"/>
  <c r="S21" i="1" a="1"/>
  <c r="S21" i="1" s="1"/>
  <c r="R21" i="1" a="1"/>
  <c r="R21" i="1" s="1"/>
  <c r="Q21" i="1" a="1"/>
  <c r="Q21" i="1" s="1"/>
  <c r="P21" i="1" a="1"/>
  <c r="P21" i="1" s="1"/>
  <c r="O21" i="1" a="1"/>
  <c r="O21" i="1" s="1"/>
  <c r="N21" i="1" a="1"/>
  <c r="N21" i="1" s="1"/>
  <c r="M21" i="1" a="1"/>
  <c r="M21" i="1" s="1"/>
  <c r="L21" i="1" a="1"/>
  <c r="L21" i="1" s="1"/>
  <c r="K21" i="1" a="1"/>
  <c r="K21" i="1" s="1"/>
  <c r="J21" i="1" a="1"/>
  <c r="J21" i="1" s="1"/>
  <c r="I21" i="1" a="1"/>
  <c r="I21" i="1" s="1"/>
  <c r="H21" i="1" a="1"/>
  <c r="H21" i="1" s="1"/>
  <c r="G21" i="1" a="1"/>
  <c r="G21" i="1" s="1"/>
  <c r="F21" i="1" a="1"/>
  <c r="F21" i="1" s="1"/>
  <c r="BL22" i="1" a="1"/>
  <c r="BL22" i="1" s="1"/>
  <c r="BK22" i="1" a="1"/>
  <c r="BK22" i="1" s="1"/>
  <c r="BJ22" i="1" a="1"/>
  <c r="BJ22" i="1" s="1"/>
  <c r="BI22" i="1" a="1"/>
  <c r="BI22" i="1" s="1"/>
  <c r="BH22" i="1" a="1"/>
  <c r="BH22" i="1" s="1"/>
  <c r="BG22" i="1" a="1"/>
  <c r="BG22" i="1" s="1"/>
  <c r="BF22" i="1" a="1"/>
  <c r="BF22" i="1" s="1"/>
  <c r="BE22" i="1" a="1"/>
  <c r="BE22" i="1" s="1"/>
  <c r="BD22" i="1" a="1"/>
  <c r="BD22" i="1" s="1"/>
  <c r="BC22" i="1" a="1"/>
  <c r="BC22" i="1" s="1"/>
  <c r="BB22" i="1" a="1"/>
  <c r="BB22" i="1" s="1"/>
  <c r="BA22" i="1" a="1"/>
  <c r="BA22" i="1" s="1"/>
  <c r="AZ22" i="1" a="1"/>
  <c r="AZ22" i="1" s="1"/>
  <c r="AY22" i="1" a="1"/>
  <c r="AY22" i="1" s="1"/>
  <c r="AX22" i="1" a="1"/>
  <c r="AX22" i="1" s="1"/>
  <c r="AW22" i="1" a="1"/>
  <c r="AW22" i="1" s="1"/>
  <c r="AV22" i="1" a="1"/>
  <c r="AV22" i="1" s="1"/>
  <c r="AU22" i="1" a="1"/>
  <c r="AU22" i="1" s="1"/>
  <c r="AT22" i="1" a="1"/>
  <c r="AT22" i="1" s="1"/>
  <c r="AS22" i="1" a="1"/>
  <c r="AS22" i="1" s="1"/>
  <c r="AR22" i="1" a="1"/>
  <c r="AR22" i="1" s="1"/>
  <c r="AQ22" i="1" a="1"/>
  <c r="AQ22" i="1" s="1"/>
  <c r="AP22" i="1" a="1"/>
  <c r="AP22" i="1" s="1"/>
  <c r="AO22" i="1" a="1"/>
  <c r="AO22" i="1" s="1"/>
  <c r="AN22" i="1" a="1"/>
  <c r="AN22" i="1" s="1"/>
  <c r="AM22" i="1" a="1"/>
  <c r="AM22" i="1" s="1"/>
  <c r="AL22" i="1" a="1"/>
  <c r="AL22" i="1" s="1"/>
  <c r="AK22" i="1" a="1"/>
  <c r="AK22" i="1" s="1"/>
  <c r="AJ22" i="1" a="1"/>
  <c r="AJ22" i="1" s="1"/>
  <c r="AI22" i="1" a="1"/>
  <c r="AI22" i="1" s="1"/>
  <c r="AH22" i="1" a="1"/>
  <c r="AH22" i="1" s="1"/>
  <c r="AG22" i="1" a="1"/>
  <c r="AG22" i="1" s="1"/>
  <c r="AF22" i="1" a="1"/>
  <c r="AF22" i="1" s="1"/>
  <c r="AE22" i="1" a="1"/>
  <c r="AE22" i="1" s="1"/>
  <c r="AD22" i="1" a="1"/>
  <c r="AD22" i="1" s="1"/>
  <c r="AC22" i="1" a="1"/>
  <c r="AC22" i="1" s="1"/>
  <c r="AB22" i="1" a="1"/>
  <c r="AB22" i="1" s="1"/>
  <c r="AA22" i="1" a="1"/>
  <c r="AA22" i="1" s="1"/>
  <c r="Z22" i="1" a="1"/>
  <c r="Z22" i="1" s="1"/>
  <c r="Y22" i="1" a="1"/>
  <c r="Y22" i="1" s="1"/>
  <c r="X22" i="1" a="1"/>
  <c r="X22" i="1" s="1"/>
  <c r="W22" i="1" a="1"/>
  <c r="W22" i="1" s="1"/>
  <c r="V22" i="1" a="1"/>
  <c r="V22" i="1" s="1"/>
  <c r="U22" i="1" a="1"/>
  <c r="U22" i="1" s="1"/>
  <c r="T22" i="1" a="1"/>
  <c r="T22" i="1" s="1"/>
  <c r="S22" i="1" a="1"/>
  <c r="S22" i="1" s="1"/>
  <c r="R22" i="1" a="1"/>
  <c r="R22" i="1" s="1"/>
  <c r="Q22" i="1" a="1"/>
  <c r="Q22" i="1" s="1"/>
  <c r="P22" i="1" a="1"/>
  <c r="P22" i="1" s="1"/>
  <c r="O22" i="1" a="1"/>
  <c r="O22" i="1" s="1"/>
  <c r="N22" i="1" a="1"/>
  <c r="N22" i="1" s="1"/>
  <c r="M22" i="1" a="1"/>
  <c r="M22" i="1" s="1"/>
  <c r="L22" i="1" a="1"/>
  <c r="L22" i="1" s="1"/>
  <c r="K22" i="1" a="1"/>
  <c r="K22" i="1" s="1"/>
  <c r="J22" i="1" a="1"/>
  <c r="J22" i="1" s="1"/>
  <c r="I22" i="1" a="1"/>
  <c r="I22" i="1" s="1"/>
  <c r="H22" i="1" a="1"/>
  <c r="H22" i="1" s="1"/>
  <c r="G22" i="1" a="1"/>
  <c r="G22" i="1" s="1"/>
  <c r="F22" i="1" a="1"/>
  <c r="F22" i="1" s="1"/>
  <c r="BL23" i="1" a="1"/>
  <c r="BL23" i="1" s="1"/>
  <c r="BK23" i="1" a="1"/>
  <c r="BK23" i="1" s="1"/>
  <c r="BJ23" i="1" a="1"/>
  <c r="BJ23" i="1" s="1"/>
  <c r="BI23" i="1" a="1"/>
  <c r="BI23" i="1" s="1"/>
  <c r="BH23" i="1" a="1"/>
  <c r="BH23" i="1" s="1"/>
  <c r="BG23" i="1" a="1"/>
  <c r="BG23" i="1" s="1"/>
  <c r="BF23" i="1" a="1"/>
  <c r="BF23" i="1" s="1"/>
  <c r="BE23" i="1" a="1"/>
  <c r="BE23" i="1" s="1"/>
  <c r="BD23" i="1" a="1"/>
  <c r="BD23" i="1" s="1"/>
  <c r="BC23" i="1" a="1"/>
  <c r="BC23" i="1" s="1"/>
  <c r="BB23" i="1" a="1"/>
  <c r="BB23" i="1" s="1"/>
  <c r="BA23" i="1" a="1"/>
  <c r="BA23" i="1" s="1"/>
  <c r="AZ23" i="1" a="1"/>
  <c r="AZ23" i="1" s="1"/>
  <c r="AY23" i="1" a="1"/>
  <c r="AY23" i="1" s="1"/>
  <c r="AX23" i="1" a="1"/>
  <c r="AX23" i="1" s="1"/>
  <c r="AW23" i="1" a="1"/>
  <c r="AW23" i="1" s="1"/>
  <c r="AV23" i="1" a="1"/>
  <c r="AV23" i="1" s="1"/>
  <c r="AU23" i="1" a="1"/>
  <c r="AU23" i="1" s="1"/>
  <c r="AT23" i="1" a="1"/>
  <c r="AT23" i="1" s="1"/>
  <c r="AS23" i="1" a="1"/>
  <c r="AS23" i="1" s="1"/>
  <c r="AR23" i="1" a="1"/>
  <c r="AR23" i="1" s="1"/>
  <c r="AQ23" i="1" a="1"/>
  <c r="AQ23" i="1" s="1"/>
  <c r="AP23" i="1" a="1"/>
  <c r="AP23" i="1" s="1"/>
  <c r="AO23" i="1" a="1"/>
  <c r="AO23" i="1" s="1"/>
  <c r="AN23" i="1" a="1"/>
  <c r="AN23" i="1" s="1"/>
  <c r="AM23" i="1" a="1"/>
  <c r="AM23" i="1" s="1"/>
  <c r="AL23" i="1" a="1"/>
  <c r="AL23" i="1" s="1"/>
  <c r="AK23" i="1" a="1"/>
  <c r="AK23" i="1" s="1"/>
  <c r="AJ23" i="1" a="1"/>
  <c r="AJ23" i="1" s="1"/>
  <c r="AI23" i="1" a="1"/>
  <c r="AI23" i="1" s="1"/>
  <c r="AH23" i="1" a="1"/>
  <c r="AH23" i="1" s="1"/>
  <c r="AG23" i="1" a="1"/>
  <c r="AG23" i="1" s="1"/>
  <c r="AF23" i="1" a="1"/>
  <c r="AF23" i="1" s="1"/>
  <c r="AE23" i="1" a="1"/>
  <c r="AE23" i="1" s="1"/>
  <c r="AD23" i="1" a="1"/>
  <c r="AD23" i="1" s="1"/>
  <c r="AC23" i="1" a="1"/>
  <c r="AC23" i="1" s="1"/>
  <c r="AB23" i="1" a="1"/>
  <c r="AB23" i="1" s="1"/>
  <c r="AA23" i="1" a="1"/>
  <c r="AA23" i="1" s="1"/>
  <c r="Z23" i="1" a="1"/>
  <c r="Z23" i="1" s="1"/>
  <c r="Y23" i="1" a="1"/>
  <c r="Y23" i="1" s="1"/>
  <c r="X23" i="1" a="1"/>
  <c r="X23" i="1" s="1"/>
  <c r="W23" i="1" a="1"/>
  <c r="W23" i="1" s="1"/>
  <c r="V23" i="1" a="1"/>
  <c r="V23" i="1" s="1"/>
  <c r="U23" i="1" a="1"/>
  <c r="U23" i="1" s="1"/>
  <c r="T23" i="1" a="1"/>
  <c r="T23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F23" i="1" a="1"/>
  <c r="F23" i="1" s="1"/>
</calcChain>
</file>

<file path=xl/sharedStrings.xml><?xml version="1.0" encoding="utf-8"?>
<sst xmlns="http://schemas.openxmlformats.org/spreadsheetml/2006/main" count="1825" uniqueCount="362">
  <si>
    <t>نمودار مقایسه‌ای شاخص‌های تعدیل | Cross-Project Comparison</t>
  </si>
  <si>
    <t>Toggle TRUE/FALSE to select activities | برای انتخاب TRUE/FALSE را تغییر دهید</t>
  </si>
  <si>
    <t>No.</t>
  </si>
  <si>
    <t>Project|پروژه</t>
  </si>
  <si>
    <t>Select</t>
  </si>
  <si>
    <t>Activity|فعالیت</t>
  </si>
  <si>
    <t>📊 Chart Data</t>
  </si>
  <si>
    <t>ابنیه|Buildings</t>
  </si>
  <si>
    <t>عملیات تخریب و برچیدن</t>
  </si>
  <si>
    <t>RowIdx</t>
  </si>
  <si>
    <t>Activity</t>
  </si>
  <si>
    <t>1390-اول</t>
  </si>
  <si>
    <t>1390-دوم</t>
  </si>
  <si>
    <t>1390-سوم</t>
  </si>
  <si>
    <t>1390-چهارم</t>
  </si>
  <si>
    <t>1391-اول</t>
  </si>
  <si>
    <t>1391-دوم</t>
  </si>
  <si>
    <t>1391-سوم</t>
  </si>
  <si>
    <t>1391-چهارم</t>
  </si>
  <si>
    <t>1392-اول</t>
  </si>
  <si>
    <t>1392-دوم</t>
  </si>
  <si>
    <t>1392-سوم</t>
  </si>
  <si>
    <t>1392-چهارم</t>
  </si>
  <si>
    <t>1393-اول</t>
  </si>
  <si>
    <t>1393-دوم</t>
  </si>
  <si>
    <t>1393-سوم</t>
  </si>
  <si>
    <t>1393-چهارم</t>
  </si>
  <si>
    <t>1394-اول</t>
  </si>
  <si>
    <t>1394-دوم</t>
  </si>
  <si>
    <t>1394-سوم</t>
  </si>
  <si>
    <t>1394-چهارم</t>
  </si>
  <si>
    <t>1395-اول</t>
  </si>
  <si>
    <t>1395-دوم</t>
  </si>
  <si>
    <t>1395-سوم</t>
  </si>
  <si>
    <t>1395-چهارم</t>
  </si>
  <si>
    <t>1396-اول</t>
  </si>
  <si>
    <t>1396-دوم</t>
  </si>
  <si>
    <t>1396-سوم</t>
  </si>
  <si>
    <t>1396-چهارم</t>
  </si>
  <si>
    <t>1397-اول</t>
  </si>
  <si>
    <t>1397-تیر</t>
  </si>
  <si>
    <t>1397-مرداد</t>
  </si>
  <si>
    <t>1397-شهریور</t>
  </si>
  <si>
    <t>1397-سوم</t>
  </si>
  <si>
    <t>1397-چهارم</t>
  </si>
  <si>
    <t>1398-اول</t>
  </si>
  <si>
    <t>1398-دوم</t>
  </si>
  <si>
    <t>1398-سوم</t>
  </si>
  <si>
    <t>1398-چهارم</t>
  </si>
  <si>
    <t>1399-اول</t>
  </si>
  <si>
    <t>1399-تیر</t>
  </si>
  <si>
    <t>1399-مرداد</t>
  </si>
  <si>
    <t>1399-شهریور</t>
  </si>
  <si>
    <t>1399-سوم</t>
  </si>
  <si>
    <t>1399-چهارم</t>
  </si>
  <si>
    <t>1400-اول</t>
  </si>
  <si>
    <t>1400-دوم</t>
  </si>
  <si>
    <t>1400-سوم</t>
  </si>
  <si>
    <t>1400-چهارم</t>
  </si>
  <si>
    <t>1401-اول</t>
  </si>
  <si>
    <t>1401-دوم</t>
  </si>
  <si>
    <t>1401-سوم</t>
  </si>
  <si>
    <t>1401-دی</t>
  </si>
  <si>
    <t>1401-بهمن</t>
  </si>
  <si>
    <t>1401-اسفند</t>
  </si>
  <si>
    <t>1402-اول</t>
  </si>
  <si>
    <t>1402-دوم</t>
  </si>
  <si>
    <t>1402-سوم</t>
  </si>
  <si>
    <t>1402-چهارم</t>
  </si>
  <si>
    <t>عملیات خاکی با دست</t>
  </si>
  <si>
    <t>عملیات خاکی با ماشین</t>
  </si>
  <si>
    <t>عملیات بنایی با سنگ</t>
  </si>
  <si>
    <t>قالب بندی چوبی</t>
  </si>
  <si>
    <t>قالب بندی فلزی</t>
  </si>
  <si>
    <t>کارهای فولادی با میلگرد</t>
  </si>
  <si>
    <t>بتن درجا</t>
  </si>
  <si>
    <t>کارهای فولادی سنگین</t>
  </si>
  <si>
    <t>سقف سبک بتنی</t>
  </si>
  <si>
    <t>آجرکاری و شفته ریزی</t>
  </si>
  <si>
    <t>بتن پیش ساخته و بلوک چینی</t>
  </si>
  <si>
    <t>عایق کاری رطوبتی</t>
  </si>
  <si>
    <t>عایق کاری حرارتی</t>
  </si>
  <si>
    <t>کارهای آزبست سیمان</t>
  </si>
  <si>
    <t>کارهای فولادی سبک</t>
  </si>
  <si>
    <t>کارهای آلومینیومی</t>
  </si>
  <si>
    <t>اندود و بندکشی</t>
  </si>
  <si>
    <t>کارهای چوبی</t>
  </si>
  <si>
    <t>کاشی و سرامیک کاری</t>
  </si>
  <si>
    <t>فرش کف با موزاییک</t>
  </si>
  <si>
    <t>کارهای سنگی با سنگ پلاک</t>
  </si>
  <si>
    <t>کارهای پلاستیکی</t>
  </si>
  <si>
    <t>بر ش و نصب شیشه</t>
  </si>
  <si>
    <t>رنگ آمیزی</t>
  </si>
  <si>
    <t>زیراساس و اساس</t>
  </si>
  <si>
    <t>آسفالت</t>
  </si>
  <si>
    <t>حمل و نقل</t>
  </si>
  <si>
    <t>کارهای دستمزدی</t>
  </si>
  <si>
    <t>مکانیکی|Mechanical</t>
  </si>
  <si>
    <t>لوله های فولادی</t>
  </si>
  <si>
    <t>لوله های چدنی</t>
  </si>
  <si>
    <t>لوله های پی.وی.سی</t>
  </si>
  <si>
    <t>لوله های پلی اتیلن</t>
  </si>
  <si>
    <t>لوله های آزبست سیمان</t>
  </si>
  <si>
    <t>لوله های مسی</t>
  </si>
  <si>
    <t>شیرها</t>
  </si>
  <si>
    <t>مفضل انبساط</t>
  </si>
  <si>
    <t>لرزه گیر</t>
  </si>
  <si>
    <t>صافی</t>
  </si>
  <si>
    <t>دیگهای حرارتی آب گرم</t>
  </si>
  <si>
    <t>دیگهای بخار</t>
  </si>
  <si>
    <t>مشعل</t>
  </si>
  <si>
    <t>دستگاههای کنترل و اندازه گیری</t>
  </si>
  <si>
    <t>آب گرم کن ( نفتی و گازی )</t>
  </si>
  <si>
    <t>رادیاتور</t>
  </si>
  <si>
    <t>آب سرد کن</t>
  </si>
  <si>
    <t>کانال هوا ، درچه هوا</t>
  </si>
  <si>
    <t>هواکش</t>
  </si>
  <si>
    <t>فن کویل ، یونیت هیتر</t>
  </si>
  <si>
    <t>کولر آبی</t>
  </si>
  <si>
    <t>کولر گازی</t>
  </si>
  <si>
    <t>الکترو پمپ</t>
  </si>
  <si>
    <t>عایق</t>
  </si>
  <si>
    <t>دستگاههای مبرد</t>
  </si>
  <si>
    <t>برجهای خنک کننده</t>
  </si>
  <si>
    <t>لوازم بهداشتی ، شیرآلات بهداشتی</t>
  </si>
  <si>
    <t>وسایل آتش نشانی</t>
  </si>
  <si>
    <t>لوازم آشپزخانه</t>
  </si>
  <si>
    <t>توجه: برای بهترین نمایش، از زوم 100% استفاده کنید | Note: Use 100% zoom for optimal display</t>
  </si>
  <si>
    <t>سختی گیر</t>
  </si>
  <si>
    <t>منابع و مبدلها</t>
  </si>
  <si>
    <t>بستها ، تکیه گاهها ، دودکش</t>
  </si>
  <si>
    <t>برقی|Electrical</t>
  </si>
  <si>
    <t>چراغ های فلورسنت</t>
  </si>
  <si>
    <t>چراغ ها با لامپهای کم مصرف</t>
  </si>
  <si>
    <t>چراغ های صنعتی</t>
  </si>
  <si>
    <t>چراغ های فضای ازاد</t>
  </si>
  <si>
    <t>چراغ های مخصوص</t>
  </si>
  <si>
    <t>سیم ها</t>
  </si>
  <si>
    <t>کابلهای فشار ضعیف</t>
  </si>
  <si>
    <t>کابلشوها</t>
  </si>
  <si>
    <t>کابلهای فشار متوسط</t>
  </si>
  <si>
    <t>سرکابلها و مفصلها</t>
  </si>
  <si>
    <t>کلید پریز</t>
  </si>
  <si>
    <t>لوله های پی وی سی</t>
  </si>
  <si>
    <t>وسایل فشار ضعیف تابلویی</t>
  </si>
  <si>
    <t>وسایل اندازه گیری</t>
  </si>
  <si>
    <t>تابلوهای فشار متوسط</t>
  </si>
  <si>
    <t>مولدهای برق</t>
  </si>
  <si>
    <t>خازن های صنعتی و منابع تغذیه جریان مستقیم</t>
  </si>
  <si>
    <t>ترانسفورماتورهای فشار قوی</t>
  </si>
  <si>
    <t>وسایل شبکه</t>
  </si>
  <si>
    <t>کابلهای تلفن</t>
  </si>
  <si>
    <t>وسایل ارتباطی</t>
  </si>
  <si>
    <t>سیستم احضار و در بازکن</t>
  </si>
  <si>
    <t>سیستم آنتن تلوزیون</t>
  </si>
  <si>
    <t>سیستم مادر ساعت</t>
  </si>
  <si>
    <t>وسایل اعلام و اطفای حریق</t>
  </si>
  <si>
    <t>وسایل صوتی</t>
  </si>
  <si>
    <t>وسایل متفرقه</t>
  </si>
  <si>
    <t>سیستم شبکه های اطلاع رسانی</t>
  </si>
  <si>
    <t>سیستم نظارت تصویری</t>
  </si>
  <si>
    <t>اینورتر سامانه های تجدید پذیر</t>
  </si>
  <si>
    <t>پنل خورشیدی</t>
  </si>
  <si>
    <t>سازه های نگهدارنده پنل های خورشیدی</t>
  </si>
  <si>
    <t>کنترل کننده شارژ سامانه های خورشیدی</t>
  </si>
  <si>
    <t>باتری سامانه‌های تجدید پذیر</t>
  </si>
  <si>
    <t>خطوط|WaterTr</t>
  </si>
  <si>
    <t>عملیات لوله گذاری با لوله های ازبست سیمان</t>
  </si>
  <si>
    <t>عملیات لوله گذاری با لوله های چدنی نشکن (داکتیل)</t>
  </si>
  <si>
    <t>عملیات لوله گذاری با لوله های فولادی اتصال مکانیکی</t>
  </si>
  <si>
    <t>عملیات لوله گذاری با لوله های فولادی اتصال جوشی</t>
  </si>
  <si>
    <t>عملیات لوله گذاری با لوله های بتنی مسلح</t>
  </si>
  <si>
    <t>عملیات لوله گذاری با لوله های فایبرگلاس (G.R.P)</t>
  </si>
  <si>
    <t>نصب شیرها</t>
  </si>
  <si>
    <t>احداث حوضچه های شیرالات</t>
  </si>
  <si>
    <t>حفاظت لوله ها</t>
  </si>
  <si>
    <t>عملیات خاکی و مرمت نوار حفاری</t>
  </si>
  <si>
    <t>کارهای فولادی</t>
  </si>
  <si>
    <t>کارهای بتنی و قالب بندی</t>
  </si>
  <si>
    <t>تهیه لوله های چدنی نشکن (داکتیل)</t>
  </si>
  <si>
    <t>تهیه لوله های فولادی</t>
  </si>
  <si>
    <t>تهیه لوله های بتن مسلح پیش تنیده</t>
  </si>
  <si>
    <t>تهیه لوله های فایبرگلاس (G.R.P)</t>
  </si>
  <si>
    <t>شبکه|WaterDt</t>
  </si>
  <si>
    <t>عملیات لوله گذاری با لوله پلی اتیلن</t>
  </si>
  <si>
    <t>احداث حوضچه های شیر</t>
  </si>
  <si>
    <t>نصب انشعاب ها</t>
  </si>
  <si>
    <t>تهیه لوله های پلی اتیلن و پی وی سی سخت (U.P.V.C)</t>
  </si>
  <si>
    <t>سد|Dam</t>
  </si>
  <si>
    <t>عملیات خاکی و تخریب</t>
  </si>
  <si>
    <t>عملیات حفاری در فضای بسته</t>
  </si>
  <si>
    <t>عملیات پایدارسازی و نگهداری سطوح</t>
  </si>
  <si>
    <t>چالزنی، تزریق و دیوار اب بند</t>
  </si>
  <si>
    <t>قالب بندی</t>
  </si>
  <si>
    <t>کارهای بتنی</t>
  </si>
  <si>
    <t>کارهای متفرقه</t>
  </si>
  <si>
    <t>حمل</t>
  </si>
  <si>
    <t>شیرهای هیدرومکانیکال</t>
  </si>
  <si>
    <t>جک‌های هیدرولیکی</t>
  </si>
  <si>
    <t>بالابرهای کششی(وینچ‌ها)</t>
  </si>
  <si>
    <t>کارهای فولادی هیدرومکانیکال</t>
  </si>
  <si>
    <t>عملیات لوله‌گذاری هیدرومکانیکال</t>
  </si>
  <si>
    <t>فاضلاب|Sewage</t>
  </si>
  <si>
    <t>عملیات لوله گذاری با لوله های ازبست سیمان فاضلابی</t>
  </si>
  <si>
    <t>عملیات لوله گذاری با لوله های بتنی فاضلابی</t>
  </si>
  <si>
    <t>عملیات لوله گذاری با لوله های پی وی سی فاضلابی</t>
  </si>
  <si>
    <t>عملیات لوله گذاری با لوله های پلی اتیلن فاضلابی</t>
  </si>
  <si>
    <t>عملیات لوله گذاری در نقب</t>
  </si>
  <si>
    <t>احداث ادم روها</t>
  </si>
  <si>
    <t>کارهای سپرکوبی با سپر فولادی</t>
  </si>
  <si>
    <t>حمل ونقل</t>
  </si>
  <si>
    <t>لوله رانی</t>
  </si>
  <si>
    <t>تهیه لوله های بتنی فاضلابی لوله رانی</t>
  </si>
  <si>
    <t>تهیه لوله های پلی اتیلن فاضلابی مخصوص لوله رانی</t>
  </si>
  <si>
    <t>تهیه لوله های ازبست سیمان فاضلابی، اتصالی ها و متعلقات</t>
  </si>
  <si>
    <t>تهیه لوله های پی وی سی فاضلابی، اتصالی ها و متعلقات</t>
  </si>
  <si>
    <t>تهیه لوله های فایبرگلاس (G.R.P) فاضلابی، اتصالی ها و متعلقات</t>
  </si>
  <si>
    <t>تجهیزات|Equip</t>
  </si>
  <si>
    <t>فصل پمپ ها</t>
  </si>
  <si>
    <t>همزنها</t>
  </si>
  <si>
    <t>آشغالگیر</t>
  </si>
  <si>
    <t>بلوئرها و کمپرسورها</t>
  </si>
  <si>
    <t>دیفیوزرها</t>
  </si>
  <si>
    <t>آبگیری لجن</t>
  </si>
  <si>
    <t>گندزدایی</t>
  </si>
  <si>
    <t>تجهیزات فرآوری گاز</t>
  </si>
  <si>
    <t>مبدل های حرارتی</t>
  </si>
  <si>
    <t>دیگ حرارتی آب گرم</t>
  </si>
  <si>
    <t>مشعلها</t>
  </si>
  <si>
    <t>جرثقیلها</t>
  </si>
  <si>
    <t>الکتروموتورها</t>
  </si>
  <si>
    <t>خنثیسازی و حذفبو</t>
  </si>
  <si>
    <t>لولهها و اتصالات و متعلقات فولادی</t>
  </si>
  <si>
    <t>لولهها و اتصالات و منعلقات استیل</t>
  </si>
  <si>
    <t>لولهها و اتصالات و متعلقات چدنی نشکن</t>
  </si>
  <si>
    <t>لولهها و اتصالات و متعلقات پلیاتیلن</t>
  </si>
  <si>
    <t>لولهها و اتصالات فایبرگلاس</t>
  </si>
  <si>
    <t>لولهها و اتصالات و متعلقات پلیپروپیلن و پی وی سخت</t>
  </si>
  <si>
    <t>شیر آلات و متعلقات فلزی</t>
  </si>
  <si>
    <t>شیر آلات و متعلقات پلاستیکی</t>
  </si>
  <si>
    <t>کارهای فلزی</t>
  </si>
  <si>
    <t>مواد شیمیایی</t>
  </si>
  <si>
    <t>عملگرها</t>
  </si>
  <si>
    <t>غشاها</t>
  </si>
  <si>
    <t>غلاف غشا</t>
  </si>
  <si>
    <t>فیلتر کارتریج</t>
  </si>
  <si>
    <t>تجهیزات ابزاردقیق اندازهگیری سطح یا فشار</t>
  </si>
  <si>
    <t>تجهیزات ابزاردقیق اندازهگیری دبی</t>
  </si>
  <si>
    <t>آنالایزرها</t>
  </si>
  <si>
    <t>پست|Subst</t>
  </si>
  <si>
    <t>طراحی</t>
  </si>
  <si>
    <t>ترانسفورماتور قدرت</t>
  </si>
  <si>
    <t>راکتور</t>
  </si>
  <si>
    <t>تجهیزات سوئیچگیر های گازی</t>
  </si>
  <si>
    <t>کلید قدرت</t>
  </si>
  <si>
    <t>سسیونر و تیغه زمین</t>
  </si>
  <si>
    <t>ترانس جریان</t>
  </si>
  <si>
    <t>ترانس ولتاژ</t>
  </si>
  <si>
    <t>برقگیر و شمارنده</t>
  </si>
  <si>
    <t>مقره اتکایی پرسیلینی</t>
  </si>
  <si>
    <t>بوشینگ</t>
  </si>
  <si>
    <t>موج گیرو راکتور بانک خازنی</t>
  </si>
  <si>
    <t>هادی آلومینیومی</t>
  </si>
  <si>
    <t>کلمپ آلومینیومی</t>
  </si>
  <si>
    <t>یراقآلات فولادی</t>
  </si>
  <si>
    <t>بانک خازنی</t>
  </si>
  <si>
    <t>تابلو فشار متوسط</t>
  </si>
  <si>
    <t>سیستم زمین</t>
  </si>
  <si>
    <t>آهن آلات پست</t>
  </si>
  <si>
    <t>کابل فشار ضعیف مسی و ملحقات</t>
  </si>
  <si>
    <t>بدنه و ملحقات داخلی تابلوها</t>
  </si>
  <si>
    <t>تجهیزات سیستم کنترل سنتی</t>
  </si>
  <si>
    <t>تجهیزات اندازه گیری دیجیتال و ثبات</t>
  </si>
  <si>
    <t>تجهیزات سیستم کنترل نیومریک</t>
  </si>
  <si>
    <t>تجهیرات سیستم حفاظت الکتریکی</t>
  </si>
  <si>
    <t>تجهیزات دیسپاچینگ و مخابرات</t>
  </si>
  <si>
    <t>تجهیزات تغذیه جریان مستقیم و متناوب</t>
  </si>
  <si>
    <t>شارژر</t>
  </si>
  <si>
    <t>باتری اسیدی</t>
  </si>
  <si>
    <t>باتری نیکل کادمیوم</t>
  </si>
  <si>
    <t>عملیات نصب</t>
  </si>
  <si>
    <t>عملیات آزمون و راه اندازی</t>
  </si>
  <si>
    <t>نیرو|Power</t>
  </si>
  <si>
    <t>پایه‌های بتنی</t>
  </si>
  <si>
    <t>پایه‌های چوبی</t>
  </si>
  <si>
    <t>پست‌های روغنی و ترانسفورماتورها</t>
  </si>
  <si>
    <t>کابل‌های فشار متوسط مسی</t>
  </si>
  <si>
    <t>هادی‌ها و کابل‌های فشار متوسط آلومینیوم</t>
  </si>
  <si>
    <t>سیم و کابل‌های مسی فشار ضعیف</t>
  </si>
  <si>
    <t>کابل‌های آلومینیوم فشار ضعیف</t>
  </si>
  <si>
    <t>مقره و اسپیسرهاي كامپوزيتي</t>
  </si>
  <si>
    <t>سرکابل، مفصل، کاور و لوله‌های غیر فلزی</t>
  </si>
  <si>
    <t>پایه‌های فلزی</t>
  </si>
  <si>
    <t>تجهیزات روشنایی</t>
  </si>
  <si>
    <t>قطع كنندههاي اتوماتيك فشار ضعیف قطع كننده تابلویی</t>
  </si>
  <si>
    <t>ترانسفورماتورهاي جریان و ولتاژ فشار ضعیف و متوسط</t>
  </si>
  <si>
    <t>یراق آلات و متعلقات شبکه</t>
  </si>
  <si>
    <t>لوازم اندازهگیري دیجیتال</t>
  </si>
  <si>
    <t>قطع کننده‌های شبکه فشار متوسط هوایی</t>
  </si>
  <si>
    <t>تجهیزات اتوماسیون، كنترل و حفاظت</t>
  </si>
  <si>
    <t>قطعات بتنی و متعلقات</t>
  </si>
  <si>
    <t>مقره هاي سراميكي</t>
  </si>
  <si>
    <t>فیوزها و كليد فیوزهاي فشار ضعیف و متوسط</t>
  </si>
  <si>
    <t>برقگیرها</t>
  </si>
  <si>
    <t>تجهیزات كامپوزيت</t>
  </si>
  <si>
    <t>بدنه فلزي تابلوها</t>
  </si>
  <si>
    <t>تابلوهاي كمپكت و قطع كننده هاي تابلویی فشار متوسط</t>
  </si>
  <si>
    <t>تجهیزات مسی</t>
  </si>
  <si>
    <t>یراق آلات آلومینیومی</t>
  </si>
  <si>
    <t>خازنهاي فشار ضعیف</t>
  </si>
  <si>
    <t>عملیات خط گرم</t>
  </si>
  <si>
    <t>نصب تجهيزات به صورت خط سرد</t>
  </si>
  <si>
    <t>داشبورد جامع شاخص‌های تعدیل پروژه‌های عمرانی (1390-1403)</t>
  </si>
  <si>
    <t>Comprehensive Construction Projects Price Adjustment Index Dashboard</t>
  </si>
  <si>
    <t>لیست پروژه‌ها (Project Types):</t>
  </si>
  <si>
    <t>1. ابنیه</t>
  </si>
  <si>
    <t>(Buildings)</t>
  </si>
  <si>
    <t>2. مکانیکی</t>
  </si>
  <si>
    <t>(Mechanical)</t>
  </si>
  <si>
    <t>3. تاسیسات برقی</t>
  </si>
  <si>
    <t>(Electrical)</t>
  </si>
  <si>
    <t>4. خطوط انتقال آب</t>
  </si>
  <si>
    <t>(Water Transmission)</t>
  </si>
  <si>
    <t>5. شبکه توزیع آّب</t>
  </si>
  <si>
    <t>(Water Distribution)</t>
  </si>
  <si>
    <t>6. سدسازی</t>
  </si>
  <si>
    <t>(Dam Construction)</t>
  </si>
  <si>
    <t>7. جمع‌آوری و انتقال فاضلاب</t>
  </si>
  <si>
    <t>(Sewage)</t>
  </si>
  <si>
    <t>8. تجهیزات آب و فاضلاب</t>
  </si>
  <si>
    <t>(Water &amp; Sewage Equipment)</t>
  </si>
  <si>
    <t>9. پست های انتقال برق</t>
  </si>
  <si>
    <t>(Power Substations)</t>
  </si>
  <si>
    <t>10. توزیع نیرو برق</t>
  </si>
  <si>
    <t>(Power Distribution)</t>
  </si>
  <si>
    <t>راهنمای استفاده:</t>
  </si>
  <si>
    <t>1. هر نوع پروژه دارای شیت جداگانه با نمودار است</t>
  </si>
  <si>
    <t>2. در هر شیت، ردیف 6 حاوی انتخاب‌گر TRUE/FALSE برای هر فعالیت است</t>
  </si>
  <si>
    <t>3. با تغییر TRUE به FALSE، فعالیت از نمودار حذف می‌شود</t>
  </si>
  <si>
    <t>4. نمودار به صورت خودکار با تغییر انتخاب‌ها به‌روزرسانی می‌شود</t>
  </si>
  <si>
    <t>5. می‌توانید چندین فعالیت را همزمان برای مقایسه انتخاب کنید</t>
  </si>
  <si>
    <t>نمودار شاخص‌های تعدیل - ابنیه | Buildings</t>
  </si>
  <si>
    <t>برای نمایش/عدم نمایش هر فعالیت در نمودار، مقدار TRUE/FALSE را در ردیف 6 تغییر دهید</t>
  </si>
  <si>
    <t>نام فعالیت:</t>
  </si>
  <si>
    <t>انتخاب:</t>
  </si>
  <si>
    <t>فعالیت / Activity</t>
  </si>
  <si>
    <t>1403-اول</t>
  </si>
  <si>
    <t>1403-دوم</t>
  </si>
  <si>
    <t>1403-سوم</t>
  </si>
  <si>
    <t>1403-دی</t>
  </si>
  <si>
    <t>1403-بهمن</t>
  </si>
  <si>
    <t>1403-اسفند</t>
  </si>
  <si>
    <t>نمودار شاخص‌های تعدیل - مکانیکی | Mechanical</t>
  </si>
  <si>
    <t>-</t>
  </si>
  <si>
    <t>نمودار شاخص‌های تعدیل - تاسیسات برقی | Electrical</t>
  </si>
  <si>
    <t>نمودار شاخص‌های تعدیل - خطوط انتقال آب | Water Transmission</t>
  </si>
  <si>
    <t>نمودار شاخص‌های تعدیل - شبکه توزیع آّب | Water Distribution</t>
  </si>
  <si>
    <t>نمودار شاخص‌های تعدیل - سدسازی | Dam Construction</t>
  </si>
  <si>
    <t>نمودار شاخص‌های تعدیل - جمع‌آوری و انتقال فاضلاب | Sewage</t>
  </si>
  <si>
    <t>نمودار شاخص‌های تعدیل - تجهیزات آب و فاضلاب | Water &amp; Sewage Equipment</t>
  </si>
  <si>
    <t>نمودار شاخص‌های تعدیل - پست های انتقال برق | Power Substations</t>
  </si>
  <si>
    <t>نمودار شاخص‌های تعدیل - توزیع نیرو برق | Power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</si>
</sst>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charset val="1"/>
    </font>
    <font>
      <b/>
      <sz val="18"/>
      <color rgb="FF1F4E79"/>
      <name val="FreeSans"/>
      <family val="2"/>
      <charset val="1"/>
    </font>
    <font>
      <b/>
      <sz val="14"/>
      <color rgb="FF2E75B6"/>
      <name val="Cambria"/>
      <family val="1"/>
    </font>
    <font>
      <b/>
      <sz val="12"/>
      <name val="FreeSans"/>
      <family val="2"/>
      <charset val="1"/>
    </font>
    <font>
      <sz val="12"/>
      <color rgb="FF262626"/>
      <name val="B Nazanin"/>
      <charset val="178"/>
    </font>
    <font>
      <i/>
      <sz val="11"/>
      <color rgb="FF262626"/>
      <name val="Cambria"/>
      <family val="1"/>
    </font>
    <font>
      <b/>
      <sz val="13"/>
      <color rgb="FFFFFFFF"/>
      <name val="B Nazanin"/>
      <charset val="178"/>
    </font>
    <font>
      <sz val="11"/>
      <color rgb="FF262626"/>
      <name val="B Nazanin"/>
      <charset val="178"/>
    </font>
    <font>
      <b/>
      <sz val="16"/>
      <color rgb="FFFFFFFF"/>
      <name val="B Nazanin"/>
      <charset val="178"/>
    </font>
    <font>
      <i/>
      <sz val="10"/>
      <color rgb="FF262626"/>
      <name val="B Nazanin"/>
      <charset val="178"/>
    </font>
    <font>
      <b/>
      <sz val="11"/>
      <color rgb="FFFFFFFF"/>
      <name val="B Nazanin"/>
      <charset val="178"/>
    </font>
    <font>
      <b/>
      <sz val="9"/>
      <color rgb="FFFFFFFF"/>
      <name val="B Nazanin"/>
      <charset val="178"/>
    </font>
    <font>
      <b/>
      <sz val="10"/>
      <color rgb="FF262626"/>
      <name val="B Nazanin"/>
      <charset val="178"/>
    </font>
    <font>
      <b/>
      <sz val="9"/>
      <color rgb="FF262626"/>
      <name val="Calibri"/>
      <family val="2"/>
    </font>
    <font>
      <b/>
      <sz val="10"/>
      <color rgb="FFFFFFFF"/>
      <name val="B Nazanin"/>
      <charset val="178"/>
    </font>
    <font>
      <sz val="10"/>
      <color rgb="FF262626"/>
      <name val="B Nazanin"/>
      <charset val="178"/>
    </font>
    <font>
      <sz val="9"/>
      <color rgb="FF262626"/>
      <name val="Calibri"/>
      <family val="2"/>
    </font>
    <font>
      <sz val="10"/>
      <color rgb="FF000000"/>
      <name val="Calibri"/>
      <family val="2"/>
    </font>
    <font>
      <b/>
      <sz val="9"/>
      <color rgb="FFE74C3C"/>
      <name val="Calibri"/>
      <family val="2"/>
    </font>
    <font>
      <b/>
      <sz val="20"/>
      <color rgb="FFFFFFFF"/>
      <name val="B Nazanin"/>
      <charset val="178"/>
    </font>
    <font>
      <i/>
      <sz val="11"/>
      <color rgb="FF1A365D"/>
      <name val="B Nazanin"/>
      <charset val="178"/>
    </font>
    <font>
      <b/>
      <sz val="13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2D3748"/>
      <name val="Calibri"/>
      <family val="2"/>
    </font>
    <font>
      <sz val="10"/>
      <color rgb="FF718096"/>
      <name val="Calibri"/>
      <family val="2"/>
    </font>
    <font>
      <b/>
      <sz val="10"/>
      <color rgb="FF1A365D"/>
      <name val="Calibri"/>
      <family val="2"/>
    </font>
    <font>
      <sz val="10"/>
      <color rgb="FF1A202C"/>
      <name val="Calibri"/>
      <family val="2"/>
    </font>
    <font>
      <sz val="9"/>
      <color rgb="FF1A202C"/>
      <name val="Calibri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365D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E7F0FF"/>
        <bgColor rgb="FFF2F2F2"/>
      </patternFill>
    </fill>
    <fill>
      <patternFill patternType="solid">
        <fgColor rgb="FFFFFFFF"/>
        <bgColor rgb="FFF8F9FA"/>
      </patternFill>
    </fill>
    <fill>
      <patternFill patternType="solid">
        <fgColor rgb="FF70AD47"/>
        <bgColor rgb="FF829D47"/>
      </patternFill>
    </fill>
    <fill>
      <patternFill patternType="solid">
        <fgColor rgb="FFF2F2F2"/>
        <bgColor rgb="FFF8F9FA"/>
      </patternFill>
    </fill>
    <fill>
      <patternFill patternType="solid">
        <fgColor rgb="FF1F4788"/>
        <bgColor rgb="FF1F4E79"/>
      </patternFill>
    </fill>
    <fill>
      <patternFill patternType="solid">
        <fgColor rgb="FF305496"/>
        <bgColor rgb="FF365D8A"/>
      </patternFill>
    </fill>
    <fill>
      <patternFill patternType="solid">
        <fgColor rgb="FFFFF2CC"/>
        <bgColor rgb="FFF2F2F2"/>
      </patternFill>
    </fill>
    <fill>
      <patternFill patternType="solid">
        <fgColor rgb="FF5E9CD3"/>
        <bgColor rgb="FF44A7C2"/>
      </patternFill>
    </fill>
    <fill>
      <patternFill patternType="solid">
        <fgColor rgb="FFF8F9FA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1A365D"/>
        <bgColor rgb="FF1A365D"/>
      </patternFill>
    </fill>
    <fill>
      <patternFill patternType="solid">
        <fgColor rgb="FFFFFFFF"/>
        <bgColor rgb="FFFFFFFF"/>
      </patternFill>
    </fill>
    <fill>
      <patternFill patternType="solid">
        <fgColor rgb="FF2B6CB0"/>
        <bgColor rgb="FF2B6CB0"/>
      </patternFill>
    </fill>
    <fill>
      <patternFill patternType="solid">
        <fgColor rgb="FFE2E8F0"/>
        <bgColor rgb="FFE2E8F0"/>
      </patternFill>
    </fill>
    <fill>
      <patternFill patternType="solid">
        <fgColor rgb="FFEDF2F7"/>
        <bgColor rgb="FFEDF2F7"/>
      </patternFill>
    </fill>
    <fill>
      <patternFill patternType="solid">
        <fgColor rgb="FF0F2E47"/>
        <bgColor rgb="FF0F2E47"/>
      </patternFill>
    </fill>
    <fill>
      <patternFill patternType="solid">
        <fgColor rgb="FFE6F6FF"/>
        <bgColor rgb="FFE6F6FF"/>
      </patternFill>
    </fill>
    <fill>
      <patternFill patternType="solid">
        <fgColor rgb="FF1E4A73"/>
        <bgColor rgb="FF1E4A73"/>
      </patternFill>
    </fill>
    <fill>
      <patternFill patternType="solid">
        <fgColor rgb="FF3182CE"/>
        <bgColor rgb="FF3182CE"/>
      </patternFill>
    </fill>
    <fill>
      <patternFill patternType="solid">
        <fgColor rgb="FFE8EEF4"/>
        <bgColor rgb="FFE8EEF4"/>
      </patternFill>
    </fill>
    <fill>
      <patternFill patternType="solid">
        <fgColor rgb="FFE3EBF6"/>
        <bgColor rgb="FFE3EBF6"/>
      </patternFill>
    </fill>
    <fill>
      <patternFill patternType="solid">
        <fgColor rgb="FFDEE8F8"/>
        <bgColor rgb="FFDEE8F8"/>
      </patternFill>
    </fill>
    <fill>
      <patternFill patternType="solid">
        <fgColor rgb="FFD9E6FA"/>
        <bgColor rgb="FFD9E6FA"/>
      </patternFill>
    </fill>
    <fill>
      <patternFill patternType="solid">
        <fgColor rgb="FFD4E3FB"/>
        <bgColor rgb="FFD4E3FB"/>
      </patternFill>
    </fill>
    <fill>
      <patternFill patternType="solid">
        <fgColor rgb="FFCEE0FB"/>
        <bgColor rgb="FFCEE0FB"/>
      </patternFill>
    </fill>
    <fill>
      <patternFill patternType="solid">
        <fgColor rgb="FFC8DDFA"/>
        <bgColor rgb="FFC8DDFA"/>
      </patternFill>
    </fill>
    <fill>
      <patternFill patternType="solid">
        <fgColor rgb="FFC2DAF9"/>
        <bgColor rgb="FFC2DAF9"/>
      </patternFill>
    </fill>
    <fill>
      <patternFill patternType="solid">
        <fgColor rgb="FFBCD7F7"/>
        <bgColor rgb="FFBCD7F7"/>
      </patternFill>
    </fill>
    <fill>
      <patternFill patternType="solid">
        <fgColor rgb="FFB6D4F5"/>
        <bgColor rgb="FFB6D4F5"/>
      </patternFill>
    </fill>
    <fill>
      <patternFill patternType="solid">
        <fgColor rgb="FFB0D1F3"/>
        <bgColor rgb="FFB0D1F3"/>
      </patternFill>
    </fill>
    <fill>
      <patternFill patternType="solid">
        <fgColor rgb="FFAACEF0"/>
        <bgColor rgb="FFAACEF0"/>
      </patternFill>
    </fill>
    <fill>
      <patternFill patternType="solid">
        <fgColor rgb="FFA4CBED"/>
        <bgColor rgb="FFA4CBED"/>
      </patternFill>
    </fill>
    <fill>
      <patternFill patternType="solid">
        <fgColor rgb="FFFAFBFC"/>
        <bgColor rgb="FFFAFBFC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medium">
        <color rgb="FF2D3748"/>
      </top>
      <bottom style="thin">
        <color rgb="FFCBD5E0"/>
      </bottom>
      <diagonal/>
    </border>
    <border>
      <left style="thin">
        <color rgb="FFA0AEC0"/>
      </left>
      <right style="thin">
        <color rgb="FFA0AEC0"/>
      </right>
      <top style="medium">
        <color rgb="FF2D3748"/>
      </top>
      <bottom style="medium">
        <color rgb="FF2D3748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ck">
        <color rgb="FF0F2E47"/>
      </left>
      <right/>
      <top style="thick">
        <color rgb="FF0F2E47"/>
      </top>
      <bottom style="double">
        <color rgb="FFF6E05E"/>
      </bottom>
      <diagonal/>
    </border>
    <border>
      <left/>
      <right/>
      <top style="thick">
        <color rgb="FF0F2E47"/>
      </top>
      <bottom style="double">
        <color rgb="FFF6E05E"/>
      </bottom>
      <diagonal/>
    </border>
    <border>
      <left/>
      <right style="thick">
        <color rgb="FF0F2E47"/>
      </right>
      <top style="thick">
        <color rgb="FF0F2E47"/>
      </top>
      <bottom style="double">
        <color rgb="FFF6E05E"/>
      </bottom>
      <diagonal/>
    </border>
    <border>
      <left style="thin">
        <color rgb="FF90CDF4"/>
      </left>
      <right style="hair">
        <color rgb="FFBEE3F8"/>
      </right>
      <top/>
      <bottom style="thin">
        <color rgb="FF90CDF4"/>
      </bottom>
      <diagonal/>
    </border>
    <border>
      <left style="hair">
        <color rgb="FFBEE3F8"/>
      </left>
      <right style="hair">
        <color rgb="FFBEE3F8"/>
      </right>
      <top/>
      <bottom style="thin">
        <color rgb="FF90CDF4"/>
      </bottom>
      <diagonal/>
    </border>
    <border>
      <left style="hair">
        <color rgb="FFBEE3F8"/>
      </left>
      <right style="thin">
        <color rgb="FF90CDF4"/>
      </right>
      <top/>
      <bottom style="thin">
        <color rgb="FF90CDF4"/>
      </bottom>
      <diagonal/>
    </border>
    <border>
      <left style="medium">
        <color rgb="FF0F2E47"/>
      </left>
      <right style="medium">
        <color rgb="FF0F2E47"/>
      </right>
      <top style="thick">
        <color rgb="FF0F2E47"/>
      </top>
      <bottom style="thick">
        <color rgb="FF0F2E47"/>
      </bottom>
      <diagonal/>
    </border>
    <border>
      <left style="thick">
        <color rgb="FF0F2E47"/>
      </left>
      <right style="medium">
        <color rgb="FF4299E1"/>
      </right>
      <top style="thick">
        <color rgb="FF0F2E47"/>
      </top>
      <bottom style="thick">
        <color rgb="FF0F2E47"/>
      </bottom>
      <diagonal/>
    </border>
    <border>
      <left style="hair">
        <color rgb="FF4299E1"/>
      </left>
      <right style="hair">
        <color rgb="FF4299E1"/>
      </right>
      <top style="thick">
        <color rgb="FF0F2E47"/>
      </top>
      <bottom style="thick">
        <color rgb="FF0F2E47"/>
      </bottom>
      <diagonal/>
    </border>
    <border>
      <left style="medium">
        <color rgb="FF0F2E47"/>
      </left>
      <right style="thin">
        <color rgb="FFA0AEC0"/>
      </right>
      <top style="medium">
        <color rgb="FF0F2E47"/>
      </top>
      <bottom style="medium">
        <color rgb="FF0F2E47"/>
      </bottom>
      <diagonal/>
    </border>
    <border>
      <left style="thin">
        <color rgb="FFCBD5E0"/>
      </left>
      <right style="thin">
        <color rgb="FFCBD5E0"/>
      </right>
      <top style="medium">
        <color rgb="FF0F2E47"/>
      </top>
      <bottom style="medium">
        <color rgb="FF0F2E47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9" fillId="5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textRotation="90" wrapText="1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right" vertical="center" indent="1"/>
    </xf>
    <xf numFmtId="4" fontId="16" fillId="10" borderId="3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 indent="1"/>
    </xf>
    <xf numFmtId="4" fontId="16" fillId="3" borderId="3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vertical="center"/>
    </xf>
    <xf numFmtId="0" fontId="0" fillId="13" borderId="7" xfId="0" applyFill="1" applyBorder="1"/>
    <xf numFmtId="0" fontId="22" fillId="14" borderId="8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right" vertical="center"/>
    </xf>
    <xf numFmtId="0" fontId="18" fillId="16" borderId="8" xfId="0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right" vertical="center"/>
    </xf>
    <xf numFmtId="0" fontId="28" fillId="16" borderId="8" xfId="0" applyFont="1" applyFill="1" applyBorder="1" applyAlignment="1">
      <alignment horizontal="center" vertical="center"/>
    </xf>
    <xf numFmtId="0" fontId="25" fillId="16" borderId="10" xfId="0" applyFont="1" applyFill="1" applyBorder="1" applyAlignment="1">
      <alignment horizontal="center" vertical="center"/>
    </xf>
    <xf numFmtId="0" fontId="26" fillId="16" borderId="10" xfId="0" applyFont="1" applyFill="1" applyBorder="1" applyAlignment="1">
      <alignment horizontal="right" vertical="center"/>
    </xf>
    <xf numFmtId="0" fontId="18" fillId="16" borderId="10" xfId="0" applyFont="1" applyFill="1" applyBorder="1" applyAlignment="1">
      <alignment horizontal="center" vertical="center"/>
    </xf>
    <xf numFmtId="0" fontId="27" fillId="16" borderId="10" xfId="0" applyFont="1" applyFill="1" applyBorder="1" applyAlignment="1">
      <alignment horizontal="right" vertical="center"/>
    </xf>
    <xf numFmtId="0" fontId="28" fillId="16" borderId="10" xfId="0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center" vertical="center"/>
    </xf>
    <xf numFmtId="4" fontId="28" fillId="16" borderId="8" xfId="0" applyNumberFormat="1" applyFont="1" applyFill="1" applyBorder="1" applyAlignment="1">
      <alignment horizontal="center" vertical="center"/>
    </xf>
    <xf numFmtId="4" fontId="28" fillId="16" borderId="10" xfId="0" applyNumberFormat="1" applyFont="1" applyFill="1" applyBorder="1" applyAlignment="1">
      <alignment horizontal="center" vertical="center"/>
    </xf>
    <xf numFmtId="0" fontId="21" fillId="19" borderId="17" xfId="0" applyFont="1" applyFill="1" applyBorder="1" applyAlignment="1">
      <alignment horizontal="center" vertical="center" wrapText="1"/>
    </xf>
    <xf numFmtId="0" fontId="29" fillId="14" borderId="18" xfId="0" applyFont="1" applyFill="1" applyBorder="1" applyAlignment="1">
      <alignment horizontal="center" vertical="center"/>
    </xf>
    <xf numFmtId="0" fontId="0" fillId="20" borderId="19" xfId="0" applyFill="1" applyBorder="1"/>
    <xf numFmtId="0" fontId="31" fillId="21" borderId="20" xfId="0" applyFont="1" applyFill="1" applyBorder="1" applyAlignment="1">
      <alignment horizontal="center" vertical="center"/>
    </xf>
    <xf numFmtId="0" fontId="31" fillId="21" borderId="21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0" fontId="31" fillId="22" borderId="21" xfId="0" applyFont="1" applyFill="1" applyBorder="1" applyAlignment="1">
      <alignment horizontal="center" vertical="center"/>
    </xf>
    <xf numFmtId="0" fontId="31" fillId="23" borderId="20" xfId="0" applyFont="1" applyFill="1" applyBorder="1" applyAlignment="1">
      <alignment horizontal="center" vertical="center"/>
    </xf>
    <xf numFmtId="0" fontId="31" fillId="23" borderId="21" xfId="0" applyFont="1" applyFill="1" applyBorder="1" applyAlignment="1">
      <alignment horizontal="center" vertical="center"/>
    </xf>
    <xf numFmtId="0" fontId="31" fillId="24" borderId="20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center" vertical="center"/>
    </xf>
    <xf numFmtId="0" fontId="31" fillId="25" borderId="20" xfId="0" applyFont="1" applyFill="1" applyBorder="1" applyAlignment="1">
      <alignment horizontal="center" vertical="center"/>
    </xf>
    <xf numFmtId="0" fontId="31" fillId="25" borderId="21" xfId="0" applyFont="1" applyFill="1" applyBorder="1" applyAlignment="1">
      <alignment horizontal="center" vertical="center"/>
    </xf>
    <xf numFmtId="0" fontId="31" fillId="26" borderId="20" xfId="0" applyFont="1" applyFill="1" applyBorder="1" applyAlignment="1">
      <alignment horizontal="center" vertical="center"/>
    </xf>
    <xf numFmtId="0" fontId="31" fillId="26" borderId="21" xfId="0" applyFont="1" applyFill="1" applyBorder="1" applyAlignment="1">
      <alignment horizontal="center" vertical="center"/>
    </xf>
    <xf numFmtId="0" fontId="31" fillId="27" borderId="20" xfId="0" applyFont="1" applyFill="1" applyBorder="1" applyAlignment="1">
      <alignment horizontal="center" vertical="center"/>
    </xf>
    <xf numFmtId="0" fontId="31" fillId="27" borderId="21" xfId="0" applyFont="1" applyFill="1" applyBorder="1" applyAlignment="1">
      <alignment horizontal="center" vertical="center"/>
    </xf>
    <xf numFmtId="0" fontId="31" fillId="28" borderId="20" xfId="0" applyFont="1" applyFill="1" applyBorder="1" applyAlignment="1">
      <alignment horizontal="center" vertical="center"/>
    </xf>
    <xf numFmtId="0" fontId="31" fillId="28" borderId="21" xfId="0" applyFont="1" applyFill="1" applyBorder="1" applyAlignment="1">
      <alignment horizontal="center" vertical="center"/>
    </xf>
    <xf numFmtId="0" fontId="31" fillId="29" borderId="20" xfId="0" applyFont="1" applyFill="1" applyBorder="1" applyAlignment="1">
      <alignment horizontal="center" vertical="center"/>
    </xf>
    <xf numFmtId="0" fontId="31" fillId="29" borderId="21" xfId="0" applyFont="1" applyFill="1" applyBorder="1" applyAlignment="1">
      <alignment horizontal="center" vertical="center"/>
    </xf>
    <xf numFmtId="0" fontId="31" fillId="30" borderId="20" xfId="0" applyFont="1" applyFill="1" applyBorder="1" applyAlignment="1">
      <alignment horizontal="center" vertical="center"/>
    </xf>
    <xf numFmtId="0" fontId="31" fillId="30" borderId="21" xfId="0" applyFont="1" applyFill="1" applyBorder="1" applyAlignment="1">
      <alignment horizontal="center" vertical="center"/>
    </xf>
    <xf numFmtId="0" fontId="31" fillId="31" borderId="20" xfId="0" applyFont="1" applyFill="1" applyBorder="1" applyAlignment="1">
      <alignment horizontal="center" vertical="center"/>
    </xf>
    <xf numFmtId="0" fontId="31" fillId="31" borderId="21" xfId="0" applyFont="1" applyFill="1" applyBorder="1" applyAlignment="1">
      <alignment horizontal="center" vertical="center"/>
    </xf>
    <xf numFmtId="0" fontId="31" fillId="32" borderId="20" xfId="0" applyFont="1" applyFill="1" applyBorder="1" applyAlignment="1">
      <alignment horizontal="center" vertical="center"/>
    </xf>
    <xf numFmtId="0" fontId="31" fillId="32" borderId="21" xfId="0" applyFont="1" applyFill="1" applyBorder="1" applyAlignment="1">
      <alignment horizontal="center" vertical="center"/>
    </xf>
    <xf numFmtId="0" fontId="31" fillId="33" borderId="20" xfId="0" applyFont="1" applyFill="1" applyBorder="1" applyAlignment="1">
      <alignment horizontal="center" vertical="center"/>
    </xf>
    <xf numFmtId="0" fontId="31" fillId="33" borderId="21" xfId="0" applyFont="1" applyFill="1" applyBorder="1" applyAlignment="1">
      <alignment horizontal="center" vertical="center"/>
    </xf>
    <xf numFmtId="0" fontId="25" fillId="34" borderId="8" xfId="0" applyFont="1" applyFill="1" applyBorder="1" applyAlignment="1">
      <alignment horizontal="center" vertical="center"/>
    </xf>
    <xf numFmtId="0" fontId="26" fillId="34" borderId="8" xfId="0" applyFont="1" applyFill="1" applyBorder="1" applyAlignment="1">
      <alignment horizontal="right" vertical="center"/>
    </xf>
    <xf numFmtId="0" fontId="18" fillId="34" borderId="8" xfId="0" applyFont="1" applyFill="1" applyBorder="1" applyAlignment="1">
      <alignment horizontal="center" vertical="center"/>
    </xf>
    <xf numFmtId="0" fontId="27" fillId="34" borderId="8" xfId="0" applyFont="1" applyFill="1" applyBorder="1" applyAlignment="1">
      <alignment horizontal="right" vertical="center"/>
    </xf>
    <xf numFmtId="0" fontId="28" fillId="34" borderId="8" xfId="0" applyFont="1" applyFill="1" applyBorder="1" applyAlignment="1">
      <alignment horizontal="center" vertical="center"/>
    </xf>
    <xf numFmtId="4" fontId="28" fillId="34" borderId="8" xfId="0" applyNumberFormat="1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/>
    </xf>
    <xf numFmtId="0" fontId="26" fillId="34" borderId="10" xfId="0" applyFont="1" applyFill="1" applyBorder="1" applyAlignment="1">
      <alignment horizontal="right" vertical="center"/>
    </xf>
    <xf numFmtId="0" fontId="18" fillId="34" borderId="10" xfId="0" applyFont="1" applyFill="1" applyBorder="1" applyAlignment="1">
      <alignment horizontal="center" vertical="center"/>
    </xf>
    <xf numFmtId="0" fontId="27" fillId="34" borderId="10" xfId="0" applyFont="1" applyFill="1" applyBorder="1" applyAlignment="1">
      <alignment horizontal="right" vertical="center"/>
    </xf>
    <xf numFmtId="0" fontId="28" fillId="34" borderId="10" xfId="0" applyFont="1" applyFill="1" applyBorder="1" applyAlignment="1">
      <alignment horizontal="center" vertical="center"/>
    </xf>
    <xf numFmtId="4" fontId="28" fillId="34" borderId="10" xfId="0" applyNumberFormat="1" applyFont="1" applyFill="1" applyBorder="1" applyAlignment="1">
      <alignment horizontal="center" vertical="center"/>
    </xf>
    <xf numFmtId="0" fontId="20" fillId="18" borderId="14" xfId="0" applyFont="1" applyFill="1" applyBorder="1" applyAlignment="1">
      <alignment horizontal="center" vertical="center"/>
    </xf>
    <xf numFmtId="0" fontId="0" fillId="18" borderId="15" xfId="0" applyFill="1" applyBorder="1"/>
    <xf numFmtId="0" fontId="0" fillId="18" borderId="16" xfId="0" applyFill="1" applyBorder="1"/>
    <xf numFmtId="0" fontId="19" fillId="17" borderId="11" xfId="0" applyFont="1" applyFill="1" applyBorder="1" applyAlignment="1">
      <alignment horizontal="center" vertical="center" wrapText="1"/>
    </xf>
    <xf numFmtId="0" fontId="0" fillId="17" borderId="12" xfId="0" applyFill="1" applyBorder="1"/>
    <xf numFmtId="0" fontId="0" fillId="17" borderId="13" xfId="0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readingOrder="2"/>
    </xf>
    <xf numFmtId="0" fontId="0" fillId="2" borderId="1" xfId="0" applyFill="1" applyBorder="1" applyAlignment="1">
      <alignment readingOrder="2"/>
    </xf>
    <xf numFmtId="0" fontId="5" fillId="2" borderId="1" xfId="0" applyFont="1" applyFill="1" applyBorder="1" applyAlignment="1">
      <alignment horizontal="left" vertical="center" readingOrder="2"/>
    </xf>
    <xf numFmtId="0" fontId="0" fillId="0" borderId="0" xfId="0" applyAlignment="1">
      <alignment readingOrder="2"/>
    </xf>
    <xf numFmtId="0" fontId="4" fillId="3" borderId="1" xfId="0" applyFont="1" applyFill="1" applyBorder="1" applyAlignment="1">
      <alignment horizontal="right" vertical="center" readingOrder="2"/>
    </xf>
    <xf numFmtId="0" fontId="0" fillId="3" borderId="1" xfId="0" applyFill="1" applyBorder="1" applyAlignment="1">
      <alignment readingOrder="2"/>
    </xf>
    <xf numFmtId="0" fontId="5" fillId="3" borderId="1" xfId="0" applyFont="1" applyFill="1" applyBorder="1" applyAlignment="1">
      <alignment horizontal="left" vertical="center" readingOrder="2"/>
    </xf>
    <xf numFmtId="0" fontId="6" fillId="4" borderId="1" xfId="0" applyFont="1" applyFill="1" applyBorder="1" applyAlignment="1">
      <alignment horizontal="right" vertical="center" readingOrder="2"/>
    </xf>
    <xf numFmtId="0" fontId="0" fillId="0" borderId="4" xfId="0" applyBorder="1" applyAlignment="1">
      <alignment readingOrder="2"/>
    </xf>
    <xf numFmtId="0" fontId="0" fillId="0" borderId="5" xfId="0" applyBorder="1" applyAlignment="1">
      <alignment readingOrder="2"/>
    </xf>
    <xf numFmtId="0" fontId="7" fillId="5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46E6D"/>
      <rgbColor rgb="FF70AD47"/>
      <rgbColor rgb="FFECC1B9"/>
      <rgbColor rgb="FFCEDCBB"/>
      <rgbColor rgb="FFD09897"/>
      <rgbColor rgb="FFB9D4DF"/>
      <rgbColor rgb="FFB66C2E"/>
      <rgbColor rgb="FF365D8A"/>
      <rgbColor rgb="FF829D47"/>
      <rgbColor rgb="FF71893D"/>
      <rgbColor rgb="FFB54744"/>
      <rgbColor rgb="FF337E91"/>
      <rgbColor rgb="FFC6BFD1"/>
      <rgbColor rgb="FF88868B"/>
      <rgbColor rgb="FF97ACCE"/>
      <rgbColor rgb="FF9D3E3B"/>
      <rgbColor rgb="FFFFF2CC"/>
      <rgbColor rgb="FFE7F0FF"/>
      <rgbColor rgb="FF6A5187"/>
      <rgbColor rgb="FFF49F68"/>
      <rgbColor rgb="FF305496"/>
      <rgbColor rgb="FFBAC6DD"/>
      <rgbColor rgb="FF91B051"/>
      <rgbColor rgb="FFE98B3C"/>
      <rgbColor rgb="FFBCD09E"/>
      <rgbColor rgb="FFA5C073"/>
      <rgbColor rgb="FFBE4B48"/>
      <rgbColor rgb="FFCB7934"/>
      <rgbColor rgb="FF3E6A9E"/>
      <rgbColor rgb="FFD9D9D9"/>
      <rgbColor rgb="FF5E9CD3"/>
      <rgbColor rgb="FFF2F2F2"/>
      <rgbColor rgb="FFE0E0E0"/>
      <rgbColor rgb="FFF8F9FA"/>
      <rgbColor rgb="FF99C6D6"/>
      <rgbColor rgb="FFD4A5A4"/>
      <rgbColor rgb="FFA5B5D3"/>
      <rgbColor rgb="FFF5B797"/>
      <rgbColor rgb="FF2E75B6"/>
      <rgbColor rgb="FF44A7C2"/>
      <rgbColor rgb="FF98B855"/>
      <rgbColor rgb="FFFFC000"/>
      <rgbColor rgb="FFF59240"/>
      <rgbColor rgb="FFD77F36"/>
      <rgbColor rgb="FF7B5D9C"/>
      <rgbColor rgb="FFAEA1C1"/>
      <rgbColor rgb="FF1F4E79"/>
      <rgbColor rgb="FF3A8FA7"/>
      <rgbColor rgb="FF487CB8"/>
      <rgbColor rgb="FF5C4776"/>
      <rgbColor rgb="FFA5413D"/>
      <rgbColor rgb="FF8D3734"/>
      <rgbColor rgb="FF1F478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E-2"/>
          <c:y val="3.5000000000000003E-2"/>
          <c:w val="0.92"/>
          <c:h val="0.72"/>
        </c:manualLayout>
      </c:layout>
      <c:lineChart>
        <c:grouping val="standard"/>
        <c:varyColors val="0"/>
        <c:ser>
          <c:idx val="0"/>
          <c:order val="0"/>
          <c:tx>
            <c:strRef>
              <c:f>'مقایسه پروژه‌ها'!$F$6</c:f>
              <c:strCache>
                <c:ptCount val="1"/>
                <c:pt idx="0">
                  <c:v>ابنیه:کارهای فولادی سنگین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25400" dist="12700" dir="5400000" algn="ctr" rotWithShape="0">
                <a:schemeClr val="accent1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پروژه‌ها'!$G$6:$BL$6</c:f>
              <c:numCache>
                <c:formatCode>#,##0.00</c:formatCode>
                <c:ptCount val="58"/>
                <c:pt idx="0">
                  <c:v>275.2</c:v>
                </c:pt>
                <c:pt idx="1">
                  <c:v>302.3</c:v>
                </c:pt>
                <c:pt idx="2">
                  <c:v>318.89999999999998</c:v>
                </c:pt>
                <c:pt idx="3">
                  <c:v>335.8</c:v>
                </c:pt>
                <c:pt idx="4">
                  <c:v>352.4</c:v>
                </c:pt>
                <c:pt idx="5">
                  <c:v>404.1</c:v>
                </c:pt>
                <c:pt idx="6">
                  <c:v>498.1</c:v>
                </c:pt>
                <c:pt idx="7">
                  <c:v>546.79999999999995</c:v>
                </c:pt>
                <c:pt idx="8">
                  <c:v>577</c:v>
                </c:pt>
                <c:pt idx="9">
                  <c:v>572.4</c:v>
                </c:pt>
                <c:pt idx="10">
                  <c:v>568.29999999999995</c:v>
                </c:pt>
                <c:pt idx="11">
                  <c:v>561.70000000000005</c:v>
                </c:pt>
                <c:pt idx="12">
                  <c:v>594.79999999999995</c:v>
                </c:pt>
                <c:pt idx="13">
                  <c:v>588.4</c:v>
                </c:pt>
                <c:pt idx="14">
                  <c:v>588.6</c:v>
                </c:pt>
                <c:pt idx="15">
                  <c:v>580.1</c:v>
                </c:pt>
                <c:pt idx="16">
                  <c:v>583.79999999999995</c:v>
                </c:pt>
                <c:pt idx="17">
                  <c:v>570</c:v>
                </c:pt>
                <c:pt idx="18">
                  <c:v>550.5</c:v>
                </c:pt>
                <c:pt idx="19">
                  <c:v>528.9</c:v>
                </c:pt>
                <c:pt idx="20">
                  <c:v>580.70000000000005</c:v>
                </c:pt>
                <c:pt idx="21">
                  <c:v>584</c:v>
                </c:pt>
                <c:pt idx="22">
                  <c:v>626.9</c:v>
                </c:pt>
                <c:pt idx="23">
                  <c:v>656</c:v>
                </c:pt>
                <c:pt idx="24">
                  <c:v>671.3</c:v>
                </c:pt>
                <c:pt idx="25">
                  <c:v>725.8</c:v>
                </c:pt>
                <c:pt idx="26">
                  <c:v>761.7</c:v>
                </c:pt>
                <c:pt idx="27">
                  <c:v>794.1</c:v>
                </c:pt>
                <c:pt idx="28">
                  <c:v>901.1</c:v>
                </c:pt>
                <c:pt idx="29">
                  <c:v>1009.4</c:v>
                </c:pt>
                <c:pt idx="30">
                  <c:v>1187.4000000000001</c:v>
                </c:pt>
                <c:pt idx="31">
                  <c:v>1220.4000000000001</c:v>
                </c:pt>
                <c:pt idx="32">
                  <c:v>1239.2</c:v>
                </c:pt>
                <c:pt idx="33">
                  <c:v>1309.8</c:v>
                </c:pt>
                <c:pt idx="34">
                  <c:v>1578.8</c:v>
                </c:pt>
                <c:pt idx="35">
                  <c:v>1502.9</c:v>
                </c:pt>
                <c:pt idx="36">
                  <c:v>1568.6</c:v>
                </c:pt>
                <c:pt idx="37">
                  <c:v>1994.5</c:v>
                </c:pt>
                <c:pt idx="38">
                  <c:v>2274.9</c:v>
                </c:pt>
                <c:pt idx="39">
                  <c:v>3027.9</c:v>
                </c:pt>
                <c:pt idx="40">
                  <c:v>3328.4</c:v>
                </c:pt>
                <c:pt idx="41">
                  <c:v>3443.4</c:v>
                </c:pt>
                <c:pt idx="42">
                  <c:v>3812.4</c:v>
                </c:pt>
                <c:pt idx="43">
                  <c:v>4157.5</c:v>
                </c:pt>
                <c:pt idx="44">
                  <c:v>4941.6000000000004</c:v>
                </c:pt>
                <c:pt idx="45">
                  <c:v>5521.4</c:v>
                </c:pt>
                <c:pt idx="46">
                  <c:v>5466</c:v>
                </c:pt>
                <c:pt idx="47">
                  <c:v>5272.7</c:v>
                </c:pt>
                <c:pt idx="48">
                  <c:v>5873.6</c:v>
                </c:pt>
                <c:pt idx="49">
                  <c:v>5567</c:v>
                </c:pt>
                <c:pt idx="50">
                  <c:v>5780.9</c:v>
                </c:pt>
                <c:pt idx="51">
                  <c:v>6830.6</c:v>
                </c:pt>
                <c:pt idx="52">
                  <c:v>7459.1</c:v>
                </c:pt>
                <c:pt idx="53">
                  <c:v>8307.6</c:v>
                </c:pt>
                <c:pt idx="54">
                  <c:v>8243.1</c:v>
                </c:pt>
                <c:pt idx="55">
                  <c:v>7906.6</c:v>
                </c:pt>
                <c:pt idx="56">
                  <c:v>7044</c:v>
                </c:pt>
                <c:pt idx="57">
                  <c:v>8776.9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8-42EB-8CA9-D843DAEACD46}"/>
            </c:ext>
          </c:extLst>
        </c:ser>
        <c:ser>
          <c:idx val="1"/>
          <c:order val="1"/>
          <c:tx>
            <c:strRef>
              <c:f>'مقایسه پروژه‌ها'!$F$7</c:f>
              <c:strCache>
                <c:ptCount val="1"/>
                <c:pt idx="0">
                  <c:v>مکانیکی:لوله های فولادی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25400" dist="12700" dir="5400000" algn="ctr" rotWithShape="0">
                <a:schemeClr val="accent2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پروژه‌ها'!$G$7:$BL$7</c:f>
              <c:numCache>
                <c:formatCode>#,##0.00</c:formatCode>
                <c:ptCount val="58"/>
                <c:pt idx="0">
                  <c:v>269.89999999999998</c:v>
                </c:pt>
                <c:pt idx="1">
                  <c:v>283.3</c:v>
                </c:pt>
                <c:pt idx="2">
                  <c:v>296.5</c:v>
                </c:pt>
                <c:pt idx="3">
                  <c:v>305.2</c:v>
                </c:pt>
                <c:pt idx="4">
                  <c:v>339.7</c:v>
                </c:pt>
                <c:pt idx="5">
                  <c:v>379.3</c:v>
                </c:pt>
                <c:pt idx="6">
                  <c:v>424.9</c:v>
                </c:pt>
                <c:pt idx="7">
                  <c:v>533.70000000000005</c:v>
                </c:pt>
                <c:pt idx="8">
                  <c:v>543.29999999999995</c:v>
                </c:pt>
                <c:pt idx="9">
                  <c:v>532.9</c:v>
                </c:pt>
                <c:pt idx="10">
                  <c:v>533.4</c:v>
                </c:pt>
                <c:pt idx="11">
                  <c:v>537.20000000000005</c:v>
                </c:pt>
                <c:pt idx="12">
                  <c:v>584.29999999999995</c:v>
                </c:pt>
                <c:pt idx="13">
                  <c:v>588.9</c:v>
                </c:pt>
                <c:pt idx="14">
                  <c:v>592.20000000000005</c:v>
                </c:pt>
                <c:pt idx="15">
                  <c:v>594.79999999999995</c:v>
                </c:pt>
                <c:pt idx="16">
                  <c:v>598.4</c:v>
                </c:pt>
                <c:pt idx="17">
                  <c:v>597.79999999999995</c:v>
                </c:pt>
                <c:pt idx="18">
                  <c:v>586.1</c:v>
                </c:pt>
                <c:pt idx="19">
                  <c:v>586.1</c:v>
                </c:pt>
                <c:pt idx="20">
                  <c:v>626.5</c:v>
                </c:pt>
                <c:pt idx="21">
                  <c:v>631.70000000000005</c:v>
                </c:pt>
                <c:pt idx="22">
                  <c:v>669.9</c:v>
                </c:pt>
                <c:pt idx="23">
                  <c:v>692.7</c:v>
                </c:pt>
                <c:pt idx="24">
                  <c:v>724.9</c:v>
                </c:pt>
                <c:pt idx="25">
                  <c:v>780.5</c:v>
                </c:pt>
                <c:pt idx="26">
                  <c:v>833.4</c:v>
                </c:pt>
                <c:pt idx="27">
                  <c:v>850.3</c:v>
                </c:pt>
                <c:pt idx="28">
                  <c:v>973.3</c:v>
                </c:pt>
                <c:pt idx="29">
                  <c:v>1058.4000000000001</c:v>
                </c:pt>
                <c:pt idx="30">
                  <c:v>1208.2</c:v>
                </c:pt>
                <c:pt idx="31">
                  <c:v>1331.9</c:v>
                </c:pt>
                <c:pt idx="32">
                  <c:v>1532.1</c:v>
                </c:pt>
                <c:pt idx="33">
                  <c:v>1520.4</c:v>
                </c:pt>
                <c:pt idx="34">
                  <c:v>1784.6</c:v>
                </c:pt>
                <c:pt idx="35">
                  <c:v>1730.5</c:v>
                </c:pt>
                <c:pt idx="36">
                  <c:v>1740.3</c:v>
                </c:pt>
                <c:pt idx="37">
                  <c:v>1982</c:v>
                </c:pt>
                <c:pt idx="38">
                  <c:v>2307.8000000000002</c:v>
                </c:pt>
                <c:pt idx="39">
                  <c:v>2791.7</c:v>
                </c:pt>
                <c:pt idx="40">
                  <c:v>3093.4</c:v>
                </c:pt>
                <c:pt idx="41">
                  <c:v>3356.8</c:v>
                </c:pt>
                <c:pt idx="42">
                  <c:v>3582.4</c:v>
                </c:pt>
                <c:pt idx="43">
                  <c:v>3757</c:v>
                </c:pt>
                <c:pt idx="44">
                  <c:v>4306.3</c:v>
                </c:pt>
                <c:pt idx="45">
                  <c:v>4535</c:v>
                </c:pt>
                <c:pt idx="46">
                  <c:v>4424.1000000000004</c:v>
                </c:pt>
                <c:pt idx="47">
                  <c:v>4321.8999999999996</c:v>
                </c:pt>
                <c:pt idx="48">
                  <c:v>4896.3999999999996</c:v>
                </c:pt>
                <c:pt idx="49">
                  <c:v>4813.8999999999996</c:v>
                </c:pt>
                <c:pt idx="50">
                  <c:v>4990.6000000000004</c:v>
                </c:pt>
                <c:pt idx="51">
                  <c:v>5527.3</c:v>
                </c:pt>
                <c:pt idx="52">
                  <c:v>5727</c:v>
                </c:pt>
                <c:pt idx="53">
                  <c:v>6041.1</c:v>
                </c:pt>
                <c:pt idx="54">
                  <c:v>6652.6</c:v>
                </c:pt>
                <c:pt idx="55">
                  <c:v>6598.7</c:v>
                </c:pt>
                <c:pt idx="56">
                  <c:v>6906.1</c:v>
                </c:pt>
                <c:pt idx="57">
                  <c:v>7274.2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8-42EB-8CA9-D843DAEACD46}"/>
            </c:ext>
          </c:extLst>
        </c:ser>
        <c:ser>
          <c:idx val="2"/>
          <c:order val="2"/>
          <c:tx>
            <c:strRef>
              <c:f>'مقایسه پروژه‌ها'!$F$8</c:f>
              <c:strCache>
                <c:ptCount val="1"/>
                <c:pt idx="0">
                  <c:v>مکانیکی:لوله های چدنی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25400" dist="12700" dir="5400000" algn="ctr" rotWithShape="0">
                <a:schemeClr val="accent3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پروژه‌ها'!$G$8:$BL$8</c:f>
              <c:numCache>
                <c:formatCode>#,##0.00</c:formatCode>
                <c:ptCount val="58"/>
                <c:pt idx="0">
                  <c:v>559</c:v>
                </c:pt>
                <c:pt idx="1">
                  <c:v>560.4</c:v>
                </c:pt>
                <c:pt idx="2">
                  <c:v>581.79999999999995</c:v>
                </c:pt>
                <c:pt idx="3">
                  <c:v>582.9</c:v>
                </c:pt>
                <c:pt idx="4">
                  <c:v>588.70000000000005</c:v>
                </c:pt>
                <c:pt idx="5">
                  <c:v>594</c:v>
                </c:pt>
                <c:pt idx="6">
                  <c:v>626.20000000000005</c:v>
                </c:pt>
                <c:pt idx="7">
                  <c:v>715.9</c:v>
                </c:pt>
                <c:pt idx="8">
                  <c:v>727.8</c:v>
                </c:pt>
                <c:pt idx="9">
                  <c:v>729.5</c:v>
                </c:pt>
                <c:pt idx="10">
                  <c:v>762.4</c:v>
                </c:pt>
                <c:pt idx="11">
                  <c:v>764.3</c:v>
                </c:pt>
                <c:pt idx="12">
                  <c:v>798.7</c:v>
                </c:pt>
                <c:pt idx="13">
                  <c:v>800.2</c:v>
                </c:pt>
                <c:pt idx="14">
                  <c:v>851</c:v>
                </c:pt>
                <c:pt idx="15">
                  <c:v>852.4</c:v>
                </c:pt>
                <c:pt idx="16">
                  <c:v>862.1</c:v>
                </c:pt>
                <c:pt idx="17">
                  <c:v>863</c:v>
                </c:pt>
                <c:pt idx="18">
                  <c:v>870.7</c:v>
                </c:pt>
                <c:pt idx="19">
                  <c:v>871.4</c:v>
                </c:pt>
                <c:pt idx="20">
                  <c:v>880.1</c:v>
                </c:pt>
                <c:pt idx="21">
                  <c:v>881.3</c:v>
                </c:pt>
                <c:pt idx="22">
                  <c:v>882.8</c:v>
                </c:pt>
                <c:pt idx="23">
                  <c:v>883.9</c:v>
                </c:pt>
                <c:pt idx="24">
                  <c:v>897.1</c:v>
                </c:pt>
                <c:pt idx="25">
                  <c:v>897.9</c:v>
                </c:pt>
                <c:pt idx="26">
                  <c:v>962.4</c:v>
                </c:pt>
                <c:pt idx="27">
                  <c:v>983.3</c:v>
                </c:pt>
                <c:pt idx="28">
                  <c:v>1049.9000000000001</c:v>
                </c:pt>
                <c:pt idx="29">
                  <c:v>1164.4000000000001</c:v>
                </c:pt>
                <c:pt idx="30">
                  <c:v>1188</c:v>
                </c:pt>
                <c:pt idx="31">
                  <c:v>1224.7</c:v>
                </c:pt>
                <c:pt idx="32">
                  <c:v>1243</c:v>
                </c:pt>
                <c:pt idx="33">
                  <c:v>1252.5</c:v>
                </c:pt>
                <c:pt idx="34">
                  <c:v>1418.2</c:v>
                </c:pt>
                <c:pt idx="35">
                  <c:v>1431.5</c:v>
                </c:pt>
                <c:pt idx="36">
                  <c:v>1518.7</c:v>
                </c:pt>
                <c:pt idx="37">
                  <c:v>1547.5</c:v>
                </c:pt>
                <c:pt idx="38">
                  <c:v>1916.3</c:v>
                </c:pt>
                <c:pt idx="39">
                  <c:v>2310.1</c:v>
                </c:pt>
                <c:pt idx="40">
                  <c:v>2392.3000000000002</c:v>
                </c:pt>
                <c:pt idx="41">
                  <c:v>2478.5</c:v>
                </c:pt>
                <c:pt idx="42">
                  <c:v>2525.1999999999998</c:v>
                </c:pt>
                <c:pt idx="43">
                  <c:v>2665.3</c:v>
                </c:pt>
                <c:pt idx="44">
                  <c:v>2929.9</c:v>
                </c:pt>
                <c:pt idx="45">
                  <c:v>3171.3</c:v>
                </c:pt>
                <c:pt idx="46">
                  <c:v>3641.9</c:v>
                </c:pt>
                <c:pt idx="47">
                  <c:v>3875.3</c:v>
                </c:pt>
                <c:pt idx="48">
                  <c:v>4424.5</c:v>
                </c:pt>
                <c:pt idx="49">
                  <c:v>4436.8999999999996</c:v>
                </c:pt>
                <c:pt idx="50">
                  <c:v>5060.1000000000004</c:v>
                </c:pt>
                <c:pt idx="51">
                  <c:v>5216.5</c:v>
                </c:pt>
                <c:pt idx="52">
                  <c:v>5207.8</c:v>
                </c:pt>
                <c:pt idx="53">
                  <c:v>5362.9</c:v>
                </c:pt>
                <c:pt idx="54">
                  <c:v>5860.1</c:v>
                </c:pt>
                <c:pt idx="55">
                  <c:v>6144.7</c:v>
                </c:pt>
                <c:pt idx="56">
                  <c:v>6250.7</c:v>
                </c:pt>
                <c:pt idx="57">
                  <c:v>6279.9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8-42EB-8CA9-D843DAEACD46}"/>
            </c:ext>
          </c:extLst>
        </c:ser>
        <c:ser>
          <c:idx val="3"/>
          <c:order val="3"/>
          <c:tx>
            <c:strRef>
              <c:f>'مقایسه پروژه‌ها'!$F$9</c:f>
              <c:strCache>
                <c:ptCount val="1"/>
                <c:pt idx="0">
                  <c:v>مکانیکی:لوله های پی.وی.سی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>
              <a:outerShdw blurRad="25400" dist="12700" dir="5400000" algn="ctr" rotWithShape="0">
                <a:schemeClr val="accent4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پروژه‌ها'!$G$9:$BL$9</c:f>
              <c:numCache>
                <c:formatCode>#,##0.00</c:formatCode>
                <c:ptCount val="58"/>
                <c:pt idx="0">
                  <c:v>346.5</c:v>
                </c:pt>
                <c:pt idx="1">
                  <c:v>248.1</c:v>
                </c:pt>
                <c:pt idx="2">
                  <c:v>263.7</c:v>
                </c:pt>
                <c:pt idx="3">
                  <c:v>265.3</c:v>
                </c:pt>
                <c:pt idx="4">
                  <c:v>302.60000000000002</c:v>
                </c:pt>
                <c:pt idx="5">
                  <c:v>360.8</c:v>
                </c:pt>
                <c:pt idx="6">
                  <c:v>505.6</c:v>
                </c:pt>
                <c:pt idx="7">
                  <c:v>534.79999999999995</c:v>
                </c:pt>
                <c:pt idx="8">
                  <c:v>490.4</c:v>
                </c:pt>
                <c:pt idx="9">
                  <c:v>492.6</c:v>
                </c:pt>
                <c:pt idx="10">
                  <c:v>495.9</c:v>
                </c:pt>
                <c:pt idx="11">
                  <c:v>498.9</c:v>
                </c:pt>
                <c:pt idx="12">
                  <c:v>587.20000000000005</c:v>
                </c:pt>
                <c:pt idx="13">
                  <c:v>589.6</c:v>
                </c:pt>
                <c:pt idx="14">
                  <c:v>616.5</c:v>
                </c:pt>
                <c:pt idx="15">
                  <c:v>618.5</c:v>
                </c:pt>
                <c:pt idx="16">
                  <c:v>662.3</c:v>
                </c:pt>
                <c:pt idx="17">
                  <c:v>663.6</c:v>
                </c:pt>
                <c:pt idx="18">
                  <c:v>634.29999999999995</c:v>
                </c:pt>
                <c:pt idx="19">
                  <c:v>635.4</c:v>
                </c:pt>
                <c:pt idx="20">
                  <c:v>665.4</c:v>
                </c:pt>
                <c:pt idx="21">
                  <c:v>677.7</c:v>
                </c:pt>
                <c:pt idx="22">
                  <c:v>756.6</c:v>
                </c:pt>
                <c:pt idx="23">
                  <c:v>759.3</c:v>
                </c:pt>
                <c:pt idx="24">
                  <c:v>782.9</c:v>
                </c:pt>
                <c:pt idx="25">
                  <c:v>803.5</c:v>
                </c:pt>
                <c:pt idx="26">
                  <c:v>837.9</c:v>
                </c:pt>
                <c:pt idx="27">
                  <c:v>870.8</c:v>
                </c:pt>
                <c:pt idx="28">
                  <c:v>988.5</c:v>
                </c:pt>
                <c:pt idx="29">
                  <c:v>1027.7</c:v>
                </c:pt>
                <c:pt idx="30">
                  <c:v>1180.8</c:v>
                </c:pt>
                <c:pt idx="31">
                  <c:v>1355</c:v>
                </c:pt>
                <c:pt idx="32">
                  <c:v>1351.6</c:v>
                </c:pt>
                <c:pt idx="33">
                  <c:v>1361.2</c:v>
                </c:pt>
                <c:pt idx="34">
                  <c:v>1590.5</c:v>
                </c:pt>
                <c:pt idx="35">
                  <c:v>1565.4</c:v>
                </c:pt>
                <c:pt idx="36">
                  <c:v>1594.5</c:v>
                </c:pt>
                <c:pt idx="37">
                  <c:v>1625.3</c:v>
                </c:pt>
                <c:pt idx="38">
                  <c:v>1823.4</c:v>
                </c:pt>
                <c:pt idx="39">
                  <c:v>1994</c:v>
                </c:pt>
                <c:pt idx="40">
                  <c:v>2124.1</c:v>
                </c:pt>
                <c:pt idx="41">
                  <c:v>2396.1</c:v>
                </c:pt>
                <c:pt idx="42">
                  <c:v>3008.9</c:v>
                </c:pt>
                <c:pt idx="43">
                  <c:v>3336</c:v>
                </c:pt>
                <c:pt idx="44">
                  <c:v>3691.1</c:v>
                </c:pt>
                <c:pt idx="45">
                  <c:v>3977.4</c:v>
                </c:pt>
                <c:pt idx="46">
                  <c:v>4212.7</c:v>
                </c:pt>
                <c:pt idx="47">
                  <c:v>4371.2</c:v>
                </c:pt>
                <c:pt idx="48">
                  <c:v>4832.5</c:v>
                </c:pt>
                <c:pt idx="49">
                  <c:v>4560.8999999999996</c:v>
                </c:pt>
                <c:pt idx="50">
                  <c:v>4444.6000000000004</c:v>
                </c:pt>
                <c:pt idx="51">
                  <c:v>4668.6000000000004</c:v>
                </c:pt>
                <c:pt idx="52">
                  <c:v>4668.8</c:v>
                </c:pt>
                <c:pt idx="53">
                  <c:v>4943.5</c:v>
                </c:pt>
                <c:pt idx="54">
                  <c:v>5303.2</c:v>
                </c:pt>
                <c:pt idx="55">
                  <c:v>5380.5</c:v>
                </c:pt>
                <c:pt idx="56">
                  <c:v>5456.2</c:v>
                </c:pt>
                <c:pt idx="57">
                  <c:v>5504.8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C8-42EB-8CA9-D843DAEACD46}"/>
            </c:ext>
          </c:extLst>
        </c:ser>
        <c:ser>
          <c:idx val="4"/>
          <c:order val="4"/>
          <c:tx>
            <c:strRef>
              <c:f>'مقایسه پروژه‌ها'!$F$10</c:f>
              <c:strCache>
                <c:ptCount val="1"/>
                <c:pt idx="0">
                  <c:v>مکانیکی:لوله های پلی اتیلن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>
              <a:outerShdw blurRad="25400" dist="12700" dir="5400000" algn="ctr" rotWithShape="0">
                <a:schemeClr val="accent5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5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پروژه‌ها'!$G$10:$BL$10</c:f>
              <c:numCache>
                <c:formatCode>#,##0.00</c:formatCode>
                <c:ptCount val="58"/>
                <c:pt idx="0">
                  <c:v>153.80000000000001</c:v>
                </c:pt>
                <c:pt idx="1">
                  <c:v>154.69999999999999</c:v>
                </c:pt>
                <c:pt idx="2">
                  <c:v>144.5</c:v>
                </c:pt>
                <c:pt idx="3">
                  <c:v>153.5</c:v>
                </c:pt>
                <c:pt idx="4">
                  <c:v>175.2</c:v>
                </c:pt>
                <c:pt idx="5">
                  <c:v>181.8</c:v>
                </c:pt>
                <c:pt idx="6">
                  <c:v>244.6</c:v>
                </c:pt>
                <c:pt idx="7">
                  <c:v>270.5</c:v>
                </c:pt>
                <c:pt idx="8">
                  <c:v>277.5</c:v>
                </c:pt>
                <c:pt idx="9">
                  <c:v>279</c:v>
                </c:pt>
                <c:pt idx="10">
                  <c:v>281.2</c:v>
                </c:pt>
                <c:pt idx="11">
                  <c:v>283.2</c:v>
                </c:pt>
                <c:pt idx="12">
                  <c:v>293.5</c:v>
                </c:pt>
                <c:pt idx="13">
                  <c:v>295.10000000000002</c:v>
                </c:pt>
                <c:pt idx="14">
                  <c:v>313</c:v>
                </c:pt>
                <c:pt idx="15">
                  <c:v>314.2</c:v>
                </c:pt>
                <c:pt idx="16">
                  <c:v>322.60000000000002</c:v>
                </c:pt>
                <c:pt idx="17">
                  <c:v>323.39999999999998</c:v>
                </c:pt>
                <c:pt idx="18">
                  <c:v>324</c:v>
                </c:pt>
                <c:pt idx="19">
                  <c:v>324.60000000000002</c:v>
                </c:pt>
                <c:pt idx="20">
                  <c:v>332.2</c:v>
                </c:pt>
                <c:pt idx="21">
                  <c:v>333.2</c:v>
                </c:pt>
                <c:pt idx="22">
                  <c:v>334.2</c:v>
                </c:pt>
                <c:pt idx="23">
                  <c:v>335.1</c:v>
                </c:pt>
                <c:pt idx="24">
                  <c:v>344</c:v>
                </c:pt>
                <c:pt idx="25">
                  <c:v>344.8</c:v>
                </c:pt>
                <c:pt idx="26">
                  <c:v>384.2</c:v>
                </c:pt>
                <c:pt idx="27">
                  <c:v>385.3</c:v>
                </c:pt>
                <c:pt idx="28">
                  <c:v>451.7</c:v>
                </c:pt>
                <c:pt idx="29">
                  <c:v>516.4</c:v>
                </c:pt>
                <c:pt idx="30">
                  <c:v>544.5</c:v>
                </c:pt>
                <c:pt idx="31">
                  <c:v>574.20000000000005</c:v>
                </c:pt>
                <c:pt idx="32">
                  <c:v>693</c:v>
                </c:pt>
                <c:pt idx="33">
                  <c:v>644.20000000000005</c:v>
                </c:pt>
                <c:pt idx="34">
                  <c:v>675.5</c:v>
                </c:pt>
                <c:pt idx="35">
                  <c:v>685.1</c:v>
                </c:pt>
                <c:pt idx="36">
                  <c:v>690</c:v>
                </c:pt>
                <c:pt idx="37">
                  <c:v>696.4</c:v>
                </c:pt>
                <c:pt idx="38">
                  <c:v>767.7</c:v>
                </c:pt>
                <c:pt idx="39">
                  <c:v>930.7</c:v>
                </c:pt>
                <c:pt idx="40">
                  <c:v>935.4</c:v>
                </c:pt>
                <c:pt idx="41">
                  <c:v>998.5</c:v>
                </c:pt>
                <c:pt idx="42">
                  <c:v>1246.7</c:v>
                </c:pt>
                <c:pt idx="43">
                  <c:v>1263.7</c:v>
                </c:pt>
                <c:pt idx="44">
                  <c:v>1409.9</c:v>
                </c:pt>
                <c:pt idx="45">
                  <c:v>1440</c:v>
                </c:pt>
                <c:pt idx="46">
                  <c:v>1546.4</c:v>
                </c:pt>
                <c:pt idx="47">
                  <c:v>1553.3</c:v>
                </c:pt>
                <c:pt idx="48">
                  <c:v>1811.7</c:v>
                </c:pt>
                <c:pt idx="49">
                  <c:v>1826.8</c:v>
                </c:pt>
                <c:pt idx="50">
                  <c:v>2000.1</c:v>
                </c:pt>
                <c:pt idx="51">
                  <c:v>2145.1999999999998</c:v>
                </c:pt>
                <c:pt idx="52">
                  <c:v>2305.8000000000002</c:v>
                </c:pt>
                <c:pt idx="53">
                  <c:v>2466.4</c:v>
                </c:pt>
                <c:pt idx="54">
                  <c:v>2918.8</c:v>
                </c:pt>
                <c:pt idx="55">
                  <c:v>2989.2</c:v>
                </c:pt>
                <c:pt idx="56">
                  <c:v>3168.8</c:v>
                </c:pt>
                <c:pt idx="57">
                  <c:v>3195.5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C8-42EB-8CA9-D843DAEACD46}"/>
            </c:ext>
          </c:extLst>
        </c:ser>
        <c:ser>
          <c:idx val="5"/>
          <c:order val="5"/>
          <c:tx>
            <c:strRef>
              <c:f>'مقایسه پروژه‌ها'!$F$11</c:f>
              <c:strCache>
                <c:ptCount val="1"/>
                <c:pt idx="0">
                  <c:v>مکانیکی:لوله های آزبست سیمان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25400" dist="12700" dir="5400000" algn="ctr" rotWithShape="0">
                <a:schemeClr val="accent6">
                  <a:alpha val="250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lt1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پروژه‌ها'!$G$11:$BL$11</c:f>
              <c:numCache>
                <c:formatCode>#,##0.00</c:formatCode>
                <c:ptCount val="58"/>
                <c:pt idx="0">
                  <c:v>317.2</c:v>
                </c:pt>
                <c:pt idx="1">
                  <c:v>319.39999999999998</c:v>
                </c:pt>
                <c:pt idx="2">
                  <c:v>321.8</c:v>
                </c:pt>
                <c:pt idx="3">
                  <c:v>324.2</c:v>
                </c:pt>
                <c:pt idx="4">
                  <c:v>332.6</c:v>
                </c:pt>
                <c:pt idx="5">
                  <c:v>336.9</c:v>
                </c:pt>
                <c:pt idx="6">
                  <c:v>344</c:v>
                </c:pt>
                <c:pt idx="7">
                  <c:v>347.2</c:v>
                </c:pt>
                <c:pt idx="8">
                  <c:v>359.3</c:v>
                </c:pt>
                <c:pt idx="9">
                  <c:v>361.8</c:v>
                </c:pt>
                <c:pt idx="10">
                  <c:v>364.9</c:v>
                </c:pt>
                <c:pt idx="11">
                  <c:v>367.6</c:v>
                </c:pt>
                <c:pt idx="12">
                  <c:v>385.3</c:v>
                </c:pt>
                <c:pt idx="13">
                  <c:v>388</c:v>
                </c:pt>
                <c:pt idx="14">
                  <c:v>389</c:v>
                </c:pt>
                <c:pt idx="15">
                  <c:v>390</c:v>
                </c:pt>
                <c:pt idx="16">
                  <c:v>391</c:v>
                </c:pt>
                <c:pt idx="17">
                  <c:v>392</c:v>
                </c:pt>
                <c:pt idx="18">
                  <c:v>393</c:v>
                </c:pt>
                <c:pt idx="19">
                  <c:v>394</c:v>
                </c:pt>
                <c:pt idx="20">
                  <c:v>395</c:v>
                </c:pt>
                <c:pt idx="21">
                  <c:v>396</c:v>
                </c:pt>
                <c:pt idx="22">
                  <c:v>397</c:v>
                </c:pt>
                <c:pt idx="23">
                  <c:v>398</c:v>
                </c:pt>
                <c:pt idx="24">
                  <c:v>399</c:v>
                </c:pt>
                <c:pt idx="25">
                  <c:v>400</c:v>
                </c:pt>
                <c:pt idx="26">
                  <c:v>401</c:v>
                </c:pt>
                <c:pt idx="27">
                  <c:v>402</c:v>
                </c:pt>
                <c:pt idx="28">
                  <c:v>403</c:v>
                </c:pt>
                <c:pt idx="29">
                  <c:v>404</c:v>
                </c:pt>
                <c:pt idx="30">
                  <c:v>405</c:v>
                </c:pt>
                <c:pt idx="31">
                  <c:v>406</c:v>
                </c:pt>
                <c:pt idx="32">
                  <c:v>406</c:v>
                </c:pt>
                <c:pt idx="33">
                  <c:v>407</c:v>
                </c:pt>
                <c:pt idx="34">
                  <c:v>408</c:v>
                </c:pt>
                <c:pt idx="35">
                  <c:v>409</c:v>
                </c:pt>
                <c:pt idx="36">
                  <c:v>410</c:v>
                </c:pt>
                <c:pt idx="37">
                  <c:v>411</c:v>
                </c:pt>
                <c:pt idx="38">
                  <c:v>412</c:v>
                </c:pt>
                <c:pt idx="39">
                  <c:v>413</c:v>
                </c:pt>
                <c:pt idx="40">
                  <c:v>114</c:v>
                </c:pt>
                <c:pt idx="41">
                  <c:v>115</c:v>
                </c:pt>
                <c:pt idx="42">
                  <c:v>416</c:v>
                </c:pt>
                <c:pt idx="43">
                  <c:v>417</c:v>
                </c:pt>
                <c:pt idx="44">
                  <c:v>418</c:v>
                </c:pt>
                <c:pt idx="45">
                  <c:v>419</c:v>
                </c:pt>
                <c:pt idx="46">
                  <c:v>420</c:v>
                </c:pt>
                <c:pt idx="47">
                  <c:v>421</c:v>
                </c:pt>
                <c:pt idx="48">
                  <c:v>422</c:v>
                </c:pt>
                <c:pt idx="49">
                  <c:v>423</c:v>
                </c:pt>
                <c:pt idx="50">
                  <c:v>424</c:v>
                </c:pt>
                <c:pt idx="51">
                  <c:v>425</c:v>
                </c:pt>
                <c:pt idx="52">
                  <c:v>425</c:v>
                </c:pt>
                <c:pt idx="53">
                  <c:v>425</c:v>
                </c:pt>
                <c:pt idx="54">
                  <c:v>426</c:v>
                </c:pt>
                <c:pt idx="55">
                  <c:v>427</c:v>
                </c:pt>
                <c:pt idx="56">
                  <c:v>428</c:v>
                </c:pt>
                <c:pt idx="57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C8-42EB-8CA9-D843DAEACD46}"/>
            </c:ext>
          </c:extLst>
        </c:ser>
        <c:ser>
          <c:idx val="6"/>
          <c:order val="6"/>
          <c:tx>
            <c:strRef>
              <c:f>'مقایسه پروژه‌ها'!$F$12</c:f>
              <c:strCache>
                <c:ptCount val="1"/>
                <c:pt idx="0">
                  <c:v>مکانیکی:لوله های مسی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1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پروژه‌ها'!$G$12:$BL$12</c:f>
              <c:numCache>
                <c:formatCode>#,##0.00</c:formatCode>
                <c:ptCount val="58"/>
                <c:pt idx="0">
                  <c:v>417.5</c:v>
                </c:pt>
                <c:pt idx="1">
                  <c:v>422.8</c:v>
                </c:pt>
                <c:pt idx="2">
                  <c:v>511.9</c:v>
                </c:pt>
                <c:pt idx="3">
                  <c:v>513.29999999999995</c:v>
                </c:pt>
                <c:pt idx="4">
                  <c:v>526.6</c:v>
                </c:pt>
                <c:pt idx="5">
                  <c:v>587.9</c:v>
                </c:pt>
                <c:pt idx="6">
                  <c:v>771</c:v>
                </c:pt>
                <c:pt idx="7">
                  <c:v>787.8</c:v>
                </c:pt>
                <c:pt idx="8">
                  <c:v>796.3</c:v>
                </c:pt>
                <c:pt idx="9">
                  <c:v>756.8</c:v>
                </c:pt>
                <c:pt idx="10">
                  <c:v>745.1</c:v>
                </c:pt>
                <c:pt idx="11">
                  <c:v>748</c:v>
                </c:pt>
                <c:pt idx="12">
                  <c:v>821.4</c:v>
                </c:pt>
                <c:pt idx="13">
                  <c:v>844.9</c:v>
                </c:pt>
                <c:pt idx="14">
                  <c:v>811.8</c:v>
                </c:pt>
                <c:pt idx="15">
                  <c:v>779.1</c:v>
                </c:pt>
                <c:pt idx="16">
                  <c:v>785.8</c:v>
                </c:pt>
                <c:pt idx="17">
                  <c:v>731.6</c:v>
                </c:pt>
                <c:pt idx="18">
                  <c:v>697.7</c:v>
                </c:pt>
                <c:pt idx="19">
                  <c:v>690.4</c:v>
                </c:pt>
                <c:pt idx="20">
                  <c:v>684.4</c:v>
                </c:pt>
                <c:pt idx="21">
                  <c:v>698.9</c:v>
                </c:pt>
                <c:pt idx="22">
                  <c:v>769.6</c:v>
                </c:pt>
                <c:pt idx="23">
                  <c:v>824.6</c:v>
                </c:pt>
                <c:pt idx="24">
                  <c:v>852.7</c:v>
                </c:pt>
                <c:pt idx="25">
                  <c:v>923.6</c:v>
                </c:pt>
                <c:pt idx="26">
                  <c:v>1032.4000000000001</c:v>
                </c:pt>
                <c:pt idx="27">
                  <c:v>1073.0999999999999</c:v>
                </c:pt>
                <c:pt idx="28">
                  <c:v>1131.2</c:v>
                </c:pt>
                <c:pt idx="29">
                  <c:v>1270.0999999999999</c:v>
                </c:pt>
                <c:pt idx="30">
                  <c:v>1360.1</c:v>
                </c:pt>
                <c:pt idx="31">
                  <c:v>1449.9</c:v>
                </c:pt>
                <c:pt idx="32">
                  <c:v>1874.1</c:v>
                </c:pt>
                <c:pt idx="33">
                  <c:v>1768.7</c:v>
                </c:pt>
                <c:pt idx="34">
                  <c:v>2242.1</c:v>
                </c:pt>
                <c:pt idx="35">
                  <c:v>2273.1</c:v>
                </c:pt>
                <c:pt idx="36">
                  <c:v>2112.1</c:v>
                </c:pt>
                <c:pt idx="37">
                  <c:v>2197.8000000000002</c:v>
                </c:pt>
                <c:pt idx="38">
                  <c:v>2516.6999999999998</c:v>
                </c:pt>
                <c:pt idx="39">
                  <c:v>2793.2</c:v>
                </c:pt>
                <c:pt idx="40">
                  <c:v>3164.7</c:v>
                </c:pt>
                <c:pt idx="41">
                  <c:v>3735.3</c:v>
                </c:pt>
                <c:pt idx="42">
                  <c:v>4798.2</c:v>
                </c:pt>
                <c:pt idx="43">
                  <c:v>5559.2</c:v>
                </c:pt>
                <c:pt idx="44">
                  <c:v>6073.9</c:v>
                </c:pt>
                <c:pt idx="45">
                  <c:v>6200</c:v>
                </c:pt>
                <c:pt idx="46">
                  <c:v>6521.4</c:v>
                </c:pt>
                <c:pt idx="47">
                  <c:v>6809.8</c:v>
                </c:pt>
                <c:pt idx="48">
                  <c:v>7388.8</c:v>
                </c:pt>
                <c:pt idx="49">
                  <c:v>7247.4</c:v>
                </c:pt>
                <c:pt idx="50">
                  <c:v>8068.4</c:v>
                </c:pt>
                <c:pt idx="51">
                  <c:v>9094.7000000000007</c:v>
                </c:pt>
                <c:pt idx="52">
                  <c:v>10244.1</c:v>
                </c:pt>
                <c:pt idx="53">
                  <c:v>11244</c:v>
                </c:pt>
                <c:pt idx="54">
                  <c:v>10801.1</c:v>
                </c:pt>
                <c:pt idx="55">
                  <c:v>10580.8</c:v>
                </c:pt>
                <c:pt idx="56">
                  <c:v>10446.700000000001</c:v>
                </c:pt>
                <c:pt idx="57">
                  <c:v>10657.7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C8-42EB-8CA9-D843DAEACD46}"/>
            </c:ext>
          </c:extLst>
        </c:ser>
        <c:ser>
          <c:idx val="7"/>
          <c:order val="7"/>
          <c:tx>
            <c:strRef>
              <c:f>'مقایسه پروژه‌ها'!$F$13</c:f>
              <c:strCache>
                <c:ptCount val="1"/>
                <c:pt idx="0">
                  <c:v>مکانیکی:شیرها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2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پروژه‌ها'!$G$13:$BL$13</c:f>
              <c:numCache>
                <c:formatCode>#,##0.00</c:formatCode>
                <c:ptCount val="58"/>
                <c:pt idx="0">
                  <c:v>316.10000000000002</c:v>
                </c:pt>
                <c:pt idx="1">
                  <c:v>316.8</c:v>
                </c:pt>
                <c:pt idx="2">
                  <c:v>342.3</c:v>
                </c:pt>
                <c:pt idx="3">
                  <c:v>365</c:v>
                </c:pt>
                <c:pt idx="4">
                  <c:v>393</c:v>
                </c:pt>
                <c:pt idx="5">
                  <c:v>432.5</c:v>
                </c:pt>
                <c:pt idx="6">
                  <c:v>652.79999999999995</c:v>
                </c:pt>
                <c:pt idx="7">
                  <c:v>660.2</c:v>
                </c:pt>
                <c:pt idx="8">
                  <c:v>666.4</c:v>
                </c:pt>
                <c:pt idx="9">
                  <c:v>667.2</c:v>
                </c:pt>
                <c:pt idx="10">
                  <c:v>709.2</c:v>
                </c:pt>
                <c:pt idx="11">
                  <c:v>710.5</c:v>
                </c:pt>
                <c:pt idx="12">
                  <c:v>719</c:v>
                </c:pt>
                <c:pt idx="13">
                  <c:v>720.1</c:v>
                </c:pt>
                <c:pt idx="14">
                  <c:v>713.8</c:v>
                </c:pt>
                <c:pt idx="15">
                  <c:v>714.6</c:v>
                </c:pt>
                <c:pt idx="16">
                  <c:v>775.6</c:v>
                </c:pt>
                <c:pt idx="17">
                  <c:v>776.1</c:v>
                </c:pt>
                <c:pt idx="18">
                  <c:v>776.4</c:v>
                </c:pt>
                <c:pt idx="19">
                  <c:v>776.8</c:v>
                </c:pt>
                <c:pt idx="20">
                  <c:v>787.5</c:v>
                </c:pt>
                <c:pt idx="21">
                  <c:v>788.3</c:v>
                </c:pt>
                <c:pt idx="22">
                  <c:v>750.7</c:v>
                </c:pt>
                <c:pt idx="23">
                  <c:v>806.2</c:v>
                </c:pt>
                <c:pt idx="24">
                  <c:v>831.8</c:v>
                </c:pt>
                <c:pt idx="25">
                  <c:v>832</c:v>
                </c:pt>
                <c:pt idx="26">
                  <c:v>906.5</c:v>
                </c:pt>
                <c:pt idx="27">
                  <c:v>911.9</c:v>
                </c:pt>
                <c:pt idx="28">
                  <c:v>1159.8</c:v>
                </c:pt>
                <c:pt idx="29">
                  <c:v>1466.6</c:v>
                </c:pt>
                <c:pt idx="30">
                  <c:v>1700.4</c:v>
                </c:pt>
                <c:pt idx="31">
                  <c:v>1825.5</c:v>
                </c:pt>
                <c:pt idx="32">
                  <c:v>1913.4</c:v>
                </c:pt>
                <c:pt idx="33">
                  <c:v>1917.4</c:v>
                </c:pt>
                <c:pt idx="34">
                  <c:v>2158.1</c:v>
                </c:pt>
                <c:pt idx="35">
                  <c:v>2163.6999999999998</c:v>
                </c:pt>
                <c:pt idx="36">
                  <c:v>2325.8000000000002</c:v>
                </c:pt>
                <c:pt idx="37">
                  <c:v>2334.6999999999998</c:v>
                </c:pt>
                <c:pt idx="38">
                  <c:v>2685.2</c:v>
                </c:pt>
                <c:pt idx="39">
                  <c:v>2772.8</c:v>
                </c:pt>
                <c:pt idx="40">
                  <c:v>3274</c:v>
                </c:pt>
                <c:pt idx="41">
                  <c:v>3303.4</c:v>
                </c:pt>
                <c:pt idx="42">
                  <c:v>3654</c:v>
                </c:pt>
                <c:pt idx="43">
                  <c:v>3666.1</c:v>
                </c:pt>
                <c:pt idx="44">
                  <c:v>4384.3999999999996</c:v>
                </c:pt>
                <c:pt idx="45">
                  <c:v>4512</c:v>
                </c:pt>
                <c:pt idx="46">
                  <c:v>4540.3</c:v>
                </c:pt>
                <c:pt idx="47">
                  <c:v>5066.3999999999996</c:v>
                </c:pt>
                <c:pt idx="48">
                  <c:v>5855.5</c:v>
                </c:pt>
                <c:pt idx="49">
                  <c:v>5962.3</c:v>
                </c:pt>
                <c:pt idx="50">
                  <c:v>6252.1</c:v>
                </c:pt>
                <c:pt idx="51">
                  <c:v>6970.6</c:v>
                </c:pt>
                <c:pt idx="52">
                  <c:v>6973.3</c:v>
                </c:pt>
                <c:pt idx="53">
                  <c:v>6976.7</c:v>
                </c:pt>
                <c:pt idx="54">
                  <c:v>7087.5</c:v>
                </c:pt>
                <c:pt idx="55">
                  <c:v>7111.4</c:v>
                </c:pt>
                <c:pt idx="56">
                  <c:v>7945</c:v>
                </c:pt>
                <c:pt idx="57">
                  <c:v>7958.2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C8-42EB-8CA9-D843DAEACD46}"/>
            </c:ext>
          </c:extLst>
        </c:ser>
        <c:ser>
          <c:idx val="8"/>
          <c:order val="8"/>
          <c:tx>
            <c:strRef>
              <c:f>'مقایسه پروژه‌ها'!$F$14</c:f>
              <c:strCache>
                <c:ptCount val="1"/>
                <c:pt idx="0">
                  <c:v>برقی:چراغ های فلورسنت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3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پروژه‌ها'!$G$14:$BL$14</c:f>
              <c:numCache>
                <c:formatCode>#,##0.00</c:formatCode>
                <c:ptCount val="58"/>
                <c:pt idx="0">
                  <c:v>219</c:v>
                </c:pt>
                <c:pt idx="1">
                  <c:v>219.3</c:v>
                </c:pt>
                <c:pt idx="2">
                  <c:v>219.8</c:v>
                </c:pt>
                <c:pt idx="3">
                  <c:v>249.5</c:v>
                </c:pt>
                <c:pt idx="4">
                  <c:v>287.89999999999998</c:v>
                </c:pt>
                <c:pt idx="5">
                  <c:v>334.4</c:v>
                </c:pt>
                <c:pt idx="6">
                  <c:v>348.6</c:v>
                </c:pt>
                <c:pt idx="7">
                  <c:v>349.3</c:v>
                </c:pt>
                <c:pt idx="8">
                  <c:v>385.2</c:v>
                </c:pt>
                <c:pt idx="9">
                  <c:v>385.9</c:v>
                </c:pt>
                <c:pt idx="10">
                  <c:v>387.3</c:v>
                </c:pt>
                <c:pt idx="11">
                  <c:v>388.5</c:v>
                </c:pt>
                <c:pt idx="12">
                  <c:v>429.3</c:v>
                </c:pt>
                <c:pt idx="13">
                  <c:v>430.2</c:v>
                </c:pt>
                <c:pt idx="14">
                  <c:v>431.4</c:v>
                </c:pt>
                <c:pt idx="15">
                  <c:v>432</c:v>
                </c:pt>
                <c:pt idx="16">
                  <c:v>449.9</c:v>
                </c:pt>
                <c:pt idx="17">
                  <c:v>450.5</c:v>
                </c:pt>
                <c:pt idx="18">
                  <c:v>457</c:v>
                </c:pt>
                <c:pt idx="19">
                  <c:v>457.5</c:v>
                </c:pt>
                <c:pt idx="20">
                  <c:v>461.9</c:v>
                </c:pt>
                <c:pt idx="21">
                  <c:v>462.6</c:v>
                </c:pt>
                <c:pt idx="22">
                  <c:v>508.4</c:v>
                </c:pt>
                <c:pt idx="23">
                  <c:v>508.9</c:v>
                </c:pt>
                <c:pt idx="24">
                  <c:v>563.29999999999995</c:v>
                </c:pt>
                <c:pt idx="25">
                  <c:v>559.5</c:v>
                </c:pt>
                <c:pt idx="26">
                  <c:v>560.20000000000005</c:v>
                </c:pt>
                <c:pt idx="27">
                  <c:v>601</c:v>
                </c:pt>
                <c:pt idx="28">
                  <c:v>733.7</c:v>
                </c:pt>
                <c:pt idx="29">
                  <c:v>760.6</c:v>
                </c:pt>
                <c:pt idx="30">
                  <c:v>887.1</c:v>
                </c:pt>
                <c:pt idx="31">
                  <c:v>924.4</c:v>
                </c:pt>
                <c:pt idx="32">
                  <c:v>936.9</c:v>
                </c:pt>
                <c:pt idx="33">
                  <c:v>992.5</c:v>
                </c:pt>
                <c:pt idx="34">
                  <c:v>1082.5</c:v>
                </c:pt>
                <c:pt idx="35">
                  <c:v>1150.0999999999999</c:v>
                </c:pt>
                <c:pt idx="36">
                  <c:v>1163</c:v>
                </c:pt>
                <c:pt idx="37">
                  <c:v>1192.3</c:v>
                </c:pt>
                <c:pt idx="38">
                  <c:v>1400.6</c:v>
                </c:pt>
                <c:pt idx="39">
                  <c:v>1604.3</c:v>
                </c:pt>
                <c:pt idx="40">
                  <c:v>1668.2</c:v>
                </c:pt>
                <c:pt idx="41">
                  <c:v>1849.3</c:v>
                </c:pt>
                <c:pt idx="42">
                  <c:v>1998</c:v>
                </c:pt>
                <c:pt idx="43">
                  <c:v>2108.9</c:v>
                </c:pt>
                <c:pt idx="44">
                  <c:v>2392.6999999999998</c:v>
                </c:pt>
                <c:pt idx="45">
                  <c:v>2505</c:v>
                </c:pt>
                <c:pt idx="46">
                  <c:v>2526.8000000000002</c:v>
                </c:pt>
                <c:pt idx="47">
                  <c:v>2607.9</c:v>
                </c:pt>
                <c:pt idx="48">
                  <c:v>2812.4</c:v>
                </c:pt>
                <c:pt idx="49">
                  <c:v>2951.3</c:v>
                </c:pt>
                <c:pt idx="50">
                  <c:v>3292.7</c:v>
                </c:pt>
                <c:pt idx="51">
                  <c:v>3546.4</c:v>
                </c:pt>
                <c:pt idx="52">
                  <c:v>3781.8</c:v>
                </c:pt>
                <c:pt idx="53">
                  <c:v>4017.1</c:v>
                </c:pt>
                <c:pt idx="54">
                  <c:v>4336.3</c:v>
                </c:pt>
                <c:pt idx="55">
                  <c:v>4356.5</c:v>
                </c:pt>
                <c:pt idx="56">
                  <c:v>4571.7</c:v>
                </c:pt>
                <c:pt idx="57">
                  <c:v>4582.8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C8-42EB-8CA9-D843DAEACD46}"/>
            </c:ext>
          </c:extLst>
        </c:ser>
        <c:ser>
          <c:idx val="9"/>
          <c:order val="9"/>
          <c:tx>
            <c:strRef>
              <c:f>'مقایسه پروژه‌ها'!$F$15</c:f>
              <c:strCache>
                <c:ptCount val="1"/>
                <c:pt idx="0">
                  <c:v>برقی:چراغ ها با لامپهای ک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4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پروژه‌ها'!$G$15:$BL$15</c:f>
              <c:numCache>
                <c:formatCode>#,##0.00</c:formatCode>
                <c:ptCount val="58"/>
                <c:pt idx="0">
                  <c:v>268.3</c:v>
                </c:pt>
                <c:pt idx="1">
                  <c:v>269.3</c:v>
                </c:pt>
                <c:pt idx="2">
                  <c:v>271.10000000000002</c:v>
                </c:pt>
                <c:pt idx="3">
                  <c:v>296.7</c:v>
                </c:pt>
                <c:pt idx="4">
                  <c:v>358.4</c:v>
                </c:pt>
                <c:pt idx="5">
                  <c:v>397.7</c:v>
                </c:pt>
                <c:pt idx="6">
                  <c:v>469.7</c:v>
                </c:pt>
                <c:pt idx="7">
                  <c:v>471.8</c:v>
                </c:pt>
                <c:pt idx="8">
                  <c:v>522.1</c:v>
                </c:pt>
                <c:pt idx="9">
                  <c:v>524.70000000000005</c:v>
                </c:pt>
                <c:pt idx="10">
                  <c:v>530.20000000000005</c:v>
                </c:pt>
                <c:pt idx="11">
                  <c:v>535.1</c:v>
                </c:pt>
                <c:pt idx="12">
                  <c:v>597.70000000000005</c:v>
                </c:pt>
                <c:pt idx="13">
                  <c:v>600.79999999999995</c:v>
                </c:pt>
                <c:pt idx="14">
                  <c:v>604</c:v>
                </c:pt>
                <c:pt idx="15">
                  <c:v>606.9</c:v>
                </c:pt>
                <c:pt idx="16">
                  <c:v>642.20000000000005</c:v>
                </c:pt>
                <c:pt idx="17">
                  <c:v>644.1</c:v>
                </c:pt>
                <c:pt idx="18">
                  <c:v>646.1</c:v>
                </c:pt>
                <c:pt idx="19">
                  <c:v>648</c:v>
                </c:pt>
                <c:pt idx="20">
                  <c:v>666.9</c:v>
                </c:pt>
                <c:pt idx="21">
                  <c:v>669.1</c:v>
                </c:pt>
                <c:pt idx="22">
                  <c:v>701.1</c:v>
                </c:pt>
                <c:pt idx="23">
                  <c:v>703.2</c:v>
                </c:pt>
                <c:pt idx="24">
                  <c:v>747.6</c:v>
                </c:pt>
                <c:pt idx="25">
                  <c:v>773.4</c:v>
                </c:pt>
                <c:pt idx="26">
                  <c:v>771.2</c:v>
                </c:pt>
                <c:pt idx="27">
                  <c:v>787.5</c:v>
                </c:pt>
                <c:pt idx="28">
                  <c:v>948.3</c:v>
                </c:pt>
                <c:pt idx="29">
                  <c:v>984.1</c:v>
                </c:pt>
                <c:pt idx="30">
                  <c:v>1104.4000000000001</c:v>
                </c:pt>
                <c:pt idx="31">
                  <c:v>1140.9000000000001</c:v>
                </c:pt>
                <c:pt idx="32">
                  <c:v>1156.9000000000001</c:v>
                </c:pt>
                <c:pt idx="33">
                  <c:v>1214.8</c:v>
                </c:pt>
                <c:pt idx="34">
                  <c:v>1366.1</c:v>
                </c:pt>
                <c:pt idx="35">
                  <c:v>1462.2</c:v>
                </c:pt>
                <c:pt idx="36">
                  <c:v>1467.1</c:v>
                </c:pt>
                <c:pt idx="37">
                  <c:v>1491.6</c:v>
                </c:pt>
                <c:pt idx="38">
                  <c:v>1731.9</c:v>
                </c:pt>
                <c:pt idx="39">
                  <c:v>2002.5</c:v>
                </c:pt>
                <c:pt idx="40">
                  <c:v>2159.5</c:v>
                </c:pt>
                <c:pt idx="41">
                  <c:v>2338.4</c:v>
                </c:pt>
                <c:pt idx="42">
                  <c:v>2394.3000000000002</c:v>
                </c:pt>
                <c:pt idx="43">
                  <c:v>2566</c:v>
                </c:pt>
                <c:pt idx="44">
                  <c:v>2995.4</c:v>
                </c:pt>
                <c:pt idx="45">
                  <c:v>3132.9</c:v>
                </c:pt>
                <c:pt idx="46">
                  <c:v>3153.4</c:v>
                </c:pt>
                <c:pt idx="47">
                  <c:v>3232.1</c:v>
                </c:pt>
                <c:pt idx="48">
                  <c:v>3630.9</c:v>
                </c:pt>
                <c:pt idx="49">
                  <c:v>3729.3</c:v>
                </c:pt>
                <c:pt idx="50">
                  <c:v>4188.3</c:v>
                </c:pt>
                <c:pt idx="51">
                  <c:v>4468.8</c:v>
                </c:pt>
                <c:pt idx="52">
                  <c:v>4695.8</c:v>
                </c:pt>
                <c:pt idx="53">
                  <c:v>4908.3</c:v>
                </c:pt>
                <c:pt idx="54">
                  <c:v>5461</c:v>
                </c:pt>
                <c:pt idx="55">
                  <c:v>5516.7</c:v>
                </c:pt>
                <c:pt idx="56">
                  <c:v>5669.3</c:v>
                </c:pt>
                <c:pt idx="57">
                  <c:v>5713.6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C8-42EB-8CA9-D843DAEACD46}"/>
            </c:ext>
          </c:extLst>
        </c:ser>
        <c:ser>
          <c:idx val="10"/>
          <c:order val="10"/>
          <c:tx>
            <c:strRef>
              <c:f>'مقایسه پروژه‌ها'!$F$16</c:f>
              <c:strCache>
                <c:ptCount val="1"/>
                <c:pt idx="0">
                  <c:v>برقی:چراغ های صنعتی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5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پروژه‌ها'!$G$16:$BL$16</c:f>
              <c:numCache>
                <c:formatCode>#,##0.00</c:formatCode>
                <c:ptCount val="58"/>
                <c:pt idx="0">
                  <c:v>253.6</c:v>
                </c:pt>
                <c:pt idx="1">
                  <c:v>254.1</c:v>
                </c:pt>
                <c:pt idx="2">
                  <c:v>254.7</c:v>
                </c:pt>
                <c:pt idx="3">
                  <c:v>288.10000000000002</c:v>
                </c:pt>
                <c:pt idx="4">
                  <c:v>350</c:v>
                </c:pt>
                <c:pt idx="5">
                  <c:v>398.3</c:v>
                </c:pt>
                <c:pt idx="6">
                  <c:v>411.6</c:v>
                </c:pt>
                <c:pt idx="7">
                  <c:v>412.5</c:v>
                </c:pt>
                <c:pt idx="8">
                  <c:v>455.3</c:v>
                </c:pt>
                <c:pt idx="9">
                  <c:v>456.4</c:v>
                </c:pt>
                <c:pt idx="10">
                  <c:v>458.4</c:v>
                </c:pt>
                <c:pt idx="11">
                  <c:v>460.3</c:v>
                </c:pt>
                <c:pt idx="12">
                  <c:v>525.1</c:v>
                </c:pt>
                <c:pt idx="13">
                  <c:v>526.4</c:v>
                </c:pt>
                <c:pt idx="14">
                  <c:v>512.20000000000005</c:v>
                </c:pt>
                <c:pt idx="15">
                  <c:v>513.20000000000005</c:v>
                </c:pt>
                <c:pt idx="16">
                  <c:v>536.6</c:v>
                </c:pt>
                <c:pt idx="17">
                  <c:v>537.5</c:v>
                </c:pt>
                <c:pt idx="18">
                  <c:v>539.79999999999995</c:v>
                </c:pt>
                <c:pt idx="19">
                  <c:v>540.4</c:v>
                </c:pt>
                <c:pt idx="20">
                  <c:v>561</c:v>
                </c:pt>
                <c:pt idx="21">
                  <c:v>561.9</c:v>
                </c:pt>
                <c:pt idx="22">
                  <c:v>591.6</c:v>
                </c:pt>
                <c:pt idx="23">
                  <c:v>592.29999999999995</c:v>
                </c:pt>
                <c:pt idx="24">
                  <c:v>625.1</c:v>
                </c:pt>
                <c:pt idx="25">
                  <c:v>651.4</c:v>
                </c:pt>
                <c:pt idx="26">
                  <c:v>652.29999999999995</c:v>
                </c:pt>
                <c:pt idx="27">
                  <c:v>678.2</c:v>
                </c:pt>
                <c:pt idx="28">
                  <c:v>849.3</c:v>
                </c:pt>
                <c:pt idx="29">
                  <c:v>934.2</c:v>
                </c:pt>
                <c:pt idx="30">
                  <c:v>1044.8</c:v>
                </c:pt>
                <c:pt idx="31">
                  <c:v>1091</c:v>
                </c:pt>
                <c:pt idx="32">
                  <c:v>1162.5999999999999</c:v>
                </c:pt>
                <c:pt idx="33">
                  <c:v>1280.8</c:v>
                </c:pt>
                <c:pt idx="34">
                  <c:v>1376.6</c:v>
                </c:pt>
                <c:pt idx="35">
                  <c:v>1486.7</c:v>
                </c:pt>
                <c:pt idx="36">
                  <c:v>1490.6</c:v>
                </c:pt>
                <c:pt idx="37">
                  <c:v>1516.5</c:v>
                </c:pt>
                <c:pt idx="38">
                  <c:v>1753.4</c:v>
                </c:pt>
                <c:pt idx="39">
                  <c:v>1965.9</c:v>
                </c:pt>
                <c:pt idx="40">
                  <c:v>2044.2</c:v>
                </c:pt>
                <c:pt idx="41">
                  <c:v>2304.9</c:v>
                </c:pt>
                <c:pt idx="42">
                  <c:v>2544.1999999999998</c:v>
                </c:pt>
                <c:pt idx="43">
                  <c:v>2335.1999999999998</c:v>
                </c:pt>
                <c:pt idx="44">
                  <c:v>2702.7</c:v>
                </c:pt>
                <c:pt idx="45">
                  <c:v>2826.5</c:v>
                </c:pt>
                <c:pt idx="46">
                  <c:v>2828.7</c:v>
                </c:pt>
                <c:pt idx="47">
                  <c:v>2977.4</c:v>
                </c:pt>
                <c:pt idx="48">
                  <c:v>3208.4</c:v>
                </c:pt>
                <c:pt idx="49">
                  <c:v>3377.1</c:v>
                </c:pt>
                <c:pt idx="50">
                  <c:v>3766.6</c:v>
                </c:pt>
                <c:pt idx="51">
                  <c:v>4055.2</c:v>
                </c:pt>
                <c:pt idx="52">
                  <c:v>4317.1000000000004</c:v>
                </c:pt>
                <c:pt idx="53">
                  <c:v>4585.6000000000004</c:v>
                </c:pt>
                <c:pt idx="54">
                  <c:v>5155.7</c:v>
                </c:pt>
                <c:pt idx="55">
                  <c:v>5184.8</c:v>
                </c:pt>
                <c:pt idx="56">
                  <c:v>5368.5</c:v>
                </c:pt>
                <c:pt idx="57">
                  <c:v>5385.2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C8-42EB-8CA9-D843DAEACD46}"/>
            </c:ext>
          </c:extLst>
        </c:ser>
        <c:ser>
          <c:idx val="11"/>
          <c:order val="11"/>
          <c:tx>
            <c:strRef>
              <c:f>'مقایسه پروژه‌ها'!$F$17</c:f>
              <c:strCache>
                <c:ptCount val="1"/>
                <c:pt idx="0">
                  <c:v>برقی:چراغ های فضای ازاد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25400" dist="12700" dir="5400000" algn="ctr" rotWithShape="0">
                <a:schemeClr val="accent6">
                  <a:lumMod val="60000"/>
                  <a:alpha val="25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lt1"/>
              </a:solidFill>
              <a:ln w="1905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پروژه‌ها'!$G$17:$BL$17</c:f>
              <c:numCache>
                <c:formatCode>#,##0.00</c:formatCode>
                <c:ptCount val="58"/>
                <c:pt idx="0">
                  <c:v>230.8</c:v>
                </c:pt>
                <c:pt idx="1">
                  <c:v>232.1</c:v>
                </c:pt>
                <c:pt idx="2">
                  <c:v>233.8</c:v>
                </c:pt>
                <c:pt idx="3">
                  <c:v>275</c:v>
                </c:pt>
                <c:pt idx="4">
                  <c:v>325.8</c:v>
                </c:pt>
                <c:pt idx="5">
                  <c:v>364.6</c:v>
                </c:pt>
                <c:pt idx="6">
                  <c:v>394.2</c:v>
                </c:pt>
                <c:pt idx="7">
                  <c:v>396.4</c:v>
                </c:pt>
                <c:pt idx="8">
                  <c:v>436.3</c:v>
                </c:pt>
                <c:pt idx="9">
                  <c:v>437.9</c:v>
                </c:pt>
                <c:pt idx="10">
                  <c:v>439.7</c:v>
                </c:pt>
                <c:pt idx="11">
                  <c:v>441.3</c:v>
                </c:pt>
                <c:pt idx="12">
                  <c:v>505.7</c:v>
                </c:pt>
                <c:pt idx="13">
                  <c:v>507.4</c:v>
                </c:pt>
                <c:pt idx="14">
                  <c:v>490</c:v>
                </c:pt>
                <c:pt idx="15">
                  <c:v>490.8</c:v>
                </c:pt>
                <c:pt idx="16">
                  <c:v>512.20000000000005</c:v>
                </c:pt>
                <c:pt idx="17">
                  <c:v>513</c:v>
                </c:pt>
                <c:pt idx="18">
                  <c:v>519</c:v>
                </c:pt>
                <c:pt idx="19">
                  <c:v>519.29999999999995</c:v>
                </c:pt>
                <c:pt idx="20">
                  <c:v>537.9</c:v>
                </c:pt>
                <c:pt idx="21">
                  <c:v>539</c:v>
                </c:pt>
                <c:pt idx="22">
                  <c:v>578.70000000000005</c:v>
                </c:pt>
                <c:pt idx="23">
                  <c:v>579.5</c:v>
                </c:pt>
                <c:pt idx="24">
                  <c:v>610.4</c:v>
                </c:pt>
                <c:pt idx="25">
                  <c:v>635.29999999999995</c:v>
                </c:pt>
                <c:pt idx="26">
                  <c:v>661.2</c:v>
                </c:pt>
                <c:pt idx="27">
                  <c:v>700.5</c:v>
                </c:pt>
                <c:pt idx="28">
                  <c:v>862.2</c:v>
                </c:pt>
                <c:pt idx="29">
                  <c:v>943.7</c:v>
                </c:pt>
                <c:pt idx="30">
                  <c:v>1008</c:v>
                </c:pt>
                <c:pt idx="31">
                  <c:v>1076.5999999999999</c:v>
                </c:pt>
                <c:pt idx="32">
                  <c:v>1091.0999999999999</c:v>
                </c:pt>
                <c:pt idx="33">
                  <c:v>1157.7</c:v>
                </c:pt>
                <c:pt idx="34">
                  <c:v>1254.4000000000001</c:v>
                </c:pt>
                <c:pt idx="35">
                  <c:v>1324.5</c:v>
                </c:pt>
                <c:pt idx="36">
                  <c:v>1334.6</c:v>
                </c:pt>
                <c:pt idx="37">
                  <c:v>1372.9</c:v>
                </c:pt>
                <c:pt idx="38">
                  <c:v>1554.9</c:v>
                </c:pt>
                <c:pt idx="39">
                  <c:v>1748.3</c:v>
                </c:pt>
                <c:pt idx="40">
                  <c:v>1857.3</c:v>
                </c:pt>
                <c:pt idx="41">
                  <c:v>2077.1</c:v>
                </c:pt>
                <c:pt idx="42">
                  <c:v>2040.1</c:v>
                </c:pt>
                <c:pt idx="43">
                  <c:v>2050.8000000000002</c:v>
                </c:pt>
                <c:pt idx="44">
                  <c:v>2373.8000000000002</c:v>
                </c:pt>
                <c:pt idx="45">
                  <c:v>2496.3000000000002</c:v>
                </c:pt>
                <c:pt idx="46">
                  <c:v>2502.1999999999998</c:v>
                </c:pt>
                <c:pt idx="47">
                  <c:v>2635.2</c:v>
                </c:pt>
                <c:pt idx="48">
                  <c:v>2859.6</c:v>
                </c:pt>
                <c:pt idx="49">
                  <c:v>3028.9</c:v>
                </c:pt>
                <c:pt idx="50">
                  <c:v>3361.4</c:v>
                </c:pt>
                <c:pt idx="51">
                  <c:v>3620.2</c:v>
                </c:pt>
                <c:pt idx="52">
                  <c:v>3781.7</c:v>
                </c:pt>
                <c:pt idx="53">
                  <c:v>4035.2</c:v>
                </c:pt>
                <c:pt idx="54">
                  <c:v>4448.8999999999996</c:v>
                </c:pt>
                <c:pt idx="55">
                  <c:v>4494.3</c:v>
                </c:pt>
                <c:pt idx="56">
                  <c:v>4646.8999999999996</c:v>
                </c:pt>
                <c:pt idx="57">
                  <c:v>4674.7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C8-42EB-8CA9-D843DAEACD46}"/>
            </c:ext>
          </c:extLst>
        </c:ser>
        <c:ser>
          <c:idx val="12"/>
          <c:order val="12"/>
          <c:tx>
            <c:strRef>
              <c:f>'مقایسه پروژه‌ها'!$F$18</c:f>
              <c:strCache>
                <c:ptCount val="1"/>
                <c:pt idx="0">
                  <c:v>برقی:چراغ های مخصوص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1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پروژه‌ها'!$G$18:$BL$18</c:f>
              <c:numCache>
                <c:formatCode>#,##0.00</c:formatCode>
                <c:ptCount val="58"/>
                <c:pt idx="0">
                  <c:v>238.1</c:v>
                </c:pt>
                <c:pt idx="1">
                  <c:v>238.6</c:v>
                </c:pt>
                <c:pt idx="2">
                  <c:v>239.1</c:v>
                </c:pt>
                <c:pt idx="3">
                  <c:v>275.60000000000002</c:v>
                </c:pt>
                <c:pt idx="4">
                  <c:v>330.8</c:v>
                </c:pt>
                <c:pt idx="5">
                  <c:v>391.8</c:v>
                </c:pt>
                <c:pt idx="6">
                  <c:v>396.3</c:v>
                </c:pt>
                <c:pt idx="7">
                  <c:v>409.8</c:v>
                </c:pt>
                <c:pt idx="8">
                  <c:v>451.2</c:v>
                </c:pt>
                <c:pt idx="9">
                  <c:v>451.9</c:v>
                </c:pt>
                <c:pt idx="10">
                  <c:v>453.2</c:v>
                </c:pt>
                <c:pt idx="11">
                  <c:v>454.1</c:v>
                </c:pt>
                <c:pt idx="12">
                  <c:v>521.70000000000005</c:v>
                </c:pt>
                <c:pt idx="13">
                  <c:v>522.5</c:v>
                </c:pt>
                <c:pt idx="14">
                  <c:v>502.3</c:v>
                </c:pt>
                <c:pt idx="15">
                  <c:v>502.7</c:v>
                </c:pt>
                <c:pt idx="16">
                  <c:v>522.4</c:v>
                </c:pt>
                <c:pt idx="17">
                  <c:v>522.9</c:v>
                </c:pt>
                <c:pt idx="18">
                  <c:v>525.70000000000005</c:v>
                </c:pt>
                <c:pt idx="19">
                  <c:v>526</c:v>
                </c:pt>
                <c:pt idx="20">
                  <c:v>553.29999999999995</c:v>
                </c:pt>
                <c:pt idx="21">
                  <c:v>553.9</c:v>
                </c:pt>
                <c:pt idx="22">
                  <c:v>556.70000000000005</c:v>
                </c:pt>
                <c:pt idx="23">
                  <c:v>557</c:v>
                </c:pt>
                <c:pt idx="24">
                  <c:v>586.20000000000005</c:v>
                </c:pt>
                <c:pt idx="25">
                  <c:v>612.20000000000005</c:v>
                </c:pt>
                <c:pt idx="26">
                  <c:v>643.20000000000005</c:v>
                </c:pt>
                <c:pt idx="27">
                  <c:v>684.1</c:v>
                </c:pt>
                <c:pt idx="28">
                  <c:v>886.3</c:v>
                </c:pt>
                <c:pt idx="29">
                  <c:v>965.4</c:v>
                </c:pt>
                <c:pt idx="30">
                  <c:v>1042.5</c:v>
                </c:pt>
                <c:pt idx="31">
                  <c:v>1118.5</c:v>
                </c:pt>
                <c:pt idx="32">
                  <c:v>1201.4000000000001</c:v>
                </c:pt>
                <c:pt idx="33">
                  <c:v>1329.5</c:v>
                </c:pt>
                <c:pt idx="34">
                  <c:v>1444</c:v>
                </c:pt>
                <c:pt idx="35">
                  <c:v>1548.5</c:v>
                </c:pt>
                <c:pt idx="36">
                  <c:v>1552.9</c:v>
                </c:pt>
                <c:pt idx="37">
                  <c:v>1593.4</c:v>
                </c:pt>
                <c:pt idx="38">
                  <c:v>1781.4</c:v>
                </c:pt>
                <c:pt idx="39">
                  <c:v>2056.3000000000002</c:v>
                </c:pt>
                <c:pt idx="40">
                  <c:v>2159.4</c:v>
                </c:pt>
                <c:pt idx="41">
                  <c:v>2524.9</c:v>
                </c:pt>
                <c:pt idx="42">
                  <c:v>2452.1</c:v>
                </c:pt>
                <c:pt idx="43">
                  <c:v>2513.3000000000002</c:v>
                </c:pt>
                <c:pt idx="44">
                  <c:v>2866.3</c:v>
                </c:pt>
                <c:pt idx="45">
                  <c:v>2976.8</c:v>
                </c:pt>
                <c:pt idx="46">
                  <c:v>3143.7</c:v>
                </c:pt>
                <c:pt idx="47">
                  <c:v>3219.6</c:v>
                </c:pt>
                <c:pt idx="48">
                  <c:v>3492.2</c:v>
                </c:pt>
                <c:pt idx="49">
                  <c:v>3718.3</c:v>
                </c:pt>
                <c:pt idx="50">
                  <c:v>4055.4</c:v>
                </c:pt>
                <c:pt idx="51">
                  <c:v>4371.3</c:v>
                </c:pt>
                <c:pt idx="52">
                  <c:v>4580</c:v>
                </c:pt>
                <c:pt idx="53">
                  <c:v>4967.2</c:v>
                </c:pt>
                <c:pt idx="54">
                  <c:v>5684.4</c:v>
                </c:pt>
                <c:pt idx="55">
                  <c:v>5705</c:v>
                </c:pt>
                <c:pt idx="56">
                  <c:v>5588.5</c:v>
                </c:pt>
                <c:pt idx="57">
                  <c:v>5599.9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C8-42EB-8CA9-D843DAEACD46}"/>
            </c:ext>
          </c:extLst>
        </c:ser>
        <c:ser>
          <c:idx val="13"/>
          <c:order val="13"/>
          <c:tx>
            <c:strRef>
              <c:f>'مقایسه پروژه‌ها'!$F$19</c:f>
              <c:strCache>
                <c:ptCount val="1"/>
                <c:pt idx="0">
                  <c:v>خطوط:عملیات لوله گذاری با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2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پروژه‌ها'!$G$19:$BL$19</c:f>
              <c:numCache>
                <c:formatCode>#,##0.00</c:formatCode>
                <c:ptCount val="58"/>
                <c:pt idx="0">
                  <c:v>334.3</c:v>
                </c:pt>
                <c:pt idx="1">
                  <c:v>345.9</c:v>
                </c:pt>
                <c:pt idx="2">
                  <c:v>357.9</c:v>
                </c:pt>
                <c:pt idx="3">
                  <c:v>369.8</c:v>
                </c:pt>
                <c:pt idx="4">
                  <c:v>407</c:v>
                </c:pt>
                <c:pt idx="5">
                  <c:v>428.4</c:v>
                </c:pt>
                <c:pt idx="6">
                  <c:v>464.6</c:v>
                </c:pt>
                <c:pt idx="7">
                  <c:v>481</c:v>
                </c:pt>
                <c:pt idx="8">
                  <c:v>534.70000000000005</c:v>
                </c:pt>
                <c:pt idx="9">
                  <c:v>546.20000000000005</c:v>
                </c:pt>
                <c:pt idx="10">
                  <c:v>557</c:v>
                </c:pt>
                <c:pt idx="11">
                  <c:v>567.9</c:v>
                </c:pt>
                <c:pt idx="12">
                  <c:v>647.29999999999995</c:v>
                </c:pt>
                <c:pt idx="13">
                  <c:v>659.8</c:v>
                </c:pt>
                <c:pt idx="14">
                  <c:v>668</c:v>
                </c:pt>
                <c:pt idx="15">
                  <c:v>675.9</c:v>
                </c:pt>
                <c:pt idx="16">
                  <c:v>677</c:v>
                </c:pt>
                <c:pt idx="17">
                  <c:v>678</c:v>
                </c:pt>
                <c:pt idx="18">
                  <c:v>679</c:v>
                </c:pt>
                <c:pt idx="19">
                  <c:v>680</c:v>
                </c:pt>
                <c:pt idx="20">
                  <c:v>681</c:v>
                </c:pt>
                <c:pt idx="21">
                  <c:v>682</c:v>
                </c:pt>
                <c:pt idx="22">
                  <c:v>683</c:v>
                </c:pt>
                <c:pt idx="23">
                  <c:v>684</c:v>
                </c:pt>
                <c:pt idx="24">
                  <c:v>685</c:v>
                </c:pt>
                <c:pt idx="25">
                  <c:v>686</c:v>
                </c:pt>
                <c:pt idx="26">
                  <c:v>687</c:v>
                </c:pt>
                <c:pt idx="27">
                  <c:v>688</c:v>
                </c:pt>
                <c:pt idx="28">
                  <c:v>689</c:v>
                </c:pt>
                <c:pt idx="29">
                  <c:v>690</c:v>
                </c:pt>
                <c:pt idx="30">
                  <c:v>691</c:v>
                </c:pt>
                <c:pt idx="31">
                  <c:v>692</c:v>
                </c:pt>
                <c:pt idx="32">
                  <c:v>692</c:v>
                </c:pt>
                <c:pt idx="33">
                  <c:v>693</c:v>
                </c:pt>
                <c:pt idx="34">
                  <c:v>694</c:v>
                </c:pt>
                <c:pt idx="35">
                  <c:v>695</c:v>
                </c:pt>
                <c:pt idx="36">
                  <c:v>696</c:v>
                </c:pt>
                <c:pt idx="37">
                  <c:v>697</c:v>
                </c:pt>
                <c:pt idx="38">
                  <c:v>698</c:v>
                </c:pt>
                <c:pt idx="39">
                  <c:v>699</c:v>
                </c:pt>
                <c:pt idx="40">
                  <c:v>700</c:v>
                </c:pt>
                <c:pt idx="41">
                  <c:v>701</c:v>
                </c:pt>
                <c:pt idx="42">
                  <c:v>702</c:v>
                </c:pt>
                <c:pt idx="43">
                  <c:v>703</c:v>
                </c:pt>
                <c:pt idx="44">
                  <c:v>704</c:v>
                </c:pt>
                <c:pt idx="45">
                  <c:v>705</c:v>
                </c:pt>
                <c:pt idx="46">
                  <c:v>706</c:v>
                </c:pt>
                <c:pt idx="47">
                  <c:v>707</c:v>
                </c:pt>
                <c:pt idx="48">
                  <c:v>708</c:v>
                </c:pt>
                <c:pt idx="49">
                  <c:v>709</c:v>
                </c:pt>
                <c:pt idx="50">
                  <c:v>710</c:v>
                </c:pt>
                <c:pt idx="51">
                  <c:v>711</c:v>
                </c:pt>
                <c:pt idx="52">
                  <c:v>711</c:v>
                </c:pt>
                <c:pt idx="53">
                  <c:v>711</c:v>
                </c:pt>
                <c:pt idx="54">
                  <c:v>712</c:v>
                </c:pt>
                <c:pt idx="55">
                  <c:v>713</c:v>
                </c:pt>
                <c:pt idx="56">
                  <c:v>714</c:v>
                </c:pt>
                <c:pt idx="57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7C8-42EB-8CA9-D843DAEACD46}"/>
            </c:ext>
          </c:extLst>
        </c:ser>
        <c:ser>
          <c:idx val="14"/>
          <c:order val="14"/>
          <c:tx>
            <c:strRef>
              <c:f>'مقایسه پروژه‌ها'!$F$20</c:f>
              <c:strCache>
                <c:ptCount val="1"/>
                <c:pt idx="0">
                  <c:v>خطوط:عملیات لوله گذاری با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3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پروژه‌ها'!$G$20:$BL$20</c:f>
              <c:numCache>
                <c:formatCode>#,##0.00</c:formatCode>
                <c:ptCount val="58"/>
                <c:pt idx="0">
                  <c:v>333.1</c:v>
                </c:pt>
                <c:pt idx="1">
                  <c:v>344.7</c:v>
                </c:pt>
                <c:pt idx="2">
                  <c:v>357.2</c:v>
                </c:pt>
                <c:pt idx="3">
                  <c:v>369.4</c:v>
                </c:pt>
                <c:pt idx="4">
                  <c:v>406.1</c:v>
                </c:pt>
                <c:pt idx="5">
                  <c:v>427.7</c:v>
                </c:pt>
                <c:pt idx="6">
                  <c:v>464.5</c:v>
                </c:pt>
                <c:pt idx="7">
                  <c:v>481.2</c:v>
                </c:pt>
                <c:pt idx="8">
                  <c:v>534.20000000000005</c:v>
                </c:pt>
                <c:pt idx="9">
                  <c:v>545.9</c:v>
                </c:pt>
                <c:pt idx="10">
                  <c:v>556.9</c:v>
                </c:pt>
                <c:pt idx="11">
                  <c:v>567.9</c:v>
                </c:pt>
                <c:pt idx="12">
                  <c:v>646.1</c:v>
                </c:pt>
                <c:pt idx="13">
                  <c:v>658.6</c:v>
                </c:pt>
                <c:pt idx="14">
                  <c:v>666.7</c:v>
                </c:pt>
                <c:pt idx="15">
                  <c:v>674.6</c:v>
                </c:pt>
                <c:pt idx="16">
                  <c:v>731.6</c:v>
                </c:pt>
                <c:pt idx="17">
                  <c:v>736.9</c:v>
                </c:pt>
                <c:pt idx="18">
                  <c:v>740.8</c:v>
                </c:pt>
                <c:pt idx="19">
                  <c:v>744</c:v>
                </c:pt>
                <c:pt idx="20">
                  <c:v>792.9</c:v>
                </c:pt>
                <c:pt idx="21">
                  <c:v>800.5</c:v>
                </c:pt>
                <c:pt idx="22">
                  <c:v>808</c:v>
                </c:pt>
                <c:pt idx="23">
                  <c:v>815.3</c:v>
                </c:pt>
                <c:pt idx="24">
                  <c:v>879</c:v>
                </c:pt>
                <c:pt idx="25">
                  <c:v>881.7</c:v>
                </c:pt>
                <c:pt idx="26">
                  <c:v>900.4</c:v>
                </c:pt>
                <c:pt idx="27">
                  <c:v>909</c:v>
                </c:pt>
                <c:pt idx="28">
                  <c:v>1029.5</c:v>
                </c:pt>
                <c:pt idx="29">
                  <c:v>1110.5999999999999</c:v>
                </c:pt>
                <c:pt idx="30">
                  <c:v>1145</c:v>
                </c:pt>
                <c:pt idx="31">
                  <c:v>1174.2</c:v>
                </c:pt>
                <c:pt idx="32">
                  <c:v>1191.2</c:v>
                </c:pt>
                <c:pt idx="33">
                  <c:v>1237.0999999999999</c:v>
                </c:pt>
                <c:pt idx="34">
                  <c:v>1472.8</c:v>
                </c:pt>
                <c:pt idx="35">
                  <c:v>1552.1</c:v>
                </c:pt>
                <c:pt idx="36">
                  <c:v>1613.9</c:v>
                </c:pt>
                <c:pt idx="37">
                  <c:v>1681.2</c:v>
                </c:pt>
                <c:pt idx="38">
                  <c:v>2039.1</c:v>
                </c:pt>
                <c:pt idx="39">
                  <c:v>2308.9</c:v>
                </c:pt>
                <c:pt idx="40">
                  <c:v>2364.9</c:v>
                </c:pt>
                <c:pt idx="41">
                  <c:v>2482.1</c:v>
                </c:pt>
                <c:pt idx="42">
                  <c:v>2734.3</c:v>
                </c:pt>
                <c:pt idx="43">
                  <c:v>2884.2</c:v>
                </c:pt>
                <c:pt idx="44">
                  <c:v>3746.7</c:v>
                </c:pt>
                <c:pt idx="45">
                  <c:v>3997.9</c:v>
                </c:pt>
                <c:pt idx="46">
                  <c:v>4025.4</c:v>
                </c:pt>
                <c:pt idx="47">
                  <c:v>4113.5</c:v>
                </c:pt>
                <c:pt idx="48">
                  <c:v>5165.6000000000004</c:v>
                </c:pt>
                <c:pt idx="49">
                  <c:v>5297.3</c:v>
                </c:pt>
                <c:pt idx="50">
                  <c:v>5714.8</c:v>
                </c:pt>
                <c:pt idx="51">
                  <c:v>6014.2</c:v>
                </c:pt>
                <c:pt idx="52">
                  <c:v>6016.7</c:v>
                </c:pt>
                <c:pt idx="53">
                  <c:v>6028.8</c:v>
                </c:pt>
                <c:pt idx="54">
                  <c:v>7311.1</c:v>
                </c:pt>
                <c:pt idx="55">
                  <c:v>7615.6</c:v>
                </c:pt>
                <c:pt idx="56">
                  <c:v>7760.4</c:v>
                </c:pt>
                <c:pt idx="57">
                  <c:v>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C8-42EB-8CA9-D843DAEACD46}"/>
            </c:ext>
          </c:extLst>
        </c:ser>
        <c:ser>
          <c:idx val="15"/>
          <c:order val="15"/>
          <c:tx>
            <c:strRef>
              <c:f>'مقایسه پروژه‌ها'!$F$21</c:f>
              <c:strCache>
                <c:ptCount val="1"/>
                <c:pt idx="0">
                  <c:v>خطوط:عملیات لوله گذاری با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4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پروژه‌ها'!$G$21:$BL$21</c:f>
              <c:numCache>
                <c:formatCode>#,##0.00</c:formatCode>
                <c:ptCount val="58"/>
                <c:pt idx="0">
                  <c:v>334.6</c:v>
                </c:pt>
                <c:pt idx="1">
                  <c:v>347.1</c:v>
                </c:pt>
                <c:pt idx="2">
                  <c:v>360.6</c:v>
                </c:pt>
                <c:pt idx="3">
                  <c:v>374.5</c:v>
                </c:pt>
                <c:pt idx="4">
                  <c:v>410.8</c:v>
                </c:pt>
                <c:pt idx="5">
                  <c:v>433.2</c:v>
                </c:pt>
                <c:pt idx="6">
                  <c:v>473.4</c:v>
                </c:pt>
                <c:pt idx="7">
                  <c:v>491.8</c:v>
                </c:pt>
                <c:pt idx="8">
                  <c:v>543.6</c:v>
                </c:pt>
                <c:pt idx="9">
                  <c:v>555.6</c:v>
                </c:pt>
                <c:pt idx="10">
                  <c:v>565.9</c:v>
                </c:pt>
                <c:pt idx="11">
                  <c:v>576.5</c:v>
                </c:pt>
                <c:pt idx="12">
                  <c:v>652.4</c:v>
                </c:pt>
                <c:pt idx="13">
                  <c:v>665.5</c:v>
                </c:pt>
                <c:pt idx="14">
                  <c:v>673.4</c:v>
                </c:pt>
                <c:pt idx="15">
                  <c:v>680.6</c:v>
                </c:pt>
                <c:pt idx="16">
                  <c:v>734.2</c:v>
                </c:pt>
                <c:pt idx="17">
                  <c:v>739.6</c:v>
                </c:pt>
                <c:pt idx="18">
                  <c:v>743.3</c:v>
                </c:pt>
                <c:pt idx="19">
                  <c:v>745.9</c:v>
                </c:pt>
                <c:pt idx="20">
                  <c:v>792.1</c:v>
                </c:pt>
                <c:pt idx="21">
                  <c:v>799.8</c:v>
                </c:pt>
                <c:pt idx="22">
                  <c:v>807.4</c:v>
                </c:pt>
                <c:pt idx="23">
                  <c:v>814.6</c:v>
                </c:pt>
                <c:pt idx="24">
                  <c:v>875.3</c:v>
                </c:pt>
                <c:pt idx="25">
                  <c:v>878.7</c:v>
                </c:pt>
                <c:pt idx="26">
                  <c:v>898.2</c:v>
                </c:pt>
                <c:pt idx="27">
                  <c:v>907.2</c:v>
                </c:pt>
                <c:pt idx="28">
                  <c:v>1023.8</c:v>
                </c:pt>
                <c:pt idx="29">
                  <c:v>1112.7</c:v>
                </c:pt>
                <c:pt idx="30">
                  <c:v>1154.4000000000001</c:v>
                </c:pt>
                <c:pt idx="31">
                  <c:v>1188</c:v>
                </c:pt>
                <c:pt idx="32">
                  <c:v>1205.9000000000001</c:v>
                </c:pt>
                <c:pt idx="33">
                  <c:v>1258.3</c:v>
                </c:pt>
                <c:pt idx="34">
                  <c:v>1488.2</c:v>
                </c:pt>
                <c:pt idx="35">
                  <c:v>1570.5</c:v>
                </c:pt>
                <c:pt idx="36">
                  <c:v>1644.1</c:v>
                </c:pt>
                <c:pt idx="37">
                  <c:v>1718.2</c:v>
                </c:pt>
                <c:pt idx="38">
                  <c:v>2078.5</c:v>
                </c:pt>
                <c:pt idx="39">
                  <c:v>2374.1999999999998</c:v>
                </c:pt>
                <c:pt idx="40">
                  <c:v>2440.6</c:v>
                </c:pt>
                <c:pt idx="41">
                  <c:v>2578.4</c:v>
                </c:pt>
                <c:pt idx="42">
                  <c:v>2842.6</c:v>
                </c:pt>
                <c:pt idx="43">
                  <c:v>3004.1</c:v>
                </c:pt>
                <c:pt idx="44">
                  <c:v>3885.1</c:v>
                </c:pt>
                <c:pt idx="45">
                  <c:v>4167.7</c:v>
                </c:pt>
                <c:pt idx="46">
                  <c:v>4199.3</c:v>
                </c:pt>
                <c:pt idx="47">
                  <c:v>4306.5</c:v>
                </c:pt>
                <c:pt idx="48">
                  <c:v>5383.1</c:v>
                </c:pt>
                <c:pt idx="49">
                  <c:v>5529.4</c:v>
                </c:pt>
                <c:pt idx="50">
                  <c:v>5965.7</c:v>
                </c:pt>
                <c:pt idx="51">
                  <c:v>6288.1</c:v>
                </c:pt>
                <c:pt idx="52">
                  <c:v>6292.5</c:v>
                </c:pt>
                <c:pt idx="53">
                  <c:v>6313.4</c:v>
                </c:pt>
                <c:pt idx="54">
                  <c:v>7620.8</c:v>
                </c:pt>
                <c:pt idx="55">
                  <c:v>7951.8</c:v>
                </c:pt>
                <c:pt idx="56">
                  <c:v>8106.6</c:v>
                </c:pt>
                <c:pt idx="57">
                  <c:v>8342.2999999999993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7C8-42EB-8CA9-D843DAEACD46}"/>
            </c:ext>
          </c:extLst>
        </c:ser>
        <c:ser>
          <c:idx val="16"/>
          <c:order val="16"/>
          <c:tx>
            <c:strRef>
              <c:f>'مقایسه پروژه‌ها'!$F$22</c:f>
              <c:strCache>
                <c:ptCount val="1"/>
                <c:pt idx="0">
                  <c:v>خطوط:عملیات لوله گذاری با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5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پروژه‌ها'!$G$22:$BL$22</c:f>
              <c:numCache>
                <c:formatCode>#,##0.00</c:formatCode>
                <c:ptCount val="58"/>
                <c:pt idx="0">
                  <c:v>334.4</c:v>
                </c:pt>
                <c:pt idx="1">
                  <c:v>346.8</c:v>
                </c:pt>
                <c:pt idx="2">
                  <c:v>361.8</c:v>
                </c:pt>
                <c:pt idx="3">
                  <c:v>376.2</c:v>
                </c:pt>
                <c:pt idx="4">
                  <c:v>412.2</c:v>
                </c:pt>
                <c:pt idx="5">
                  <c:v>435.3</c:v>
                </c:pt>
                <c:pt idx="6">
                  <c:v>479.8</c:v>
                </c:pt>
                <c:pt idx="7">
                  <c:v>500</c:v>
                </c:pt>
                <c:pt idx="8">
                  <c:v>550.6</c:v>
                </c:pt>
                <c:pt idx="9">
                  <c:v>562.29999999999995</c:v>
                </c:pt>
                <c:pt idx="10">
                  <c:v>573.6</c:v>
                </c:pt>
                <c:pt idx="11">
                  <c:v>583.6</c:v>
                </c:pt>
                <c:pt idx="12">
                  <c:v>657.8</c:v>
                </c:pt>
                <c:pt idx="13">
                  <c:v>670.6</c:v>
                </c:pt>
                <c:pt idx="14">
                  <c:v>677.8</c:v>
                </c:pt>
                <c:pt idx="15">
                  <c:v>685.1</c:v>
                </c:pt>
                <c:pt idx="16">
                  <c:v>738.6</c:v>
                </c:pt>
                <c:pt idx="17">
                  <c:v>743.5</c:v>
                </c:pt>
                <c:pt idx="18">
                  <c:v>746.2</c:v>
                </c:pt>
                <c:pt idx="19">
                  <c:v>748.5</c:v>
                </c:pt>
                <c:pt idx="20">
                  <c:v>794.5</c:v>
                </c:pt>
                <c:pt idx="21">
                  <c:v>802.2</c:v>
                </c:pt>
                <c:pt idx="22">
                  <c:v>809.5</c:v>
                </c:pt>
                <c:pt idx="23">
                  <c:v>816.8</c:v>
                </c:pt>
                <c:pt idx="24">
                  <c:v>877</c:v>
                </c:pt>
                <c:pt idx="25">
                  <c:v>879.6</c:v>
                </c:pt>
                <c:pt idx="26">
                  <c:v>899.1</c:v>
                </c:pt>
                <c:pt idx="27">
                  <c:v>907.6</c:v>
                </c:pt>
                <c:pt idx="28">
                  <c:v>1022.3</c:v>
                </c:pt>
                <c:pt idx="29">
                  <c:v>1117</c:v>
                </c:pt>
                <c:pt idx="30">
                  <c:v>1158.4000000000001</c:v>
                </c:pt>
                <c:pt idx="31">
                  <c:v>1194.9000000000001</c:v>
                </c:pt>
                <c:pt idx="32">
                  <c:v>1219.8</c:v>
                </c:pt>
                <c:pt idx="33">
                  <c:v>1277.5999999999999</c:v>
                </c:pt>
                <c:pt idx="34">
                  <c:v>1503.8</c:v>
                </c:pt>
                <c:pt idx="35">
                  <c:v>1589.1</c:v>
                </c:pt>
                <c:pt idx="36">
                  <c:v>1659.1</c:v>
                </c:pt>
                <c:pt idx="37">
                  <c:v>1735.2</c:v>
                </c:pt>
                <c:pt idx="38">
                  <c:v>2090.1999999999998</c:v>
                </c:pt>
                <c:pt idx="39">
                  <c:v>2390.9</c:v>
                </c:pt>
                <c:pt idx="40">
                  <c:v>2461.3000000000002</c:v>
                </c:pt>
                <c:pt idx="41">
                  <c:v>2612.4</c:v>
                </c:pt>
                <c:pt idx="42">
                  <c:v>2874.8</c:v>
                </c:pt>
                <c:pt idx="43">
                  <c:v>3036</c:v>
                </c:pt>
                <c:pt idx="44">
                  <c:v>3926.8</c:v>
                </c:pt>
                <c:pt idx="45">
                  <c:v>4213.3</c:v>
                </c:pt>
                <c:pt idx="46">
                  <c:v>4247.3999999999996</c:v>
                </c:pt>
                <c:pt idx="47">
                  <c:v>4356.5</c:v>
                </c:pt>
                <c:pt idx="48">
                  <c:v>5461.8</c:v>
                </c:pt>
                <c:pt idx="49">
                  <c:v>5614.7</c:v>
                </c:pt>
                <c:pt idx="50">
                  <c:v>6015.2</c:v>
                </c:pt>
                <c:pt idx="51">
                  <c:v>6358.4</c:v>
                </c:pt>
                <c:pt idx="52">
                  <c:v>6368.2</c:v>
                </c:pt>
                <c:pt idx="53">
                  <c:v>6394.3</c:v>
                </c:pt>
                <c:pt idx="54">
                  <c:v>7721.9</c:v>
                </c:pt>
                <c:pt idx="55">
                  <c:v>8059.7</c:v>
                </c:pt>
                <c:pt idx="56">
                  <c:v>8195.7999999999993</c:v>
                </c:pt>
                <c:pt idx="57">
                  <c:v>8439.2000000000007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C8-42EB-8CA9-D843DAEACD46}"/>
            </c:ext>
          </c:extLst>
        </c:ser>
        <c:ser>
          <c:idx val="17"/>
          <c:order val="17"/>
          <c:tx>
            <c:strRef>
              <c:f>'مقایسه پروژه‌ها'!$F$23</c:f>
              <c:strCache>
                <c:ptCount val="1"/>
                <c:pt idx="0">
                  <c:v>خطوط:عملیات لوله گذاری با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25400" dist="12700" dir="5400000" algn="ctr" rotWithShape="0">
                <a:schemeClr val="accent6">
                  <a:lumMod val="80000"/>
                  <a:lumOff val="20000"/>
                  <a:alpha val="25000"/>
                </a:schemeClr>
              </a:outerShdw>
            </a:effectLst>
          </c:spPr>
          <c:marker>
            <c:symbol val="triangle"/>
            <c:size val="6"/>
            <c:spPr>
              <a:solidFill>
                <a:schemeClr val="lt1"/>
              </a:solidFill>
              <a:ln w="19050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پروژه‌ها'!$G$23:$BL$23</c:f>
              <c:numCache>
                <c:formatCode>#,##0.00</c:formatCode>
                <c:ptCount val="58"/>
                <c:pt idx="0">
                  <c:v>334.4</c:v>
                </c:pt>
                <c:pt idx="1">
                  <c:v>347.1</c:v>
                </c:pt>
                <c:pt idx="2">
                  <c:v>361.5</c:v>
                </c:pt>
                <c:pt idx="3">
                  <c:v>376</c:v>
                </c:pt>
                <c:pt idx="4">
                  <c:v>411.7</c:v>
                </c:pt>
                <c:pt idx="5">
                  <c:v>434.7</c:v>
                </c:pt>
                <c:pt idx="6">
                  <c:v>476.5</c:v>
                </c:pt>
                <c:pt idx="7">
                  <c:v>495.6</c:v>
                </c:pt>
                <c:pt idx="8">
                  <c:v>546.5</c:v>
                </c:pt>
                <c:pt idx="9">
                  <c:v>558.9</c:v>
                </c:pt>
                <c:pt idx="10">
                  <c:v>569.5</c:v>
                </c:pt>
                <c:pt idx="11">
                  <c:v>580.29999999999995</c:v>
                </c:pt>
                <c:pt idx="12">
                  <c:v>654.70000000000005</c:v>
                </c:pt>
                <c:pt idx="13">
                  <c:v>667.9</c:v>
                </c:pt>
                <c:pt idx="14">
                  <c:v>675.5</c:v>
                </c:pt>
                <c:pt idx="15">
                  <c:v>682.7</c:v>
                </c:pt>
                <c:pt idx="16">
                  <c:v>736</c:v>
                </c:pt>
                <c:pt idx="17">
                  <c:v>741.2</c:v>
                </c:pt>
                <c:pt idx="18">
                  <c:v>744.5</c:v>
                </c:pt>
                <c:pt idx="19">
                  <c:v>746.9</c:v>
                </c:pt>
                <c:pt idx="20">
                  <c:v>792.7</c:v>
                </c:pt>
                <c:pt idx="21">
                  <c:v>800.4</c:v>
                </c:pt>
                <c:pt idx="22">
                  <c:v>807.9</c:v>
                </c:pt>
                <c:pt idx="23">
                  <c:v>815.2</c:v>
                </c:pt>
                <c:pt idx="24">
                  <c:v>874.9</c:v>
                </c:pt>
                <c:pt idx="25">
                  <c:v>878</c:v>
                </c:pt>
                <c:pt idx="26">
                  <c:v>897.8</c:v>
                </c:pt>
                <c:pt idx="27">
                  <c:v>906.7</c:v>
                </c:pt>
                <c:pt idx="28">
                  <c:v>1021.7</c:v>
                </c:pt>
                <c:pt idx="29">
                  <c:v>1114.3</c:v>
                </c:pt>
                <c:pt idx="30">
                  <c:v>1157.4000000000001</c:v>
                </c:pt>
                <c:pt idx="31">
                  <c:v>1193.5</c:v>
                </c:pt>
                <c:pt idx="32">
                  <c:v>1211</c:v>
                </c:pt>
                <c:pt idx="33">
                  <c:v>1264.7</c:v>
                </c:pt>
                <c:pt idx="34">
                  <c:v>1491.8</c:v>
                </c:pt>
                <c:pt idx="35">
                  <c:v>1576</c:v>
                </c:pt>
                <c:pt idx="36">
                  <c:v>1650.5</c:v>
                </c:pt>
                <c:pt idx="37">
                  <c:v>1726.9</c:v>
                </c:pt>
                <c:pt idx="38">
                  <c:v>2082.9</c:v>
                </c:pt>
                <c:pt idx="39">
                  <c:v>2382.6999999999998</c:v>
                </c:pt>
                <c:pt idx="40">
                  <c:v>2453.1</c:v>
                </c:pt>
                <c:pt idx="41">
                  <c:v>2599.5</c:v>
                </c:pt>
                <c:pt idx="42">
                  <c:v>2865.2</c:v>
                </c:pt>
                <c:pt idx="43">
                  <c:v>3027.7</c:v>
                </c:pt>
                <c:pt idx="44">
                  <c:v>3915.5</c:v>
                </c:pt>
                <c:pt idx="45">
                  <c:v>4204.3</c:v>
                </c:pt>
                <c:pt idx="46">
                  <c:v>4236.3999999999996</c:v>
                </c:pt>
                <c:pt idx="47">
                  <c:v>4347.8</c:v>
                </c:pt>
                <c:pt idx="48">
                  <c:v>5440</c:v>
                </c:pt>
                <c:pt idx="49">
                  <c:v>5590.5</c:v>
                </c:pt>
                <c:pt idx="50">
                  <c:v>6011.2</c:v>
                </c:pt>
                <c:pt idx="51">
                  <c:v>6345.2</c:v>
                </c:pt>
                <c:pt idx="52">
                  <c:v>6348.9</c:v>
                </c:pt>
                <c:pt idx="53">
                  <c:v>6366.4</c:v>
                </c:pt>
                <c:pt idx="54">
                  <c:v>7682.2</c:v>
                </c:pt>
                <c:pt idx="55">
                  <c:v>8023.7</c:v>
                </c:pt>
                <c:pt idx="56">
                  <c:v>8172.7</c:v>
                </c:pt>
                <c:pt idx="57">
                  <c:v>8415.5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C8-42EB-8CA9-D843DAEACD46}"/>
            </c:ext>
          </c:extLst>
        </c:ser>
        <c:ser>
          <c:idx val="18"/>
          <c:order val="18"/>
          <c:tx>
            <c:strRef>
              <c:f>'مقایسه پروژه‌ها'!$F$24</c:f>
              <c:strCache>
                <c:ptCount val="1"/>
                <c:pt idx="0">
                  <c:v>شبکه:عملیات لوله گذاری با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پروژه‌ها'!$G$24:$BL$24</c:f>
              <c:numCache>
                <c:formatCode>#,##0.00</c:formatCode>
                <c:ptCount val="58"/>
                <c:pt idx="0">
                  <c:v>336.1</c:v>
                </c:pt>
                <c:pt idx="1">
                  <c:v>346.2</c:v>
                </c:pt>
                <c:pt idx="2">
                  <c:v>355.3</c:v>
                </c:pt>
                <c:pt idx="3">
                  <c:v>364.3</c:v>
                </c:pt>
                <c:pt idx="4">
                  <c:v>403.2</c:v>
                </c:pt>
                <c:pt idx="5">
                  <c:v>422.5</c:v>
                </c:pt>
                <c:pt idx="6">
                  <c:v>452.6</c:v>
                </c:pt>
                <c:pt idx="7">
                  <c:v>465.7</c:v>
                </c:pt>
                <c:pt idx="8">
                  <c:v>522.70000000000005</c:v>
                </c:pt>
                <c:pt idx="9">
                  <c:v>533</c:v>
                </c:pt>
                <c:pt idx="10">
                  <c:v>543.5</c:v>
                </c:pt>
                <c:pt idx="11">
                  <c:v>554.4</c:v>
                </c:pt>
                <c:pt idx="12">
                  <c:v>639.29999999999995</c:v>
                </c:pt>
                <c:pt idx="13">
                  <c:v>651</c:v>
                </c:pt>
                <c:pt idx="14">
                  <c:v>660.3</c:v>
                </c:pt>
                <c:pt idx="15">
                  <c:v>668.9</c:v>
                </c:pt>
                <c:pt idx="16">
                  <c:v>670</c:v>
                </c:pt>
                <c:pt idx="17">
                  <c:v>671</c:v>
                </c:pt>
                <c:pt idx="18">
                  <c:v>672</c:v>
                </c:pt>
                <c:pt idx="19">
                  <c:v>673</c:v>
                </c:pt>
                <c:pt idx="20">
                  <c:v>674</c:v>
                </c:pt>
                <c:pt idx="21">
                  <c:v>675</c:v>
                </c:pt>
                <c:pt idx="22">
                  <c:v>676</c:v>
                </c:pt>
                <c:pt idx="23">
                  <c:v>677</c:v>
                </c:pt>
                <c:pt idx="24">
                  <c:v>678</c:v>
                </c:pt>
                <c:pt idx="25">
                  <c:v>679</c:v>
                </c:pt>
                <c:pt idx="26">
                  <c:v>680</c:v>
                </c:pt>
                <c:pt idx="27">
                  <c:v>681</c:v>
                </c:pt>
                <c:pt idx="28">
                  <c:v>682</c:v>
                </c:pt>
                <c:pt idx="29">
                  <c:v>683</c:v>
                </c:pt>
                <c:pt idx="30">
                  <c:v>684</c:v>
                </c:pt>
                <c:pt idx="31">
                  <c:v>685</c:v>
                </c:pt>
                <c:pt idx="32">
                  <c:v>685</c:v>
                </c:pt>
                <c:pt idx="33">
                  <c:v>686</c:v>
                </c:pt>
                <c:pt idx="34">
                  <c:v>687</c:v>
                </c:pt>
                <c:pt idx="35">
                  <c:v>688</c:v>
                </c:pt>
                <c:pt idx="36">
                  <c:v>689</c:v>
                </c:pt>
                <c:pt idx="37">
                  <c:v>690</c:v>
                </c:pt>
                <c:pt idx="38">
                  <c:v>691</c:v>
                </c:pt>
                <c:pt idx="39">
                  <c:v>692</c:v>
                </c:pt>
                <c:pt idx="40">
                  <c:v>693</c:v>
                </c:pt>
                <c:pt idx="41">
                  <c:v>694</c:v>
                </c:pt>
                <c:pt idx="42">
                  <c:v>695</c:v>
                </c:pt>
                <c:pt idx="43">
                  <c:v>696</c:v>
                </c:pt>
                <c:pt idx="44">
                  <c:v>697</c:v>
                </c:pt>
                <c:pt idx="45">
                  <c:v>698</c:v>
                </c:pt>
                <c:pt idx="46">
                  <c:v>699</c:v>
                </c:pt>
                <c:pt idx="47">
                  <c:v>700</c:v>
                </c:pt>
                <c:pt idx="48">
                  <c:v>701</c:v>
                </c:pt>
                <c:pt idx="49">
                  <c:v>702</c:v>
                </c:pt>
                <c:pt idx="50">
                  <c:v>703</c:v>
                </c:pt>
                <c:pt idx="51">
                  <c:v>704</c:v>
                </c:pt>
                <c:pt idx="52">
                  <c:v>704</c:v>
                </c:pt>
                <c:pt idx="53">
                  <c:v>704</c:v>
                </c:pt>
                <c:pt idx="54">
                  <c:v>705</c:v>
                </c:pt>
                <c:pt idx="55">
                  <c:v>706</c:v>
                </c:pt>
                <c:pt idx="56">
                  <c:v>707</c:v>
                </c:pt>
                <c:pt idx="57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EC9-41C3-A749-76222EA2EE87}"/>
            </c:ext>
          </c:extLst>
        </c:ser>
        <c:ser>
          <c:idx val="19"/>
          <c:order val="19"/>
          <c:tx>
            <c:strRef>
              <c:f>'مقایسه پروژه‌ها'!$F$25</c:f>
              <c:strCache>
                <c:ptCount val="1"/>
                <c:pt idx="0">
                  <c:v>شبکه:عملیات لوله گذاری با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cat>
            <c:strRef>
              <c:f>'مقایسه پروژه‌ها'!$G$5:$BL$5</c:f>
              <c:strCache>
                <c:ptCount val="58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</c:strCache>
            </c:strRef>
          </c:cat>
          <c:val>
            <c:numRef>
              <c:f>'مقایسه پروژه‌ها'!$G$25:$BL$25</c:f>
              <c:numCache>
                <c:formatCode>#,##0.00</c:formatCode>
                <c:ptCount val="58"/>
                <c:pt idx="0">
                  <c:v>335.5</c:v>
                </c:pt>
                <c:pt idx="1">
                  <c:v>346</c:v>
                </c:pt>
                <c:pt idx="2">
                  <c:v>355.9</c:v>
                </c:pt>
                <c:pt idx="3">
                  <c:v>365.7</c:v>
                </c:pt>
                <c:pt idx="4">
                  <c:v>404.1</c:v>
                </c:pt>
                <c:pt idx="5">
                  <c:v>424</c:v>
                </c:pt>
                <c:pt idx="6">
                  <c:v>455.6</c:v>
                </c:pt>
                <c:pt idx="7">
                  <c:v>469.7</c:v>
                </c:pt>
                <c:pt idx="8">
                  <c:v>525.70000000000005</c:v>
                </c:pt>
                <c:pt idx="9">
                  <c:v>536.4</c:v>
                </c:pt>
                <c:pt idx="10">
                  <c:v>546.9</c:v>
                </c:pt>
                <c:pt idx="11">
                  <c:v>557.79999999999995</c:v>
                </c:pt>
                <c:pt idx="12">
                  <c:v>641.1</c:v>
                </c:pt>
                <c:pt idx="13">
                  <c:v>653</c:v>
                </c:pt>
                <c:pt idx="14">
                  <c:v>662</c:v>
                </c:pt>
                <c:pt idx="15">
                  <c:v>670.5</c:v>
                </c:pt>
                <c:pt idx="16">
                  <c:v>731.1</c:v>
                </c:pt>
                <c:pt idx="17">
                  <c:v>737</c:v>
                </c:pt>
                <c:pt idx="18">
                  <c:v>741.8</c:v>
                </c:pt>
                <c:pt idx="19">
                  <c:v>745.8</c:v>
                </c:pt>
                <c:pt idx="20">
                  <c:v>798.1</c:v>
                </c:pt>
                <c:pt idx="21">
                  <c:v>805.6</c:v>
                </c:pt>
                <c:pt idx="22">
                  <c:v>813.1</c:v>
                </c:pt>
                <c:pt idx="23">
                  <c:v>820.4</c:v>
                </c:pt>
                <c:pt idx="24">
                  <c:v>888.5</c:v>
                </c:pt>
                <c:pt idx="25">
                  <c:v>891.4</c:v>
                </c:pt>
                <c:pt idx="26">
                  <c:v>908.9</c:v>
                </c:pt>
                <c:pt idx="27">
                  <c:v>917.6</c:v>
                </c:pt>
                <c:pt idx="28">
                  <c:v>1044.9000000000001</c:v>
                </c:pt>
                <c:pt idx="29">
                  <c:v>1113.2</c:v>
                </c:pt>
                <c:pt idx="30">
                  <c:v>1139.0999999999999</c:v>
                </c:pt>
                <c:pt idx="31">
                  <c:v>1160.4000000000001</c:v>
                </c:pt>
                <c:pt idx="32">
                  <c:v>1178.2</c:v>
                </c:pt>
                <c:pt idx="33">
                  <c:v>1219.4000000000001</c:v>
                </c:pt>
                <c:pt idx="34">
                  <c:v>1467.2</c:v>
                </c:pt>
                <c:pt idx="35">
                  <c:v>1540.4</c:v>
                </c:pt>
                <c:pt idx="36">
                  <c:v>1593</c:v>
                </c:pt>
                <c:pt idx="37">
                  <c:v>1650.8</c:v>
                </c:pt>
                <c:pt idx="38">
                  <c:v>2017.6</c:v>
                </c:pt>
                <c:pt idx="39">
                  <c:v>2261.6999999999998</c:v>
                </c:pt>
                <c:pt idx="40">
                  <c:v>2303</c:v>
                </c:pt>
                <c:pt idx="41">
                  <c:v>2389.1999999999998</c:v>
                </c:pt>
                <c:pt idx="42">
                  <c:v>2629.2</c:v>
                </c:pt>
                <c:pt idx="43">
                  <c:v>2770.3</c:v>
                </c:pt>
                <c:pt idx="44">
                  <c:v>3611.6</c:v>
                </c:pt>
                <c:pt idx="45">
                  <c:v>3827</c:v>
                </c:pt>
                <c:pt idx="46">
                  <c:v>3848.6</c:v>
                </c:pt>
                <c:pt idx="47">
                  <c:v>3914.9</c:v>
                </c:pt>
                <c:pt idx="48">
                  <c:v>4933.5</c:v>
                </c:pt>
                <c:pt idx="49">
                  <c:v>5046.6000000000004</c:v>
                </c:pt>
                <c:pt idx="50">
                  <c:v>5471.1</c:v>
                </c:pt>
                <c:pt idx="51">
                  <c:v>5735.6</c:v>
                </c:pt>
                <c:pt idx="52">
                  <c:v>5738</c:v>
                </c:pt>
                <c:pt idx="53">
                  <c:v>5748.3</c:v>
                </c:pt>
                <c:pt idx="54">
                  <c:v>7003.8</c:v>
                </c:pt>
                <c:pt idx="55">
                  <c:v>7276</c:v>
                </c:pt>
                <c:pt idx="56">
                  <c:v>7424.6</c:v>
                </c:pt>
                <c:pt idx="57">
                  <c:v>7626.4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EC9-41C3-A749-76222EA2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63360"/>
        <c:axId val="208963920"/>
      </c:lineChart>
      <c:catAx>
        <c:axId val="2089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40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>
                <a:lumMod val="35000"/>
                <a:lumOff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3920"/>
        <c:crosses val="autoZero"/>
        <c:auto val="1"/>
        <c:lblAlgn val="ctr"/>
        <c:lblOffset val="100"/>
        <c:noMultiLvlLbl val="0"/>
      </c:catAx>
      <c:valAx>
        <c:axId val="2089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40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12700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3360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ابنیه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ابنیه'!$A$9</c:f>
              <c:strCache>
                <c:ptCount val="1"/>
                <c:pt idx="0">
                  <c:v>عملیات تخریب و برچیدن</c:v>
                </c:pt>
              </c:strCache>
            </c:strRef>
          </c:tx>
          <c:spPr>
            <a:ln w="47520">
              <a:solidFill>
                <a:srgbClr val="385F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ابنیه'!$B$9:$BM$9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A2-4965-8ECB-F8BC64D155D7}"/>
            </c:ext>
          </c:extLst>
        </c:ser>
        <c:ser>
          <c:idx val="1"/>
          <c:order val="1"/>
          <c:tx>
            <c:strRef>
              <c:f>'نمودار ابنیه'!$A$10</c:f>
              <c:strCache>
                <c:ptCount val="1"/>
                <c:pt idx="0">
                  <c:v>عملیات خاکی با دست</c:v>
                </c:pt>
              </c:strCache>
            </c:strRef>
          </c:tx>
          <c:spPr>
            <a:ln w="47520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ابنیه'!$B$10:$BM$10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A2-4965-8ECB-F8BC64D155D7}"/>
            </c:ext>
          </c:extLst>
        </c:ser>
        <c:ser>
          <c:idx val="2"/>
          <c:order val="2"/>
          <c:tx>
            <c:strRef>
              <c:f>'نمودار ابنیه'!$A$11</c:f>
              <c:strCache>
                <c:ptCount val="1"/>
                <c:pt idx="0">
                  <c:v>عملیات خاکی با ماشین</c:v>
                </c:pt>
              </c:strCache>
            </c:strRef>
          </c:tx>
          <c:spPr>
            <a:ln w="47520">
              <a:solidFill>
                <a:srgbClr val="738C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ابنیه'!$B$11:$BM$11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0A2-4965-8ECB-F8BC64D155D7}"/>
            </c:ext>
          </c:extLst>
        </c:ser>
        <c:ser>
          <c:idx val="3"/>
          <c:order val="3"/>
          <c:tx>
            <c:strRef>
              <c:f>'نمودار ابنیه'!$A$12</c:f>
              <c:strCache>
                <c:ptCount val="1"/>
                <c:pt idx="0">
                  <c:v>عملیات بنایی با سنگ</c:v>
                </c:pt>
              </c:strCache>
            </c:strRef>
          </c:tx>
          <c:spPr>
            <a:ln w="47520">
              <a:solidFill>
                <a:srgbClr val="5E49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ابنیه'!$B$12:$BM$12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0A2-4965-8ECB-F8BC64D155D7}"/>
            </c:ext>
          </c:extLst>
        </c:ser>
        <c:ser>
          <c:idx val="4"/>
          <c:order val="4"/>
          <c:tx>
            <c:strRef>
              <c:f>'نمودار ابنیه'!$A$13</c:f>
              <c:strCache>
                <c:ptCount val="1"/>
                <c:pt idx="0">
                  <c:v>قالب بندی چوبی</c:v>
                </c:pt>
              </c:strCache>
            </c:strRef>
          </c:tx>
          <c:spPr>
            <a:ln w="47520">
              <a:solidFill>
                <a:srgbClr val="35809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ابنیه'!$B$13:$BM$13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0A2-4965-8ECB-F8BC64D155D7}"/>
            </c:ext>
          </c:extLst>
        </c:ser>
        <c:ser>
          <c:idx val="5"/>
          <c:order val="5"/>
          <c:tx>
            <c:strRef>
              <c:f>'نمودار ابنیه'!$A$14</c:f>
              <c:strCache>
                <c:ptCount val="1"/>
                <c:pt idx="0">
                  <c:v>قالب بندی فلزی</c:v>
                </c:pt>
              </c:strCache>
            </c:strRef>
          </c:tx>
          <c:spPr>
            <a:ln w="47520">
              <a:solidFill>
                <a:srgbClr val="B96F3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0A2-4965-8ECB-F8BC64D155D7}"/>
            </c:ext>
          </c:extLst>
        </c:ser>
        <c:ser>
          <c:idx val="6"/>
          <c:order val="6"/>
          <c:tx>
            <c:strRef>
              <c:f>'نمودار ابنیه'!$A$15</c:f>
              <c:strCache>
                <c:ptCount val="1"/>
                <c:pt idx="0">
                  <c:v>کارهای فولادی با میلگرد</c:v>
                </c:pt>
              </c:strCache>
            </c:strRef>
          </c:tx>
          <c:spPr>
            <a:ln w="47520">
              <a:solidFill>
                <a:srgbClr val="426FA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ابنیه'!$B$15:$BM$15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0A2-4965-8ECB-F8BC64D155D7}"/>
            </c:ext>
          </c:extLst>
        </c:ser>
        <c:ser>
          <c:idx val="7"/>
          <c:order val="7"/>
          <c:tx>
            <c:strRef>
              <c:f>'نمودار ابنیه'!$A$16</c:f>
              <c:strCache>
                <c:ptCount val="1"/>
                <c:pt idx="0">
                  <c:v>بتن درجا</c:v>
                </c:pt>
              </c:strCache>
            </c:strRef>
          </c:tx>
          <c:spPr>
            <a:ln w="47520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0A2-4965-8ECB-F8BC64D155D7}"/>
            </c:ext>
          </c:extLst>
        </c:ser>
        <c:ser>
          <c:idx val="8"/>
          <c:order val="8"/>
          <c:tx>
            <c:strRef>
              <c:f>'نمودار ابنیه'!$A$17</c:f>
              <c:strCache>
                <c:ptCount val="1"/>
                <c:pt idx="0">
                  <c:v>کارهای فولادی سنگین</c:v>
                </c:pt>
              </c:strCache>
            </c:strRef>
          </c:tx>
          <c:spPr>
            <a:ln w="47520">
              <a:solidFill>
                <a:srgbClr val="87A44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ابنیه'!$B$17:$BM$17</c:f>
              <c:numCache>
                <c:formatCode>#,##0.00</c:formatCode>
                <c:ptCount val="64"/>
                <c:pt idx="0">
                  <c:v>275.2</c:v>
                </c:pt>
                <c:pt idx="1">
                  <c:v>302.3</c:v>
                </c:pt>
                <c:pt idx="2">
                  <c:v>318.89999999999998</c:v>
                </c:pt>
                <c:pt idx="3">
                  <c:v>335.8</c:v>
                </c:pt>
                <c:pt idx="4">
                  <c:v>352.4</c:v>
                </c:pt>
                <c:pt idx="5">
                  <c:v>404.1</c:v>
                </c:pt>
                <c:pt idx="6">
                  <c:v>498.1</c:v>
                </c:pt>
                <c:pt idx="7">
                  <c:v>546.79999999999995</c:v>
                </c:pt>
                <c:pt idx="8">
                  <c:v>577</c:v>
                </c:pt>
                <c:pt idx="9">
                  <c:v>572.4</c:v>
                </c:pt>
                <c:pt idx="10">
                  <c:v>568.29999999999995</c:v>
                </c:pt>
                <c:pt idx="11">
                  <c:v>561.70000000000005</c:v>
                </c:pt>
                <c:pt idx="12">
                  <c:v>594.79999999999995</c:v>
                </c:pt>
                <c:pt idx="13">
                  <c:v>588.4</c:v>
                </c:pt>
                <c:pt idx="14">
                  <c:v>588.6</c:v>
                </c:pt>
                <c:pt idx="15">
                  <c:v>580.1</c:v>
                </c:pt>
                <c:pt idx="16">
                  <c:v>583.79999999999995</c:v>
                </c:pt>
                <c:pt idx="17">
                  <c:v>570</c:v>
                </c:pt>
                <c:pt idx="18">
                  <c:v>550.5</c:v>
                </c:pt>
                <c:pt idx="19">
                  <c:v>528.9</c:v>
                </c:pt>
                <c:pt idx="20">
                  <c:v>580.70000000000005</c:v>
                </c:pt>
                <c:pt idx="21">
                  <c:v>584</c:v>
                </c:pt>
                <c:pt idx="22">
                  <c:v>626.9</c:v>
                </c:pt>
                <c:pt idx="23">
                  <c:v>656</c:v>
                </c:pt>
                <c:pt idx="24">
                  <c:v>671.3</c:v>
                </c:pt>
                <c:pt idx="25">
                  <c:v>725.8</c:v>
                </c:pt>
                <c:pt idx="26">
                  <c:v>761.7</c:v>
                </c:pt>
                <c:pt idx="27">
                  <c:v>794.1</c:v>
                </c:pt>
                <c:pt idx="28">
                  <c:v>901.1</c:v>
                </c:pt>
                <c:pt idx="29">
                  <c:v>1009.4</c:v>
                </c:pt>
                <c:pt idx="30">
                  <c:v>1187.4000000000001</c:v>
                </c:pt>
                <c:pt idx="31">
                  <c:v>1220.4000000000001</c:v>
                </c:pt>
                <c:pt idx="32">
                  <c:v>1239.2</c:v>
                </c:pt>
                <c:pt idx="33">
                  <c:v>1309.8</c:v>
                </c:pt>
                <c:pt idx="34">
                  <c:v>1578.8</c:v>
                </c:pt>
                <c:pt idx="35">
                  <c:v>1502.9</c:v>
                </c:pt>
                <c:pt idx="36">
                  <c:v>1568.6</c:v>
                </c:pt>
                <c:pt idx="37">
                  <c:v>1994.5</c:v>
                </c:pt>
                <c:pt idx="38">
                  <c:v>2274.9</c:v>
                </c:pt>
                <c:pt idx="39">
                  <c:v>3027.9</c:v>
                </c:pt>
                <c:pt idx="40">
                  <c:v>3328.4</c:v>
                </c:pt>
                <c:pt idx="41">
                  <c:v>3443.4</c:v>
                </c:pt>
                <c:pt idx="42">
                  <c:v>3812.4</c:v>
                </c:pt>
                <c:pt idx="43">
                  <c:v>4157.5</c:v>
                </c:pt>
                <c:pt idx="44">
                  <c:v>4941.6000000000004</c:v>
                </c:pt>
                <c:pt idx="45">
                  <c:v>5521.4</c:v>
                </c:pt>
                <c:pt idx="46">
                  <c:v>5466</c:v>
                </c:pt>
                <c:pt idx="47">
                  <c:v>5272.7</c:v>
                </c:pt>
                <c:pt idx="48">
                  <c:v>5873.6</c:v>
                </c:pt>
                <c:pt idx="49">
                  <c:v>5567</c:v>
                </c:pt>
                <c:pt idx="50">
                  <c:v>5780.9</c:v>
                </c:pt>
                <c:pt idx="51">
                  <c:v>6830.6</c:v>
                </c:pt>
                <c:pt idx="52">
                  <c:v>7459.1</c:v>
                </c:pt>
                <c:pt idx="53">
                  <c:v>8307.6</c:v>
                </c:pt>
                <c:pt idx="54">
                  <c:v>8243.1</c:v>
                </c:pt>
                <c:pt idx="55">
                  <c:v>7906.6</c:v>
                </c:pt>
                <c:pt idx="56">
                  <c:v>7044</c:v>
                </c:pt>
                <c:pt idx="57">
                  <c:v>8776.9</c:v>
                </c:pt>
                <c:pt idx="58">
                  <c:v>9495.9</c:v>
                </c:pt>
                <c:pt idx="59">
                  <c:v>9370.1</c:v>
                </c:pt>
                <c:pt idx="60">
                  <c:v>9586.9</c:v>
                </c:pt>
                <c:pt idx="61">
                  <c:v>10281.4</c:v>
                </c:pt>
                <c:pt idx="62">
                  <c:v>10873.3</c:v>
                </c:pt>
                <c:pt idx="63">
                  <c:v>11741.1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0A2-4965-8ECB-F8BC64D155D7}"/>
            </c:ext>
          </c:extLst>
        </c:ser>
        <c:ser>
          <c:idx val="9"/>
          <c:order val="9"/>
          <c:tx>
            <c:strRef>
              <c:f>'نمودار ابنیه'!$A$18</c:f>
              <c:strCache>
                <c:ptCount val="1"/>
                <c:pt idx="0">
                  <c:v>سقف سبک بتنی</c:v>
                </c:pt>
              </c:strCache>
            </c:strRef>
          </c:tx>
          <c:spPr>
            <a:ln w="47520">
              <a:solidFill>
                <a:srgbClr val="6F56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0A2-4965-8ECB-F8BC64D155D7}"/>
            </c:ext>
          </c:extLst>
        </c:ser>
        <c:ser>
          <c:idx val="10"/>
          <c:order val="10"/>
          <c:tx>
            <c:strRef>
              <c:f>'نمودار ابنیه'!$A$19</c:f>
              <c:strCache>
                <c:ptCount val="1"/>
                <c:pt idx="0">
                  <c:v>آجرکاری و شفته ریزی</c:v>
                </c:pt>
              </c:strCache>
            </c:strRef>
          </c:tx>
          <c:spPr>
            <a:ln w="47520">
              <a:solidFill>
                <a:srgbClr val="3D97A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0A2-4965-8ECB-F8BC64D155D7}"/>
            </c:ext>
          </c:extLst>
        </c:ser>
        <c:ser>
          <c:idx val="11"/>
          <c:order val="11"/>
          <c:tx>
            <c:strRef>
              <c:f>'نمودار ابنیه'!$A$20</c:f>
              <c:strCache>
                <c:ptCount val="1"/>
                <c:pt idx="0">
                  <c:v>بتن پیش ساخته و بلوک چینی</c:v>
                </c:pt>
              </c:strCache>
            </c:strRef>
          </c:tx>
          <c:spPr>
            <a:ln w="47520">
              <a:solidFill>
                <a:srgbClr val="DB823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ابنیه'!$B$20:$BM$20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0A2-4965-8ECB-F8BC64D155D7}"/>
            </c:ext>
          </c:extLst>
        </c:ser>
        <c:ser>
          <c:idx val="12"/>
          <c:order val="12"/>
          <c:tx>
            <c:strRef>
              <c:f>'نمودار ابنیه'!$A$21</c:f>
              <c:strCache>
                <c:ptCount val="1"/>
                <c:pt idx="0">
                  <c:v>عایق کاری رطوبتی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ابنیه'!$B$21:$BM$21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0A2-4965-8ECB-F8BC64D155D7}"/>
            </c:ext>
          </c:extLst>
        </c:ser>
        <c:ser>
          <c:idx val="13"/>
          <c:order val="13"/>
          <c:tx>
            <c:strRef>
              <c:f>'نمودار ابنیه'!$A$22</c:f>
              <c:strCache>
                <c:ptCount val="1"/>
                <c:pt idx="0">
                  <c:v>عایق کاری حرارتی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ابنیه'!$B$22:$BM$22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0A2-4965-8ECB-F8BC64D155D7}"/>
            </c:ext>
          </c:extLst>
        </c:ser>
        <c:ser>
          <c:idx val="14"/>
          <c:order val="14"/>
          <c:tx>
            <c:strRef>
              <c:f>'نمودار ابنیه'!$A$23</c:f>
              <c:strCache>
                <c:ptCount val="1"/>
                <c:pt idx="0">
                  <c:v>کارهای آزبست سیمان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ابنیه'!$B$23:$BM$23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0A2-4965-8ECB-F8BC64D155D7}"/>
            </c:ext>
          </c:extLst>
        </c:ser>
        <c:ser>
          <c:idx val="15"/>
          <c:order val="15"/>
          <c:tx>
            <c:strRef>
              <c:f>'نمودار ابنیه'!$A$24</c:f>
              <c:strCache>
                <c:ptCount val="1"/>
                <c:pt idx="0">
                  <c:v>کارهای فولادی سبک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ابنیه'!$B$24:$BM$24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0A2-4965-8ECB-F8BC64D155D7}"/>
            </c:ext>
          </c:extLst>
        </c:ser>
        <c:ser>
          <c:idx val="16"/>
          <c:order val="16"/>
          <c:tx>
            <c:strRef>
              <c:f>'نمودار ابنیه'!$A$25</c:f>
              <c:strCache>
                <c:ptCount val="1"/>
                <c:pt idx="0">
                  <c:v>کارهای آلومینیومی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ابنیه'!$B$25:$BM$25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0A2-4965-8ECB-F8BC64D155D7}"/>
            </c:ext>
          </c:extLst>
        </c:ser>
        <c:ser>
          <c:idx val="17"/>
          <c:order val="17"/>
          <c:tx>
            <c:strRef>
              <c:f>'نمودار ابنیه'!$A$26</c:f>
              <c:strCache>
                <c:ptCount val="1"/>
                <c:pt idx="0">
                  <c:v>اندود و بندکشی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ابنیه'!$B$26:$BM$26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0A2-4965-8ECB-F8BC64D155D7}"/>
            </c:ext>
          </c:extLst>
        </c:ser>
        <c:ser>
          <c:idx val="18"/>
          <c:order val="18"/>
          <c:tx>
            <c:strRef>
              <c:f>'نمودار ابنیه'!$A$27</c:f>
              <c:strCache>
                <c:ptCount val="1"/>
                <c:pt idx="0">
                  <c:v>کارهای چوبی</c:v>
                </c:pt>
              </c:strCache>
            </c:strRef>
          </c:tx>
          <c:spPr>
            <a:ln w="47520">
              <a:solidFill>
                <a:srgbClr val="8EA5C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ابنیه'!$B$27:$BM$27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0A2-4965-8ECB-F8BC64D155D7}"/>
            </c:ext>
          </c:extLst>
        </c:ser>
        <c:ser>
          <c:idx val="19"/>
          <c:order val="19"/>
          <c:tx>
            <c:strRef>
              <c:f>'نمودار ابنیه'!$A$28</c:f>
              <c:strCache>
                <c:ptCount val="1"/>
                <c:pt idx="0">
                  <c:v>کاشی و سرامیک کاری</c:v>
                </c:pt>
              </c:strCache>
            </c:strRef>
          </c:tx>
          <c:spPr>
            <a:ln w="47520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ابنیه'!$B$28:$BM$28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0A2-4965-8ECB-F8BC64D155D7}"/>
            </c:ext>
          </c:extLst>
        </c:ser>
        <c:ser>
          <c:idx val="20"/>
          <c:order val="20"/>
          <c:tx>
            <c:strRef>
              <c:f>'نمودار ابنیه'!$A$29</c:f>
              <c:strCache>
                <c:ptCount val="1"/>
                <c:pt idx="0">
                  <c:v>فرش کف با موزاییک</c:v>
                </c:pt>
              </c:strCache>
            </c:strRef>
          </c:tx>
          <c:spPr>
            <a:ln w="47520">
              <a:solidFill>
                <a:srgbClr val="B3C99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ابنیه'!$B$29:$BM$29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D0A2-4965-8ECB-F8BC64D155D7}"/>
            </c:ext>
          </c:extLst>
        </c:ser>
        <c:ser>
          <c:idx val="21"/>
          <c:order val="21"/>
          <c:tx>
            <c:strRef>
              <c:f>'نمودار ابنیه'!$A$30</c:f>
              <c:strCache>
                <c:ptCount val="1"/>
                <c:pt idx="0">
                  <c:v>کارهای سنگی با سنگ پلاک</c:v>
                </c:pt>
              </c:strCache>
            </c:strRef>
          </c:tx>
          <c:spPr>
            <a:ln w="47520">
              <a:solidFill>
                <a:srgbClr val="A596B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ابنیه'!$B$30:$BM$30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D0A2-4965-8ECB-F8BC64D155D7}"/>
            </c:ext>
          </c:extLst>
        </c:ser>
        <c:ser>
          <c:idx val="22"/>
          <c:order val="22"/>
          <c:tx>
            <c:strRef>
              <c:f>'نمودار ابنیه'!$A$31</c:f>
              <c:strCache>
                <c:ptCount val="1"/>
                <c:pt idx="0">
                  <c:v>کارهای پلاستیکی</c:v>
                </c:pt>
              </c:strCache>
            </c:strRef>
          </c:tx>
          <c:spPr>
            <a:ln w="47520">
              <a:solidFill>
                <a:srgbClr val="8CBFD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ابنیه'!$B$31:$BM$31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D0A2-4965-8ECB-F8BC64D155D7}"/>
            </c:ext>
          </c:extLst>
        </c:ser>
        <c:ser>
          <c:idx val="23"/>
          <c:order val="23"/>
          <c:tx>
            <c:strRef>
              <c:f>'نمودار ابنیه'!$A$32</c:f>
              <c:strCache>
                <c:ptCount val="1"/>
                <c:pt idx="0">
                  <c:v>بر ش و نصب شیشه</c:v>
                </c:pt>
              </c:strCache>
            </c:strRef>
          </c:tx>
          <c:spPr>
            <a:ln w="47520">
              <a:solidFill>
                <a:srgbClr val="F5B0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ابنیه'!$B$32:$BM$32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D0A2-4965-8ECB-F8BC64D155D7}"/>
            </c:ext>
          </c:extLst>
        </c:ser>
        <c:ser>
          <c:idx val="24"/>
          <c:order val="24"/>
          <c:tx>
            <c:strRef>
              <c:f>'نمودار ابنیه'!$A$33</c:f>
              <c:strCache>
                <c:ptCount val="1"/>
                <c:pt idx="0">
                  <c:v>رنگ آمیزی</c:v>
                </c:pt>
              </c:strCache>
            </c:strRef>
          </c:tx>
          <c:spPr>
            <a:ln w="47520">
              <a:solidFill>
                <a:srgbClr val="B7C3D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ابنیه'!$B$33:$BM$33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D0A2-4965-8ECB-F8BC64D155D7}"/>
            </c:ext>
          </c:extLst>
        </c:ser>
        <c:ser>
          <c:idx val="25"/>
          <c:order val="25"/>
          <c:tx>
            <c:strRef>
              <c:f>'نمودار ابنیه'!$A$34</c:f>
              <c:strCache>
                <c:ptCount val="1"/>
                <c:pt idx="0">
                  <c:v>زیراساس و اساس</c:v>
                </c:pt>
              </c:strCache>
            </c:strRef>
          </c:tx>
          <c:spPr>
            <a:ln w="47520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ابنیه'!$B$34:$BM$34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D0A2-4965-8ECB-F8BC64D155D7}"/>
            </c:ext>
          </c:extLst>
        </c:ser>
        <c:ser>
          <c:idx val="26"/>
          <c:order val="26"/>
          <c:tx>
            <c:strRef>
              <c:f>'نمودار ابنیه'!$A$35</c:f>
              <c:strCache>
                <c:ptCount val="1"/>
                <c:pt idx="0">
                  <c:v>آسفالت</c:v>
                </c:pt>
              </c:strCache>
            </c:strRef>
          </c:tx>
          <c:spPr>
            <a:ln w="47520">
              <a:solidFill>
                <a:srgbClr val="CCDAB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ابنیه'!$B$35:$BM$35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D0A2-4965-8ECB-F8BC64D155D7}"/>
            </c:ext>
          </c:extLst>
        </c:ser>
        <c:ser>
          <c:idx val="27"/>
          <c:order val="27"/>
          <c:tx>
            <c:strRef>
              <c:f>'نمودار ابنیه'!$A$36</c:f>
              <c:strCache>
                <c:ptCount val="1"/>
                <c:pt idx="0">
                  <c:v>حمل و نقل</c:v>
                </c:pt>
              </c:strCache>
            </c:strRef>
          </c:tx>
          <c:spPr>
            <a:ln w="47520">
              <a:solidFill>
                <a:srgbClr val="C3BC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ابنیه'!$B$36:$BM$36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D0A2-4965-8ECB-F8BC64D155D7}"/>
            </c:ext>
          </c:extLst>
        </c:ser>
        <c:ser>
          <c:idx val="28"/>
          <c:order val="28"/>
          <c:tx>
            <c:strRef>
              <c:f>'نمودار ابنیه'!$A$37</c:f>
              <c:strCache>
                <c:ptCount val="1"/>
                <c:pt idx="0">
                  <c:v>کارهای دستمزدی</c:v>
                </c:pt>
              </c:strCache>
            </c:strRef>
          </c:tx>
          <c:spPr>
            <a:ln w="47520">
              <a:solidFill>
                <a:srgbClr val="B6D2D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ابنیه'!$B$8:$BM$8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ابنیه'!$B$37:$BM$37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D0A2-4965-8ECB-F8BC64D15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7090789"/>
        <c:axId val="9123766"/>
      </c:lineChart>
      <c:catAx>
        <c:axId val="470907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9123766"/>
        <c:crosses val="autoZero"/>
        <c:auto val="1"/>
        <c:lblAlgn val="ctr"/>
        <c:lblOffset val="100"/>
        <c:noMultiLvlLbl val="0"/>
      </c:catAx>
      <c:valAx>
        <c:axId val="9123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4709078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869320529275621"/>
          <c:y val="0.89117204138623418"/>
          <c:w val="0.67229831379988947"/>
          <c:h val="0.1088279586137658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مکانیکی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مکانیکی'!$A$9</c:f>
              <c:strCache>
                <c:ptCount val="1"/>
                <c:pt idx="0">
                  <c:v>لوله های فولادی</c:v>
                </c:pt>
              </c:strCache>
            </c:strRef>
          </c:tx>
          <c:spPr>
            <a:ln w="47520">
              <a:solidFill>
                <a:srgbClr val="365C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مکانیکی'!$B$9:$BM$9</c:f>
              <c:numCache>
                <c:formatCode>#,##0.00</c:formatCode>
                <c:ptCount val="64"/>
                <c:pt idx="0">
                  <c:v>269.89999999999998</c:v>
                </c:pt>
                <c:pt idx="1">
                  <c:v>283.3</c:v>
                </c:pt>
                <c:pt idx="2">
                  <c:v>296.5</c:v>
                </c:pt>
                <c:pt idx="3">
                  <c:v>305.2</c:v>
                </c:pt>
                <c:pt idx="4">
                  <c:v>339.7</c:v>
                </c:pt>
                <c:pt idx="5">
                  <c:v>379.3</c:v>
                </c:pt>
                <c:pt idx="6">
                  <c:v>424.9</c:v>
                </c:pt>
                <c:pt idx="7">
                  <c:v>533.70000000000005</c:v>
                </c:pt>
                <c:pt idx="8">
                  <c:v>543.29999999999995</c:v>
                </c:pt>
                <c:pt idx="9">
                  <c:v>532.9</c:v>
                </c:pt>
                <c:pt idx="10">
                  <c:v>533.4</c:v>
                </c:pt>
                <c:pt idx="11">
                  <c:v>537.20000000000005</c:v>
                </c:pt>
                <c:pt idx="12">
                  <c:v>584.29999999999995</c:v>
                </c:pt>
                <c:pt idx="13">
                  <c:v>588.9</c:v>
                </c:pt>
                <c:pt idx="14">
                  <c:v>592.20000000000005</c:v>
                </c:pt>
                <c:pt idx="15">
                  <c:v>594.79999999999995</c:v>
                </c:pt>
                <c:pt idx="16">
                  <c:v>598.4</c:v>
                </c:pt>
                <c:pt idx="17">
                  <c:v>597.79999999999995</c:v>
                </c:pt>
                <c:pt idx="18">
                  <c:v>586.1</c:v>
                </c:pt>
                <c:pt idx="19">
                  <c:v>586.1</c:v>
                </c:pt>
                <c:pt idx="20">
                  <c:v>626.5</c:v>
                </c:pt>
                <c:pt idx="21">
                  <c:v>631.70000000000005</c:v>
                </c:pt>
                <c:pt idx="22">
                  <c:v>669.9</c:v>
                </c:pt>
                <c:pt idx="23">
                  <c:v>692.7</c:v>
                </c:pt>
                <c:pt idx="24">
                  <c:v>724.9</c:v>
                </c:pt>
                <c:pt idx="25">
                  <c:v>780.5</c:v>
                </c:pt>
                <c:pt idx="26">
                  <c:v>833.4</c:v>
                </c:pt>
                <c:pt idx="27">
                  <c:v>850.3</c:v>
                </c:pt>
                <c:pt idx="28">
                  <c:v>973.3</c:v>
                </c:pt>
                <c:pt idx="29">
                  <c:v>1058.4000000000001</c:v>
                </c:pt>
                <c:pt idx="30">
                  <c:v>1208.2</c:v>
                </c:pt>
                <c:pt idx="31">
                  <c:v>1331.9</c:v>
                </c:pt>
                <c:pt idx="32">
                  <c:v>1532.1</c:v>
                </c:pt>
                <c:pt idx="33">
                  <c:v>1520.4</c:v>
                </c:pt>
                <c:pt idx="34">
                  <c:v>1784.6</c:v>
                </c:pt>
                <c:pt idx="35">
                  <c:v>1730.5</c:v>
                </c:pt>
                <c:pt idx="36">
                  <c:v>1740.3</c:v>
                </c:pt>
                <c:pt idx="37">
                  <c:v>1982</c:v>
                </c:pt>
                <c:pt idx="38">
                  <c:v>2307.8000000000002</c:v>
                </c:pt>
                <c:pt idx="39">
                  <c:v>2791.7</c:v>
                </c:pt>
                <c:pt idx="40">
                  <c:v>3093.4</c:v>
                </c:pt>
                <c:pt idx="41">
                  <c:v>3356.8</c:v>
                </c:pt>
                <c:pt idx="42">
                  <c:v>3582.4</c:v>
                </c:pt>
                <c:pt idx="43">
                  <c:v>3757</c:v>
                </c:pt>
                <c:pt idx="44">
                  <c:v>4306.3</c:v>
                </c:pt>
                <c:pt idx="45">
                  <c:v>4535</c:v>
                </c:pt>
                <c:pt idx="46">
                  <c:v>4424.1000000000004</c:v>
                </c:pt>
                <c:pt idx="47">
                  <c:v>4321.8999999999996</c:v>
                </c:pt>
                <c:pt idx="48">
                  <c:v>4896.3999999999996</c:v>
                </c:pt>
                <c:pt idx="49">
                  <c:v>4813.8999999999996</c:v>
                </c:pt>
                <c:pt idx="50">
                  <c:v>4990.6000000000004</c:v>
                </c:pt>
                <c:pt idx="51">
                  <c:v>5527.3</c:v>
                </c:pt>
                <c:pt idx="52">
                  <c:v>5727</c:v>
                </c:pt>
                <c:pt idx="53">
                  <c:v>6041.1</c:v>
                </c:pt>
                <c:pt idx="54">
                  <c:v>6652.6</c:v>
                </c:pt>
                <c:pt idx="55">
                  <c:v>6598.7</c:v>
                </c:pt>
                <c:pt idx="56">
                  <c:v>6906.1</c:v>
                </c:pt>
                <c:pt idx="57">
                  <c:v>7274.2</c:v>
                </c:pt>
                <c:pt idx="58">
                  <c:v>7962</c:v>
                </c:pt>
                <c:pt idx="59">
                  <c:v>7906.2</c:v>
                </c:pt>
                <c:pt idx="60">
                  <c:v>7930.2</c:v>
                </c:pt>
                <c:pt idx="61">
                  <c:v>8238.5</c:v>
                </c:pt>
                <c:pt idx="62">
                  <c:v>8621.6</c:v>
                </c:pt>
                <c:pt idx="63">
                  <c:v>8957.6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90-4E4C-85D8-15E0702196D5}"/>
            </c:ext>
          </c:extLst>
        </c:ser>
        <c:ser>
          <c:idx val="1"/>
          <c:order val="1"/>
          <c:tx>
            <c:strRef>
              <c:f>'نمودار مکانیکی'!$A$10</c:f>
              <c:strCache>
                <c:ptCount val="1"/>
                <c:pt idx="0">
                  <c:v>لوله های چدنی</c:v>
                </c:pt>
              </c:strCache>
            </c:strRef>
          </c:tx>
          <c:spPr>
            <a:ln w="47520">
              <a:solidFill>
                <a:srgbClr val="8C37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مکانیکی'!$B$10:$BM$10</c:f>
              <c:numCache>
                <c:formatCode>#,##0.00</c:formatCode>
                <c:ptCount val="64"/>
                <c:pt idx="0">
                  <c:v>559</c:v>
                </c:pt>
                <c:pt idx="1">
                  <c:v>560.4</c:v>
                </c:pt>
                <c:pt idx="2">
                  <c:v>581.79999999999995</c:v>
                </c:pt>
                <c:pt idx="3">
                  <c:v>582.9</c:v>
                </c:pt>
                <c:pt idx="4">
                  <c:v>588.70000000000005</c:v>
                </c:pt>
                <c:pt idx="5">
                  <c:v>594</c:v>
                </c:pt>
                <c:pt idx="6">
                  <c:v>626.20000000000005</c:v>
                </c:pt>
                <c:pt idx="7">
                  <c:v>715.9</c:v>
                </c:pt>
                <c:pt idx="8">
                  <c:v>727.8</c:v>
                </c:pt>
                <c:pt idx="9">
                  <c:v>729.5</c:v>
                </c:pt>
                <c:pt idx="10">
                  <c:v>762.4</c:v>
                </c:pt>
                <c:pt idx="11">
                  <c:v>764.3</c:v>
                </c:pt>
                <c:pt idx="12">
                  <c:v>798.7</c:v>
                </c:pt>
                <c:pt idx="13">
                  <c:v>800.2</c:v>
                </c:pt>
                <c:pt idx="14">
                  <c:v>851</c:v>
                </c:pt>
                <c:pt idx="15">
                  <c:v>852.4</c:v>
                </c:pt>
                <c:pt idx="16">
                  <c:v>862.1</c:v>
                </c:pt>
                <c:pt idx="17">
                  <c:v>863</c:v>
                </c:pt>
                <c:pt idx="18">
                  <c:v>870.7</c:v>
                </c:pt>
                <c:pt idx="19">
                  <c:v>871.4</c:v>
                </c:pt>
                <c:pt idx="20">
                  <c:v>880.1</c:v>
                </c:pt>
                <c:pt idx="21">
                  <c:v>881.3</c:v>
                </c:pt>
                <c:pt idx="22">
                  <c:v>882.8</c:v>
                </c:pt>
                <c:pt idx="23">
                  <c:v>883.9</c:v>
                </c:pt>
                <c:pt idx="24">
                  <c:v>897.1</c:v>
                </c:pt>
                <c:pt idx="25">
                  <c:v>897.9</c:v>
                </c:pt>
                <c:pt idx="26">
                  <c:v>962.4</c:v>
                </c:pt>
                <c:pt idx="27">
                  <c:v>983.3</c:v>
                </c:pt>
                <c:pt idx="28">
                  <c:v>1049.9000000000001</c:v>
                </c:pt>
                <c:pt idx="29">
                  <c:v>1164.4000000000001</c:v>
                </c:pt>
                <c:pt idx="30">
                  <c:v>1188</c:v>
                </c:pt>
                <c:pt idx="31">
                  <c:v>1224.7</c:v>
                </c:pt>
                <c:pt idx="32">
                  <c:v>1243</c:v>
                </c:pt>
                <c:pt idx="33">
                  <c:v>1252.5</c:v>
                </c:pt>
                <c:pt idx="34">
                  <c:v>1418.2</c:v>
                </c:pt>
                <c:pt idx="35">
                  <c:v>1431.5</c:v>
                </c:pt>
                <c:pt idx="36">
                  <c:v>1518.7</c:v>
                </c:pt>
                <c:pt idx="37">
                  <c:v>1547.5</c:v>
                </c:pt>
                <c:pt idx="38">
                  <c:v>1916.3</c:v>
                </c:pt>
                <c:pt idx="39">
                  <c:v>2310.1</c:v>
                </c:pt>
                <c:pt idx="40">
                  <c:v>2392.3000000000002</c:v>
                </c:pt>
                <c:pt idx="41">
                  <c:v>2478.5</c:v>
                </c:pt>
                <c:pt idx="42">
                  <c:v>2525.1999999999998</c:v>
                </c:pt>
                <c:pt idx="43">
                  <c:v>2665.3</c:v>
                </c:pt>
                <c:pt idx="44">
                  <c:v>2929.9</c:v>
                </c:pt>
                <c:pt idx="45">
                  <c:v>3171.3</c:v>
                </c:pt>
                <c:pt idx="46">
                  <c:v>3641.9</c:v>
                </c:pt>
                <c:pt idx="47">
                  <c:v>3875.3</c:v>
                </c:pt>
                <c:pt idx="48">
                  <c:v>4424.5</c:v>
                </c:pt>
                <c:pt idx="49">
                  <c:v>4436.8999999999996</c:v>
                </c:pt>
                <c:pt idx="50">
                  <c:v>5060.1000000000004</c:v>
                </c:pt>
                <c:pt idx="51">
                  <c:v>5216.5</c:v>
                </c:pt>
                <c:pt idx="52">
                  <c:v>5207.8</c:v>
                </c:pt>
                <c:pt idx="53">
                  <c:v>5362.9</c:v>
                </c:pt>
                <c:pt idx="54">
                  <c:v>5860.1</c:v>
                </c:pt>
                <c:pt idx="55">
                  <c:v>6144.7</c:v>
                </c:pt>
                <c:pt idx="56">
                  <c:v>6250.7</c:v>
                </c:pt>
                <c:pt idx="57">
                  <c:v>6279.9</c:v>
                </c:pt>
                <c:pt idx="58">
                  <c:v>7055</c:v>
                </c:pt>
                <c:pt idx="59">
                  <c:v>7123.1</c:v>
                </c:pt>
                <c:pt idx="60">
                  <c:v>7330.6</c:v>
                </c:pt>
                <c:pt idx="61">
                  <c:v>7399.6</c:v>
                </c:pt>
                <c:pt idx="62">
                  <c:v>7415.4</c:v>
                </c:pt>
                <c:pt idx="63">
                  <c:v>7432.6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90-4E4C-85D8-15E0702196D5}"/>
            </c:ext>
          </c:extLst>
        </c:ser>
        <c:ser>
          <c:idx val="2"/>
          <c:order val="2"/>
          <c:tx>
            <c:strRef>
              <c:f>'نمودار مکانیکی'!$A$11</c:f>
              <c:strCache>
                <c:ptCount val="1"/>
                <c:pt idx="0">
                  <c:v>لوله های پی.وی.سی</c:v>
                </c:pt>
              </c:strCache>
            </c:strRef>
          </c:tx>
          <c:spPr>
            <a:ln w="47520">
              <a:solidFill>
                <a:srgbClr val="7088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مکانیکی'!$B$11:$BM$11</c:f>
              <c:numCache>
                <c:formatCode>#,##0.00</c:formatCode>
                <c:ptCount val="64"/>
                <c:pt idx="0">
                  <c:v>346.5</c:v>
                </c:pt>
                <c:pt idx="1">
                  <c:v>248.1</c:v>
                </c:pt>
                <c:pt idx="2">
                  <c:v>263.7</c:v>
                </c:pt>
                <c:pt idx="3">
                  <c:v>265.3</c:v>
                </c:pt>
                <c:pt idx="4">
                  <c:v>302.60000000000002</c:v>
                </c:pt>
                <c:pt idx="5">
                  <c:v>360.8</c:v>
                </c:pt>
                <c:pt idx="6">
                  <c:v>505.6</c:v>
                </c:pt>
                <c:pt idx="7">
                  <c:v>534.79999999999995</c:v>
                </c:pt>
                <c:pt idx="8">
                  <c:v>490.4</c:v>
                </c:pt>
                <c:pt idx="9">
                  <c:v>492.6</c:v>
                </c:pt>
                <c:pt idx="10">
                  <c:v>495.9</c:v>
                </c:pt>
                <c:pt idx="11">
                  <c:v>498.9</c:v>
                </c:pt>
                <c:pt idx="12">
                  <c:v>587.20000000000005</c:v>
                </c:pt>
                <c:pt idx="13">
                  <c:v>589.6</c:v>
                </c:pt>
                <c:pt idx="14">
                  <c:v>616.5</c:v>
                </c:pt>
                <c:pt idx="15">
                  <c:v>618.5</c:v>
                </c:pt>
                <c:pt idx="16">
                  <c:v>662.3</c:v>
                </c:pt>
                <c:pt idx="17">
                  <c:v>663.6</c:v>
                </c:pt>
                <c:pt idx="18">
                  <c:v>634.29999999999995</c:v>
                </c:pt>
                <c:pt idx="19">
                  <c:v>635.4</c:v>
                </c:pt>
                <c:pt idx="20">
                  <c:v>665.4</c:v>
                </c:pt>
                <c:pt idx="21">
                  <c:v>677.7</c:v>
                </c:pt>
                <c:pt idx="22">
                  <c:v>756.6</c:v>
                </c:pt>
                <c:pt idx="23">
                  <c:v>759.3</c:v>
                </c:pt>
                <c:pt idx="24">
                  <c:v>782.9</c:v>
                </c:pt>
                <c:pt idx="25">
                  <c:v>803.5</c:v>
                </c:pt>
                <c:pt idx="26">
                  <c:v>837.9</c:v>
                </c:pt>
                <c:pt idx="27">
                  <c:v>870.8</c:v>
                </c:pt>
                <c:pt idx="28">
                  <c:v>988.5</c:v>
                </c:pt>
                <c:pt idx="29">
                  <c:v>1027.7</c:v>
                </c:pt>
                <c:pt idx="30">
                  <c:v>1180.8</c:v>
                </c:pt>
                <c:pt idx="31">
                  <c:v>1355</c:v>
                </c:pt>
                <c:pt idx="32">
                  <c:v>1351.6</c:v>
                </c:pt>
                <c:pt idx="33">
                  <c:v>1361.2</c:v>
                </c:pt>
                <c:pt idx="34">
                  <c:v>1590.5</c:v>
                </c:pt>
                <c:pt idx="35">
                  <c:v>1565.4</c:v>
                </c:pt>
                <c:pt idx="36">
                  <c:v>1594.5</c:v>
                </c:pt>
                <c:pt idx="37">
                  <c:v>1625.3</c:v>
                </c:pt>
                <c:pt idx="38">
                  <c:v>1823.4</c:v>
                </c:pt>
                <c:pt idx="39">
                  <c:v>1994</c:v>
                </c:pt>
                <c:pt idx="40">
                  <c:v>2124.1</c:v>
                </c:pt>
                <c:pt idx="41">
                  <c:v>2396.1</c:v>
                </c:pt>
                <c:pt idx="42">
                  <c:v>3008.9</c:v>
                </c:pt>
                <c:pt idx="43">
                  <c:v>3336</c:v>
                </c:pt>
                <c:pt idx="44">
                  <c:v>3691.1</c:v>
                </c:pt>
                <c:pt idx="45">
                  <c:v>3977.4</c:v>
                </c:pt>
                <c:pt idx="46">
                  <c:v>4212.7</c:v>
                </c:pt>
                <c:pt idx="47">
                  <c:v>4371.2</c:v>
                </c:pt>
                <c:pt idx="48">
                  <c:v>4832.5</c:v>
                </c:pt>
                <c:pt idx="49">
                  <c:v>4560.8999999999996</c:v>
                </c:pt>
                <c:pt idx="50">
                  <c:v>4444.6000000000004</c:v>
                </c:pt>
                <c:pt idx="51">
                  <c:v>4668.6000000000004</c:v>
                </c:pt>
                <c:pt idx="52">
                  <c:v>4668.8</c:v>
                </c:pt>
                <c:pt idx="53">
                  <c:v>4943.5</c:v>
                </c:pt>
                <c:pt idx="54">
                  <c:v>5303.2</c:v>
                </c:pt>
                <c:pt idx="55">
                  <c:v>5380.5</c:v>
                </c:pt>
                <c:pt idx="56">
                  <c:v>5456.2</c:v>
                </c:pt>
                <c:pt idx="57">
                  <c:v>5504.8</c:v>
                </c:pt>
                <c:pt idx="58">
                  <c:v>6192.5</c:v>
                </c:pt>
                <c:pt idx="59">
                  <c:v>6386.1</c:v>
                </c:pt>
                <c:pt idx="60">
                  <c:v>6525.8</c:v>
                </c:pt>
                <c:pt idx="61">
                  <c:v>7230.3</c:v>
                </c:pt>
                <c:pt idx="62">
                  <c:v>7368.6</c:v>
                </c:pt>
                <c:pt idx="63">
                  <c:v>7812.5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90-4E4C-85D8-15E0702196D5}"/>
            </c:ext>
          </c:extLst>
        </c:ser>
        <c:ser>
          <c:idx val="3"/>
          <c:order val="3"/>
          <c:tx>
            <c:strRef>
              <c:f>'نمودار مکانیکی'!$A$12</c:f>
              <c:strCache>
                <c:ptCount val="1"/>
                <c:pt idx="0">
                  <c:v>لوله های پلی اتیلن</c:v>
                </c:pt>
              </c:strCache>
            </c:strRef>
          </c:tx>
          <c:spPr>
            <a:ln w="47520">
              <a:solidFill>
                <a:srgbClr val="5B467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مکانیکی'!$B$12:$BM$12</c:f>
              <c:numCache>
                <c:formatCode>#,##0.00</c:formatCode>
                <c:ptCount val="64"/>
                <c:pt idx="0">
                  <c:v>153.80000000000001</c:v>
                </c:pt>
                <c:pt idx="1">
                  <c:v>154.69999999999999</c:v>
                </c:pt>
                <c:pt idx="2">
                  <c:v>144.5</c:v>
                </c:pt>
                <c:pt idx="3">
                  <c:v>153.5</c:v>
                </c:pt>
                <c:pt idx="4">
                  <c:v>175.2</c:v>
                </c:pt>
                <c:pt idx="5">
                  <c:v>181.8</c:v>
                </c:pt>
                <c:pt idx="6">
                  <c:v>244.6</c:v>
                </c:pt>
                <c:pt idx="7">
                  <c:v>270.5</c:v>
                </c:pt>
                <c:pt idx="8">
                  <c:v>277.5</c:v>
                </c:pt>
                <c:pt idx="9">
                  <c:v>279</c:v>
                </c:pt>
                <c:pt idx="10">
                  <c:v>281.2</c:v>
                </c:pt>
                <c:pt idx="11">
                  <c:v>283.2</c:v>
                </c:pt>
                <c:pt idx="12">
                  <c:v>293.5</c:v>
                </c:pt>
                <c:pt idx="13">
                  <c:v>295.10000000000002</c:v>
                </c:pt>
                <c:pt idx="14">
                  <c:v>313</c:v>
                </c:pt>
                <c:pt idx="15">
                  <c:v>314.2</c:v>
                </c:pt>
                <c:pt idx="16">
                  <c:v>322.60000000000002</c:v>
                </c:pt>
                <c:pt idx="17">
                  <c:v>323.39999999999998</c:v>
                </c:pt>
                <c:pt idx="18">
                  <c:v>324</c:v>
                </c:pt>
                <c:pt idx="19">
                  <c:v>324.60000000000002</c:v>
                </c:pt>
                <c:pt idx="20">
                  <c:v>332.2</c:v>
                </c:pt>
                <c:pt idx="21">
                  <c:v>333.2</c:v>
                </c:pt>
                <c:pt idx="22">
                  <c:v>334.2</c:v>
                </c:pt>
                <c:pt idx="23">
                  <c:v>335.1</c:v>
                </c:pt>
                <c:pt idx="24">
                  <c:v>344</c:v>
                </c:pt>
                <c:pt idx="25">
                  <c:v>344.8</c:v>
                </c:pt>
                <c:pt idx="26">
                  <c:v>384.2</c:v>
                </c:pt>
                <c:pt idx="27">
                  <c:v>385.3</c:v>
                </c:pt>
                <c:pt idx="28">
                  <c:v>451.7</c:v>
                </c:pt>
                <c:pt idx="29">
                  <c:v>516.4</c:v>
                </c:pt>
                <c:pt idx="30">
                  <c:v>544.5</c:v>
                </c:pt>
                <c:pt idx="31">
                  <c:v>574.20000000000005</c:v>
                </c:pt>
                <c:pt idx="32">
                  <c:v>693</c:v>
                </c:pt>
                <c:pt idx="33">
                  <c:v>644.20000000000005</c:v>
                </c:pt>
                <c:pt idx="34">
                  <c:v>675.5</c:v>
                </c:pt>
                <c:pt idx="35">
                  <c:v>685.1</c:v>
                </c:pt>
                <c:pt idx="36">
                  <c:v>690</c:v>
                </c:pt>
                <c:pt idx="37">
                  <c:v>696.4</c:v>
                </c:pt>
                <c:pt idx="38">
                  <c:v>767.7</c:v>
                </c:pt>
                <c:pt idx="39">
                  <c:v>930.7</c:v>
                </c:pt>
                <c:pt idx="40">
                  <c:v>935.4</c:v>
                </c:pt>
                <c:pt idx="41">
                  <c:v>998.5</c:v>
                </c:pt>
                <c:pt idx="42">
                  <c:v>1246.7</c:v>
                </c:pt>
                <c:pt idx="43">
                  <c:v>1263.7</c:v>
                </c:pt>
                <c:pt idx="44">
                  <c:v>1409.9</c:v>
                </c:pt>
                <c:pt idx="45">
                  <c:v>1440</c:v>
                </c:pt>
                <c:pt idx="46">
                  <c:v>1546.4</c:v>
                </c:pt>
                <c:pt idx="47">
                  <c:v>1553.3</c:v>
                </c:pt>
                <c:pt idx="48">
                  <c:v>1811.7</c:v>
                </c:pt>
                <c:pt idx="49">
                  <c:v>1826.8</c:v>
                </c:pt>
                <c:pt idx="50">
                  <c:v>2000.1</c:v>
                </c:pt>
                <c:pt idx="51">
                  <c:v>2145.1999999999998</c:v>
                </c:pt>
                <c:pt idx="52">
                  <c:v>2305.8000000000002</c:v>
                </c:pt>
                <c:pt idx="53">
                  <c:v>2466.4</c:v>
                </c:pt>
                <c:pt idx="54">
                  <c:v>2918.8</c:v>
                </c:pt>
                <c:pt idx="55">
                  <c:v>2989.2</c:v>
                </c:pt>
                <c:pt idx="56">
                  <c:v>3168.8</c:v>
                </c:pt>
                <c:pt idx="57">
                  <c:v>3195.5</c:v>
                </c:pt>
                <c:pt idx="58">
                  <c:v>3800.6</c:v>
                </c:pt>
                <c:pt idx="59">
                  <c:v>3852.6</c:v>
                </c:pt>
                <c:pt idx="60">
                  <c:v>4188.5</c:v>
                </c:pt>
                <c:pt idx="61">
                  <c:v>4247.6000000000004</c:v>
                </c:pt>
                <c:pt idx="62">
                  <c:v>4260.3</c:v>
                </c:pt>
                <c:pt idx="63">
                  <c:v>4375.8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690-4E4C-85D8-15E0702196D5}"/>
            </c:ext>
          </c:extLst>
        </c:ser>
        <c:ser>
          <c:idx val="4"/>
          <c:order val="4"/>
          <c:tx>
            <c:strRef>
              <c:f>'نمودار مکانیکی'!$A$13</c:f>
              <c:strCache>
                <c:ptCount val="1"/>
                <c:pt idx="0">
                  <c:v>لوله های آزبست سیمان</c:v>
                </c:pt>
              </c:strCache>
            </c:strRef>
          </c:tx>
          <c:spPr>
            <a:ln w="47520">
              <a:solidFill>
                <a:srgbClr val="337D9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مکانیکی'!$B$13:$BM$13</c:f>
              <c:numCache>
                <c:formatCode>#,##0.00</c:formatCode>
                <c:ptCount val="64"/>
                <c:pt idx="0">
                  <c:v>317.2</c:v>
                </c:pt>
                <c:pt idx="1">
                  <c:v>319.39999999999998</c:v>
                </c:pt>
                <c:pt idx="2">
                  <c:v>321.8</c:v>
                </c:pt>
                <c:pt idx="3">
                  <c:v>324.2</c:v>
                </c:pt>
                <c:pt idx="4">
                  <c:v>332.6</c:v>
                </c:pt>
                <c:pt idx="5">
                  <c:v>336.9</c:v>
                </c:pt>
                <c:pt idx="6">
                  <c:v>344</c:v>
                </c:pt>
                <c:pt idx="7">
                  <c:v>347.2</c:v>
                </c:pt>
                <c:pt idx="8">
                  <c:v>359.3</c:v>
                </c:pt>
                <c:pt idx="9">
                  <c:v>361.8</c:v>
                </c:pt>
                <c:pt idx="10">
                  <c:v>364.9</c:v>
                </c:pt>
                <c:pt idx="11">
                  <c:v>367.6</c:v>
                </c:pt>
                <c:pt idx="12">
                  <c:v>385.3</c:v>
                </c:pt>
                <c:pt idx="13">
                  <c:v>388</c:v>
                </c:pt>
                <c:pt idx="14">
                  <c:v>389</c:v>
                </c:pt>
                <c:pt idx="15">
                  <c:v>390</c:v>
                </c:pt>
                <c:pt idx="16">
                  <c:v>391</c:v>
                </c:pt>
                <c:pt idx="17">
                  <c:v>392</c:v>
                </c:pt>
                <c:pt idx="18">
                  <c:v>393</c:v>
                </c:pt>
                <c:pt idx="19">
                  <c:v>394</c:v>
                </c:pt>
                <c:pt idx="20">
                  <c:v>395</c:v>
                </c:pt>
                <c:pt idx="21">
                  <c:v>396</c:v>
                </c:pt>
                <c:pt idx="22">
                  <c:v>397</c:v>
                </c:pt>
                <c:pt idx="23">
                  <c:v>398</c:v>
                </c:pt>
                <c:pt idx="24">
                  <c:v>399</c:v>
                </c:pt>
                <c:pt idx="25">
                  <c:v>400</c:v>
                </c:pt>
                <c:pt idx="26">
                  <c:v>401</c:v>
                </c:pt>
                <c:pt idx="27">
                  <c:v>402</c:v>
                </c:pt>
                <c:pt idx="28">
                  <c:v>403</c:v>
                </c:pt>
                <c:pt idx="29">
                  <c:v>404</c:v>
                </c:pt>
                <c:pt idx="30">
                  <c:v>405</c:v>
                </c:pt>
                <c:pt idx="31">
                  <c:v>406</c:v>
                </c:pt>
                <c:pt idx="32">
                  <c:v>406</c:v>
                </c:pt>
                <c:pt idx="33">
                  <c:v>407</c:v>
                </c:pt>
                <c:pt idx="34">
                  <c:v>408</c:v>
                </c:pt>
                <c:pt idx="35">
                  <c:v>409</c:v>
                </c:pt>
                <c:pt idx="36">
                  <c:v>410</c:v>
                </c:pt>
                <c:pt idx="37">
                  <c:v>411</c:v>
                </c:pt>
                <c:pt idx="38">
                  <c:v>412</c:v>
                </c:pt>
                <c:pt idx="39">
                  <c:v>413</c:v>
                </c:pt>
                <c:pt idx="40">
                  <c:v>114</c:v>
                </c:pt>
                <c:pt idx="41">
                  <c:v>115</c:v>
                </c:pt>
                <c:pt idx="42">
                  <c:v>416</c:v>
                </c:pt>
                <c:pt idx="43">
                  <c:v>417</c:v>
                </c:pt>
                <c:pt idx="44">
                  <c:v>418</c:v>
                </c:pt>
                <c:pt idx="45">
                  <c:v>419</c:v>
                </c:pt>
                <c:pt idx="46">
                  <c:v>420</c:v>
                </c:pt>
                <c:pt idx="47">
                  <c:v>421</c:v>
                </c:pt>
                <c:pt idx="48">
                  <c:v>422</c:v>
                </c:pt>
                <c:pt idx="49">
                  <c:v>423</c:v>
                </c:pt>
                <c:pt idx="50">
                  <c:v>424</c:v>
                </c:pt>
                <c:pt idx="51">
                  <c:v>425</c:v>
                </c:pt>
                <c:pt idx="52">
                  <c:v>425</c:v>
                </c:pt>
                <c:pt idx="53">
                  <c:v>425</c:v>
                </c:pt>
                <c:pt idx="54">
                  <c:v>426</c:v>
                </c:pt>
                <c:pt idx="55">
                  <c:v>427</c:v>
                </c:pt>
                <c:pt idx="56">
                  <c:v>428</c:v>
                </c:pt>
                <c:pt idx="57">
                  <c:v>429</c:v>
                </c:pt>
                <c:pt idx="58">
                  <c:v>430</c:v>
                </c:pt>
                <c:pt idx="59">
                  <c:v>431</c:v>
                </c:pt>
                <c:pt idx="60">
                  <c:v>432</c:v>
                </c:pt>
                <c:pt idx="61">
                  <c:v>433</c:v>
                </c:pt>
                <c:pt idx="62">
                  <c:v>433</c:v>
                </c:pt>
                <c:pt idx="63">
                  <c:v>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690-4E4C-85D8-15E0702196D5}"/>
            </c:ext>
          </c:extLst>
        </c:ser>
        <c:ser>
          <c:idx val="5"/>
          <c:order val="5"/>
          <c:tx>
            <c:strRef>
              <c:f>'نمودار مکانیکی'!$A$14</c:f>
              <c:strCache>
                <c:ptCount val="1"/>
                <c:pt idx="0">
                  <c:v>لوله های مسی</c:v>
                </c:pt>
              </c:strCache>
            </c:strRef>
          </c:tx>
          <c:spPr>
            <a:ln w="47520">
              <a:solidFill>
                <a:srgbClr val="B46B2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مکانیکی'!$B$14:$BM$14</c:f>
              <c:numCache>
                <c:formatCode>#,##0.00</c:formatCode>
                <c:ptCount val="64"/>
                <c:pt idx="0">
                  <c:v>417.5</c:v>
                </c:pt>
                <c:pt idx="1">
                  <c:v>422.8</c:v>
                </c:pt>
                <c:pt idx="2">
                  <c:v>511.9</c:v>
                </c:pt>
                <c:pt idx="3">
                  <c:v>513.29999999999995</c:v>
                </c:pt>
                <c:pt idx="4">
                  <c:v>526.6</c:v>
                </c:pt>
                <c:pt idx="5">
                  <c:v>587.9</c:v>
                </c:pt>
                <c:pt idx="6">
                  <c:v>771</c:v>
                </c:pt>
                <c:pt idx="7">
                  <c:v>787.8</c:v>
                </c:pt>
                <c:pt idx="8">
                  <c:v>796.3</c:v>
                </c:pt>
                <c:pt idx="9">
                  <c:v>756.8</c:v>
                </c:pt>
                <c:pt idx="10">
                  <c:v>745.1</c:v>
                </c:pt>
                <c:pt idx="11">
                  <c:v>748</c:v>
                </c:pt>
                <c:pt idx="12">
                  <c:v>821.4</c:v>
                </c:pt>
                <c:pt idx="13">
                  <c:v>844.9</c:v>
                </c:pt>
                <c:pt idx="14">
                  <c:v>811.8</c:v>
                </c:pt>
                <c:pt idx="15">
                  <c:v>779.1</c:v>
                </c:pt>
                <c:pt idx="16">
                  <c:v>785.8</c:v>
                </c:pt>
                <c:pt idx="17">
                  <c:v>731.6</c:v>
                </c:pt>
                <c:pt idx="18">
                  <c:v>697.7</c:v>
                </c:pt>
                <c:pt idx="19">
                  <c:v>690.4</c:v>
                </c:pt>
                <c:pt idx="20">
                  <c:v>684.4</c:v>
                </c:pt>
                <c:pt idx="21">
                  <c:v>698.9</c:v>
                </c:pt>
                <c:pt idx="22">
                  <c:v>769.6</c:v>
                </c:pt>
                <c:pt idx="23">
                  <c:v>824.6</c:v>
                </c:pt>
                <c:pt idx="24">
                  <c:v>852.7</c:v>
                </c:pt>
                <c:pt idx="25">
                  <c:v>923.6</c:v>
                </c:pt>
                <c:pt idx="26">
                  <c:v>1032.4000000000001</c:v>
                </c:pt>
                <c:pt idx="27">
                  <c:v>1073.0999999999999</c:v>
                </c:pt>
                <c:pt idx="28">
                  <c:v>1131.2</c:v>
                </c:pt>
                <c:pt idx="29">
                  <c:v>1270.0999999999999</c:v>
                </c:pt>
                <c:pt idx="30">
                  <c:v>1360.1</c:v>
                </c:pt>
                <c:pt idx="31">
                  <c:v>1449.9</c:v>
                </c:pt>
                <c:pt idx="32">
                  <c:v>1874.1</c:v>
                </c:pt>
                <c:pt idx="33">
                  <c:v>1768.7</c:v>
                </c:pt>
                <c:pt idx="34">
                  <c:v>2242.1</c:v>
                </c:pt>
                <c:pt idx="35">
                  <c:v>2273.1</c:v>
                </c:pt>
                <c:pt idx="36">
                  <c:v>2112.1</c:v>
                </c:pt>
                <c:pt idx="37">
                  <c:v>2197.8000000000002</c:v>
                </c:pt>
                <c:pt idx="38">
                  <c:v>2516.6999999999998</c:v>
                </c:pt>
                <c:pt idx="39">
                  <c:v>2793.2</c:v>
                </c:pt>
                <c:pt idx="40">
                  <c:v>3164.7</c:v>
                </c:pt>
                <c:pt idx="41">
                  <c:v>3735.3</c:v>
                </c:pt>
                <c:pt idx="42">
                  <c:v>4798.2</c:v>
                </c:pt>
                <c:pt idx="43">
                  <c:v>5559.2</c:v>
                </c:pt>
                <c:pt idx="44">
                  <c:v>6073.9</c:v>
                </c:pt>
                <c:pt idx="45">
                  <c:v>6200</c:v>
                </c:pt>
                <c:pt idx="46">
                  <c:v>6521.4</c:v>
                </c:pt>
                <c:pt idx="47">
                  <c:v>6809.8</c:v>
                </c:pt>
                <c:pt idx="48">
                  <c:v>7388.8</c:v>
                </c:pt>
                <c:pt idx="49">
                  <c:v>7247.4</c:v>
                </c:pt>
                <c:pt idx="50">
                  <c:v>8068.4</c:v>
                </c:pt>
                <c:pt idx="51">
                  <c:v>9094.7000000000007</c:v>
                </c:pt>
                <c:pt idx="52">
                  <c:v>10244.1</c:v>
                </c:pt>
                <c:pt idx="53">
                  <c:v>11244</c:v>
                </c:pt>
                <c:pt idx="54">
                  <c:v>10801.1</c:v>
                </c:pt>
                <c:pt idx="55">
                  <c:v>10580.8</c:v>
                </c:pt>
                <c:pt idx="56">
                  <c:v>10446.700000000001</c:v>
                </c:pt>
                <c:pt idx="57">
                  <c:v>10657.7</c:v>
                </c:pt>
                <c:pt idx="58">
                  <c:v>23860.6</c:v>
                </c:pt>
                <c:pt idx="59">
                  <c:v>13523.2</c:v>
                </c:pt>
                <c:pt idx="60">
                  <c:v>13911.8</c:v>
                </c:pt>
                <c:pt idx="61">
                  <c:v>15192.3</c:v>
                </c:pt>
                <c:pt idx="62">
                  <c:v>17364.400000000001</c:v>
                </c:pt>
                <c:pt idx="63">
                  <c:v>19294.5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690-4E4C-85D8-15E0702196D5}"/>
            </c:ext>
          </c:extLst>
        </c:ser>
        <c:ser>
          <c:idx val="6"/>
          <c:order val="6"/>
          <c:tx>
            <c:strRef>
              <c:f>'نمودار مکانیکی'!$A$15</c:f>
              <c:strCache>
                <c:ptCount val="1"/>
                <c:pt idx="0">
                  <c:v>شیرها</c:v>
                </c:pt>
              </c:strCache>
            </c:strRef>
          </c:tx>
          <c:spPr>
            <a:ln w="47520">
              <a:solidFill>
                <a:srgbClr val="3F6B9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مکانیکی'!$B$15:$BM$15</c:f>
              <c:numCache>
                <c:formatCode>#,##0.00</c:formatCode>
                <c:ptCount val="64"/>
                <c:pt idx="0">
                  <c:v>316.10000000000002</c:v>
                </c:pt>
                <c:pt idx="1">
                  <c:v>316.8</c:v>
                </c:pt>
                <c:pt idx="2">
                  <c:v>342.3</c:v>
                </c:pt>
                <c:pt idx="3">
                  <c:v>365</c:v>
                </c:pt>
                <c:pt idx="4">
                  <c:v>393</c:v>
                </c:pt>
                <c:pt idx="5">
                  <c:v>432.5</c:v>
                </c:pt>
                <c:pt idx="6">
                  <c:v>652.79999999999995</c:v>
                </c:pt>
                <c:pt idx="7">
                  <c:v>660.2</c:v>
                </c:pt>
                <c:pt idx="8">
                  <c:v>666.4</c:v>
                </c:pt>
                <c:pt idx="9">
                  <c:v>667.2</c:v>
                </c:pt>
                <c:pt idx="10">
                  <c:v>709.2</c:v>
                </c:pt>
                <c:pt idx="11">
                  <c:v>710.5</c:v>
                </c:pt>
                <c:pt idx="12">
                  <c:v>719</c:v>
                </c:pt>
                <c:pt idx="13">
                  <c:v>720.1</c:v>
                </c:pt>
                <c:pt idx="14">
                  <c:v>713.8</c:v>
                </c:pt>
                <c:pt idx="15">
                  <c:v>714.6</c:v>
                </c:pt>
                <c:pt idx="16">
                  <c:v>775.6</c:v>
                </c:pt>
                <c:pt idx="17">
                  <c:v>776.1</c:v>
                </c:pt>
                <c:pt idx="18">
                  <c:v>776.4</c:v>
                </c:pt>
                <c:pt idx="19">
                  <c:v>776.8</c:v>
                </c:pt>
                <c:pt idx="20">
                  <c:v>787.5</c:v>
                </c:pt>
                <c:pt idx="21">
                  <c:v>788.3</c:v>
                </c:pt>
                <c:pt idx="22">
                  <c:v>750.7</c:v>
                </c:pt>
                <c:pt idx="23">
                  <c:v>806.2</c:v>
                </c:pt>
                <c:pt idx="24">
                  <c:v>831.8</c:v>
                </c:pt>
                <c:pt idx="25">
                  <c:v>832</c:v>
                </c:pt>
                <c:pt idx="26">
                  <c:v>906.5</c:v>
                </c:pt>
                <c:pt idx="27">
                  <c:v>911.9</c:v>
                </c:pt>
                <c:pt idx="28">
                  <c:v>1159.8</c:v>
                </c:pt>
                <c:pt idx="29">
                  <c:v>1466.6</c:v>
                </c:pt>
                <c:pt idx="30">
                  <c:v>1700.4</c:v>
                </c:pt>
                <c:pt idx="31">
                  <c:v>1825.5</c:v>
                </c:pt>
                <c:pt idx="32">
                  <c:v>1913.4</c:v>
                </c:pt>
                <c:pt idx="33">
                  <c:v>1917.4</c:v>
                </c:pt>
                <c:pt idx="34">
                  <c:v>2158.1</c:v>
                </c:pt>
                <c:pt idx="35">
                  <c:v>2163.6999999999998</c:v>
                </c:pt>
                <c:pt idx="36">
                  <c:v>2325.8000000000002</c:v>
                </c:pt>
                <c:pt idx="37">
                  <c:v>2334.6999999999998</c:v>
                </c:pt>
                <c:pt idx="38">
                  <c:v>2685.2</c:v>
                </c:pt>
                <c:pt idx="39">
                  <c:v>2772.8</c:v>
                </c:pt>
                <c:pt idx="40">
                  <c:v>3274</c:v>
                </c:pt>
                <c:pt idx="41">
                  <c:v>3303.4</c:v>
                </c:pt>
                <c:pt idx="42">
                  <c:v>3654</c:v>
                </c:pt>
                <c:pt idx="43">
                  <c:v>3666.1</c:v>
                </c:pt>
                <c:pt idx="44">
                  <c:v>4384.3999999999996</c:v>
                </c:pt>
                <c:pt idx="45">
                  <c:v>4512</c:v>
                </c:pt>
                <c:pt idx="46">
                  <c:v>4540.3</c:v>
                </c:pt>
                <c:pt idx="47">
                  <c:v>5066.3999999999996</c:v>
                </c:pt>
                <c:pt idx="48">
                  <c:v>5855.5</c:v>
                </c:pt>
                <c:pt idx="49">
                  <c:v>5962.3</c:v>
                </c:pt>
                <c:pt idx="50">
                  <c:v>6252.1</c:v>
                </c:pt>
                <c:pt idx="51">
                  <c:v>6970.6</c:v>
                </c:pt>
                <c:pt idx="52">
                  <c:v>6973.3</c:v>
                </c:pt>
                <c:pt idx="53">
                  <c:v>6976.7</c:v>
                </c:pt>
                <c:pt idx="54">
                  <c:v>7087.5</c:v>
                </c:pt>
                <c:pt idx="55">
                  <c:v>7111.4</c:v>
                </c:pt>
                <c:pt idx="56">
                  <c:v>7945</c:v>
                </c:pt>
                <c:pt idx="57">
                  <c:v>7958.2</c:v>
                </c:pt>
                <c:pt idx="58">
                  <c:v>9736.2999999999993</c:v>
                </c:pt>
                <c:pt idx="59">
                  <c:v>9705.5</c:v>
                </c:pt>
                <c:pt idx="60">
                  <c:v>10020.9</c:v>
                </c:pt>
                <c:pt idx="61">
                  <c:v>10159.5</c:v>
                </c:pt>
                <c:pt idx="62">
                  <c:v>10347.6</c:v>
                </c:pt>
                <c:pt idx="63">
                  <c:v>10444.1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690-4E4C-85D8-15E0702196D5}"/>
            </c:ext>
          </c:extLst>
        </c:ser>
        <c:ser>
          <c:idx val="7"/>
          <c:order val="7"/>
          <c:tx>
            <c:strRef>
              <c:f>'نمودار مکانیکی'!$A$16</c:f>
              <c:strCache>
                <c:ptCount val="1"/>
                <c:pt idx="0">
                  <c:v>مفضل انبساط</c:v>
                </c:pt>
              </c:strCache>
            </c:strRef>
          </c:tx>
          <c:spPr>
            <a:ln w="47520">
              <a:solidFill>
                <a:srgbClr val="A240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690-4E4C-85D8-15E0702196D5}"/>
            </c:ext>
          </c:extLst>
        </c:ser>
        <c:ser>
          <c:idx val="8"/>
          <c:order val="8"/>
          <c:tx>
            <c:strRef>
              <c:f>'نمودار مکانیکی'!$A$17</c:f>
              <c:strCache>
                <c:ptCount val="1"/>
                <c:pt idx="0">
                  <c:v>لرزه گیر</c:v>
                </c:pt>
              </c:strCache>
            </c:strRef>
          </c:tx>
          <c:spPr>
            <a:ln w="47520">
              <a:solidFill>
                <a:srgbClr val="829E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690-4E4C-85D8-15E0702196D5}"/>
            </c:ext>
          </c:extLst>
        </c:ser>
        <c:ser>
          <c:idx val="9"/>
          <c:order val="9"/>
          <c:tx>
            <c:strRef>
              <c:f>'نمودار مکانیکی'!$A$18</c:f>
              <c:strCache>
                <c:ptCount val="1"/>
                <c:pt idx="0">
                  <c:v>-</c:v>
                </c:pt>
              </c:strCache>
            </c:strRef>
          </c:tx>
          <c:spPr>
            <a:ln w="47520">
              <a:solidFill>
                <a:srgbClr val="6A528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مکانیکی'!$B$18:$BM$18</c:f>
              <c:numCache>
                <c:formatCode>General</c:formatCode>
                <c:ptCount val="6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690-4E4C-85D8-15E0702196D5}"/>
            </c:ext>
          </c:extLst>
        </c:ser>
        <c:ser>
          <c:idx val="10"/>
          <c:order val="10"/>
          <c:tx>
            <c:strRef>
              <c:f>'نمودار مکانیکی'!$A$19</c:f>
              <c:strCache>
                <c:ptCount val="1"/>
                <c:pt idx="0">
                  <c:v>صافی</c:v>
                </c:pt>
              </c:strCache>
            </c:strRef>
          </c:tx>
          <c:spPr>
            <a:ln w="47520">
              <a:solidFill>
                <a:srgbClr val="3B90A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690-4E4C-85D8-15E0702196D5}"/>
            </c:ext>
          </c:extLst>
        </c:ser>
        <c:ser>
          <c:idx val="11"/>
          <c:order val="11"/>
          <c:tx>
            <c:strRef>
              <c:f>'نمودار مکانیکی'!$A$20</c:f>
              <c:strCache>
                <c:ptCount val="1"/>
                <c:pt idx="0">
                  <c:v>دیگهای حرارتی آب گرم</c:v>
                </c:pt>
              </c:strCache>
            </c:strRef>
          </c:tx>
          <c:spPr>
            <a:ln w="47520">
              <a:solidFill>
                <a:srgbClr val="D27D3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مکانیکی'!$B$20:$BM$20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690-4E4C-85D8-15E0702196D5}"/>
            </c:ext>
          </c:extLst>
        </c:ser>
        <c:ser>
          <c:idx val="12"/>
          <c:order val="12"/>
          <c:tx>
            <c:strRef>
              <c:f>'نمودار مکانیکی'!$A$21</c:f>
              <c:strCache>
                <c:ptCount val="1"/>
                <c:pt idx="0">
                  <c:v>دیگهای بخار</c:v>
                </c:pt>
              </c:strCache>
            </c:strRef>
          </c:tx>
          <c:spPr>
            <a:ln w="47520">
              <a:solidFill>
                <a:srgbClr val="4678B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مکانیکی'!$B$21:$BM$21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690-4E4C-85D8-15E0702196D5}"/>
            </c:ext>
          </c:extLst>
        </c:ser>
        <c:ser>
          <c:idx val="13"/>
          <c:order val="13"/>
          <c:tx>
            <c:strRef>
              <c:f>'نمودار مکانیکی'!$A$22</c:f>
              <c:strCache>
                <c:ptCount val="1"/>
                <c:pt idx="0">
                  <c:v>مشعل</c:v>
                </c:pt>
              </c:strCache>
            </c:strRef>
          </c:tx>
          <c:spPr>
            <a:ln w="47520">
              <a:solidFill>
                <a:srgbClr val="B547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مکانیکی'!$B$22:$BM$22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690-4E4C-85D8-15E0702196D5}"/>
            </c:ext>
          </c:extLst>
        </c:ser>
        <c:ser>
          <c:idx val="14"/>
          <c:order val="14"/>
          <c:tx>
            <c:strRef>
              <c:f>'نمودار مکانیکی'!$A$23</c:f>
              <c:strCache>
                <c:ptCount val="1"/>
                <c:pt idx="0">
                  <c:v>دستگاههای کنترل و اندازه گیری</c:v>
                </c:pt>
              </c:strCache>
            </c:strRef>
          </c:tx>
          <c:spPr>
            <a:ln w="47520">
              <a:solidFill>
                <a:srgbClr val="91B05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مکانیکی'!$B$23:$BM$23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690-4E4C-85D8-15E0702196D5}"/>
            </c:ext>
          </c:extLst>
        </c:ser>
        <c:ser>
          <c:idx val="15"/>
          <c:order val="15"/>
          <c:tx>
            <c:strRef>
              <c:f>'نمودار مکانیکی'!$A$24</c:f>
              <c:strCache>
                <c:ptCount val="1"/>
                <c:pt idx="0">
                  <c:v>آب گرم کن ( نفتی و گازی )</c:v>
                </c:pt>
              </c:strCache>
            </c:strRef>
          </c:tx>
          <c:spPr>
            <a:ln w="47520">
              <a:solidFill>
                <a:srgbClr val="775B9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مکانیکی'!$B$24:$BM$24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690-4E4C-85D8-15E0702196D5}"/>
            </c:ext>
          </c:extLst>
        </c:ser>
        <c:ser>
          <c:idx val="16"/>
          <c:order val="16"/>
          <c:tx>
            <c:strRef>
              <c:f>'نمودار مکانیکی'!$A$25</c:f>
              <c:strCache>
                <c:ptCount val="1"/>
                <c:pt idx="0">
                  <c:v>رادیاتور</c:v>
                </c:pt>
              </c:strCache>
            </c:strRef>
          </c:tx>
          <c:spPr>
            <a:ln w="47520">
              <a:solidFill>
                <a:srgbClr val="42A2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مکانیکی'!$B$25:$BM$25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690-4E4C-85D8-15E0702196D5}"/>
            </c:ext>
          </c:extLst>
        </c:ser>
        <c:ser>
          <c:idx val="17"/>
          <c:order val="17"/>
          <c:tx>
            <c:strRef>
              <c:f>'نمودار مکانیکی'!$A$26</c:f>
              <c:strCache>
                <c:ptCount val="1"/>
                <c:pt idx="0">
                  <c:v>آب سرد کن</c:v>
                </c:pt>
              </c:strCache>
            </c:strRef>
          </c:tx>
          <c:spPr>
            <a:ln w="47520">
              <a:solidFill>
                <a:srgbClr val="E98B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مکانیکی'!$B$26:$BM$26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690-4E4C-85D8-15E0702196D5}"/>
            </c:ext>
          </c:extLst>
        </c:ser>
        <c:ser>
          <c:idx val="18"/>
          <c:order val="18"/>
          <c:tx>
            <c:strRef>
              <c:f>'نمودار مکانیکی'!$A$27</c:f>
              <c:strCache>
                <c:ptCount val="1"/>
                <c:pt idx="0">
                  <c:v>کانال هوا ، درچه هوا</c:v>
                </c:pt>
              </c:strCache>
            </c:strRef>
          </c:tx>
          <c:spPr>
            <a:ln w="47520">
              <a:solidFill>
                <a:srgbClr val="6E90C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مکانیکی'!$B$27:$BM$27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690-4E4C-85D8-15E0702196D5}"/>
            </c:ext>
          </c:extLst>
        </c:ser>
        <c:ser>
          <c:idx val="19"/>
          <c:order val="19"/>
          <c:tx>
            <c:strRef>
              <c:f>'نمودار مکانیکی'!$A$28</c:f>
              <c:strCache>
                <c:ptCount val="1"/>
                <c:pt idx="0">
                  <c:v>هواکش</c:v>
                </c:pt>
              </c:strCache>
            </c:strRef>
          </c:tx>
          <c:spPr>
            <a:ln w="47520">
              <a:solidFill>
                <a:srgbClr val="C46E6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مکانیکی'!$B$28:$BM$28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690-4E4C-85D8-15E0702196D5}"/>
            </c:ext>
          </c:extLst>
        </c:ser>
        <c:ser>
          <c:idx val="20"/>
          <c:order val="20"/>
          <c:tx>
            <c:strRef>
              <c:f>'نمودار مکانیکی'!$A$29</c:f>
              <c:strCache>
                <c:ptCount val="1"/>
                <c:pt idx="0">
                  <c:v>فن کویل ، یونیت هیتر</c:v>
                </c:pt>
              </c:strCache>
            </c:strRef>
          </c:tx>
          <c:spPr>
            <a:ln w="47520">
              <a:solidFill>
                <a:srgbClr val="A5C07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مکانیکی'!$B$29:$BM$29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690-4E4C-85D8-15E0702196D5}"/>
            </c:ext>
          </c:extLst>
        </c:ser>
        <c:ser>
          <c:idx val="21"/>
          <c:order val="21"/>
          <c:tx>
            <c:strRef>
              <c:f>'نمودار مکانیکی'!$A$30</c:f>
              <c:strCache>
                <c:ptCount val="1"/>
                <c:pt idx="0">
                  <c:v>کولر آبی</c:v>
                </c:pt>
              </c:strCache>
            </c:strRef>
          </c:tx>
          <c:spPr>
            <a:ln w="47520">
              <a:solidFill>
                <a:srgbClr val="8F7BA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مکانیکی'!$B$30:$BM$30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690-4E4C-85D8-15E0702196D5}"/>
            </c:ext>
          </c:extLst>
        </c:ser>
        <c:ser>
          <c:idx val="22"/>
          <c:order val="22"/>
          <c:tx>
            <c:strRef>
              <c:f>'نمودار مکانیکی'!$A$31</c:f>
              <c:strCache>
                <c:ptCount val="1"/>
                <c:pt idx="0">
                  <c:v>کولر گازی</c:v>
                </c:pt>
              </c:strCache>
            </c:strRef>
          </c:tx>
          <c:spPr>
            <a:ln w="47520">
              <a:solidFill>
                <a:srgbClr val="6CB2C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مکانیکی'!$B$31:$BM$31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690-4E4C-85D8-15E0702196D5}"/>
            </c:ext>
          </c:extLst>
        </c:ser>
        <c:ser>
          <c:idx val="23"/>
          <c:order val="23"/>
          <c:tx>
            <c:strRef>
              <c:f>'نمودار مکانیکی'!$A$32</c:f>
              <c:strCache>
                <c:ptCount val="1"/>
                <c:pt idx="0">
                  <c:v>الکترو پمپ</c:v>
                </c:pt>
              </c:strCache>
            </c:strRef>
          </c:tx>
          <c:spPr>
            <a:ln w="47520">
              <a:solidFill>
                <a:srgbClr val="F49F6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مکانیکی'!$B$32:$BM$32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690-4E4C-85D8-15E0702196D5}"/>
            </c:ext>
          </c:extLst>
        </c:ser>
        <c:ser>
          <c:idx val="24"/>
          <c:order val="24"/>
          <c:tx>
            <c:strRef>
              <c:f>'نمودار مکانیکی'!$A$33</c:f>
              <c:strCache>
                <c:ptCount val="1"/>
                <c:pt idx="0">
                  <c:v>عایق</c:v>
                </c:pt>
              </c:strCache>
            </c:strRef>
          </c:tx>
          <c:spPr>
            <a:ln w="47520">
              <a:solidFill>
                <a:srgbClr val="9CAF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مکانیکی'!$B$33:$BM$33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0690-4E4C-85D8-15E0702196D5}"/>
            </c:ext>
          </c:extLst>
        </c:ser>
        <c:ser>
          <c:idx val="25"/>
          <c:order val="25"/>
          <c:tx>
            <c:strRef>
              <c:f>'نمودار مکانیکی'!$A$34</c:f>
              <c:strCache>
                <c:ptCount val="1"/>
                <c:pt idx="0">
                  <c:v>-</c:v>
                </c:pt>
              </c:strCache>
            </c:strRef>
          </c:tx>
          <c:spPr>
            <a:ln w="47520">
              <a:solidFill>
                <a:srgbClr val="D19C9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مکانیکی'!$B$34:$BM$34</c:f>
              <c:numCache>
                <c:formatCode>General</c:formatCode>
                <c:ptCount val="6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690-4E4C-85D8-15E0702196D5}"/>
            </c:ext>
          </c:extLst>
        </c:ser>
        <c:ser>
          <c:idx val="26"/>
          <c:order val="26"/>
          <c:tx>
            <c:strRef>
              <c:f>'نمودار مکانیکی'!$A$35</c:f>
              <c:strCache>
                <c:ptCount val="1"/>
                <c:pt idx="0">
                  <c:v>دستگاههای مبرد</c:v>
                </c:pt>
              </c:strCache>
            </c:strRef>
          </c:tx>
          <c:spPr>
            <a:ln w="47520">
              <a:solidFill>
                <a:srgbClr val="BBCE9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مکانیکی'!$B$35:$BM$35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0690-4E4C-85D8-15E0702196D5}"/>
            </c:ext>
          </c:extLst>
        </c:ser>
        <c:ser>
          <c:idx val="27"/>
          <c:order val="27"/>
          <c:tx>
            <c:strRef>
              <c:f>'نمودار مکانیکی'!$A$36</c:f>
              <c:strCache>
                <c:ptCount val="1"/>
                <c:pt idx="0">
                  <c:v>برجهای خنک کننده</c:v>
                </c:pt>
              </c:strCache>
            </c:strRef>
          </c:tx>
          <c:spPr>
            <a:ln w="47520">
              <a:solidFill>
                <a:srgbClr val="AFA2C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مکانیکی'!$B$36:$BM$36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0690-4E4C-85D8-15E0702196D5}"/>
            </c:ext>
          </c:extLst>
        </c:ser>
        <c:ser>
          <c:idx val="28"/>
          <c:order val="28"/>
          <c:tx>
            <c:strRef>
              <c:f>'نمودار مکانیکی'!$A$37</c:f>
              <c:strCache>
                <c:ptCount val="1"/>
                <c:pt idx="0">
                  <c:v>لوازم بهداشتی ، شیرآلات بهداشتی</c:v>
                </c:pt>
              </c:strCache>
            </c:strRef>
          </c:tx>
          <c:spPr>
            <a:ln w="47520">
              <a:solidFill>
                <a:srgbClr val="9AC5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مکانیکی'!$B$37:$BM$37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0690-4E4C-85D8-15E0702196D5}"/>
            </c:ext>
          </c:extLst>
        </c:ser>
        <c:ser>
          <c:idx val="29"/>
          <c:order val="29"/>
          <c:tx>
            <c:strRef>
              <c:f>'نمودار مکانیکی'!$A$38</c:f>
              <c:strCache>
                <c:ptCount val="1"/>
                <c:pt idx="0">
                  <c:v>وسایل آتش نشانی</c:v>
                </c:pt>
              </c:strCache>
            </c:strRef>
          </c:tx>
          <c:spPr>
            <a:ln w="47520">
              <a:solidFill>
                <a:srgbClr val="F5B79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مکانیکی'!$B$38:$BM$38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0690-4E4C-85D8-15E0702196D5}"/>
            </c:ext>
          </c:extLst>
        </c:ser>
        <c:ser>
          <c:idx val="30"/>
          <c:order val="30"/>
          <c:tx>
            <c:strRef>
              <c:f>'نمودار مکانیکی'!$A$39</c:f>
              <c:strCache>
                <c:ptCount val="1"/>
                <c:pt idx="0">
                  <c:v>لوازم آشپزخانه</c:v>
                </c:pt>
              </c:strCache>
            </c:strRef>
          </c:tx>
          <c:spPr>
            <a:ln w="47520">
              <a:solidFill>
                <a:srgbClr val="BCC7D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مکانیکی'!$B$39:$BM$39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0690-4E4C-85D8-15E0702196D5}"/>
            </c:ext>
          </c:extLst>
        </c:ser>
        <c:ser>
          <c:idx val="31"/>
          <c:order val="31"/>
          <c:tx>
            <c:strRef>
              <c:f>'نمودار مکانیکی'!$A$40</c:f>
              <c:strCache>
                <c:ptCount val="1"/>
                <c:pt idx="0">
                  <c:v>سختی گیر</c:v>
                </c:pt>
              </c:strCache>
            </c:strRef>
          </c:tx>
          <c:spPr>
            <a:ln w="47520">
              <a:solidFill>
                <a:srgbClr val="DEBC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مکانیکی'!$B$40:$BM$40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0690-4E4C-85D8-15E0702196D5}"/>
            </c:ext>
          </c:extLst>
        </c:ser>
        <c:ser>
          <c:idx val="32"/>
          <c:order val="32"/>
          <c:tx>
            <c:strRef>
              <c:f>'نمودار مکانیکی'!$A$41</c:f>
              <c:strCache>
                <c:ptCount val="1"/>
                <c:pt idx="0">
                  <c:v>منابع و مبدلها</c:v>
                </c:pt>
              </c:strCache>
            </c:strRef>
          </c:tx>
          <c:spPr>
            <a:ln w="47520">
              <a:solidFill>
                <a:srgbClr val="CFDC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مکانیکی'!$B$41:$BM$41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0690-4E4C-85D8-15E0702196D5}"/>
            </c:ext>
          </c:extLst>
        </c:ser>
        <c:ser>
          <c:idx val="33"/>
          <c:order val="33"/>
          <c:tx>
            <c:strRef>
              <c:f>'نمودار مکانیکی'!$A$42</c:f>
              <c:strCache>
                <c:ptCount val="1"/>
                <c:pt idx="0">
                  <c:v>بستها ، تکیه گاهها ، دودکش</c:v>
                </c:pt>
              </c:strCache>
            </c:strRef>
          </c:tx>
          <c:spPr>
            <a:ln w="47520">
              <a:solidFill>
                <a:srgbClr val="C7C0D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مکانیکی'!$B$42:$BM$42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0690-4E4C-85D8-15E0702196D5}"/>
            </c:ext>
          </c:extLst>
        </c:ser>
        <c:ser>
          <c:idx val="34"/>
          <c:order val="34"/>
          <c:tx>
            <c:strRef>
              <c:f>'نمودار مکانیکی'!$A$43</c:f>
              <c:strCache>
                <c:ptCount val="1"/>
                <c:pt idx="0">
                  <c:v>کارهای دستمزدی</c:v>
                </c:pt>
              </c:strCache>
            </c:strRef>
          </c:tx>
          <c:spPr>
            <a:ln w="47520">
              <a:solidFill>
                <a:srgbClr val="BBD5D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مکانیکی'!$B$8:$BM$8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مکانیکی'!$B$43:$BM$43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0690-4E4C-85D8-15E070219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1441340"/>
        <c:axId val="32333138"/>
      </c:lineChart>
      <c:catAx>
        <c:axId val="314413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2333138"/>
        <c:crosses val="autoZero"/>
        <c:auto val="1"/>
        <c:lblAlgn val="ctr"/>
        <c:lblOffset val="100"/>
        <c:noMultiLvlLbl val="0"/>
      </c:catAx>
      <c:valAx>
        <c:axId val="32333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144134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تاسیسات برقی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تاسیسات برقی'!$A$9</c:f>
              <c:strCache>
                <c:ptCount val="1"/>
                <c:pt idx="0">
                  <c:v>چراغ های فلورسنت</c:v>
                </c:pt>
              </c:strCache>
            </c:strRef>
          </c:tx>
          <c:spPr>
            <a:ln w="47520">
              <a:solidFill>
                <a:srgbClr val="365C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برقی'!$B$9:$BM$9</c:f>
              <c:numCache>
                <c:formatCode>#,##0.00</c:formatCode>
                <c:ptCount val="64"/>
                <c:pt idx="0">
                  <c:v>219</c:v>
                </c:pt>
                <c:pt idx="1">
                  <c:v>219.3</c:v>
                </c:pt>
                <c:pt idx="2">
                  <c:v>219.8</c:v>
                </c:pt>
                <c:pt idx="3">
                  <c:v>249.5</c:v>
                </c:pt>
                <c:pt idx="4">
                  <c:v>287.89999999999998</c:v>
                </c:pt>
                <c:pt idx="5">
                  <c:v>334.4</c:v>
                </c:pt>
                <c:pt idx="6">
                  <c:v>348.6</c:v>
                </c:pt>
                <c:pt idx="7">
                  <c:v>349.3</c:v>
                </c:pt>
                <c:pt idx="8">
                  <c:v>385.2</c:v>
                </c:pt>
                <c:pt idx="9">
                  <c:v>385.9</c:v>
                </c:pt>
                <c:pt idx="10">
                  <c:v>387.3</c:v>
                </c:pt>
                <c:pt idx="11">
                  <c:v>388.5</c:v>
                </c:pt>
                <c:pt idx="12">
                  <c:v>429.3</c:v>
                </c:pt>
                <c:pt idx="13">
                  <c:v>430.2</c:v>
                </c:pt>
                <c:pt idx="14">
                  <c:v>431.4</c:v>
                </c:pt>
                <c:pt idx="15">
                  <c:v>432</c:v>
                </c:pt>
                <c:pt idx="16">
                  <c:v>449.9</c:v>
                </c:pt>
                <c:pt idx="17">
                  <c:v>450.5</c:v>
                </c:pt>
                <c:pt idx="18">
                  <c:v>457</c:v>
                </c:pt>
                <c:pt idx="19">
                  <c:v>457.5</c:v>
                </c:pt>
                <c:pt idx="20">
                  <c:v>461.9</c:v>
                </c:pt>
                <c:pt idx="21">
                  <c:v>462.6</c:v>
                </c:pt>
                <c:pt idx="22">
                  <c:v>508.4</c:v>
                </c:pt>
                <c:pt idx="23">
                  <c:v>508.9</c:v>
                </c:pt>
                <c:pt idx="24">
                  <c:v>563.29999999999995</c:v>
                </c:pt>
                <c:pt idx="25">
                  <c:v>559.5</c:v>
                </c:pt>
                <c:pt idx="26">
                  <c:v>560.20000000000005</c:v>
                </c:pt>
                <c:pt idx="27">
                  <c:v>601</c:v>
                </c:pt>
                <c:pt idx="28">
                  <c:v>733.7</c:v>
                </c:pt>
                <c:pt idx="29">
                  <c:v>760.6</c:v>
                </c:pt>
                <c:pt idx="30">
                  <c:v>887.1</c:v>
                </c:pt>
                <c:pt idx="31">
                  <c:v>924.4</c:v>
                </c:pt>
                <c:pt idx="32">
                  <c:v>936.9</c:v>
                </c:pt>
                <c:pt idx="33">
                  <c:v>992.5</c:v>
                </c:pt>
                <c:pt idx="34">
                  <c:v>1082.5</c:v>
                </c:pt>
                <c:pt idx="35">
                  <c:v>1150.0999999999999</c:v>
                </c:pt>
                <c:pt idx="36">
                  <c:v>1163</c:v>
                </c:pt>
                <c:pt idx="37">
                  <c:v>1192.3</c:v>
                </c:pt>
                <c:pt idx="38">
                  <c:v>1400.6</c:v>
                </c:pt>
                <c:pt idx="39">
                  <c:v>1604.3</c:v>
                </c:pt>
                <c:pt idx="40">
                  <c:v>1668.2</c:v>
                </c:pt>
                <c:pt idx="41">
                  <c:v>1849.3</c:v>
                </c:pt>
                <c:pt idx="42">
                  <c:v>1998</c:v>
                </c:pt>
                <c:pt idx="43">
                  <c:v>2108.9</c:v>
                </c:pt>
                <c:pt idx="44">
                  <c:v>2392.6999999999998</c:v>
                </c:pt>
                <c:pt idx="45">
                  <c:v>2505</c:v>
                </c:pt>
                <c:pt idx="46">
                  <c:v>2526.8000000000002</c:v>
                </c:pt>
                <c:pt idx="47">
                  <c:v>2607.9</c:v>
                </c:pt>
                <c:pt idx="48">
                  <c:v>2812.4</c:v>
                </c:pt>
                <c:pt idx="49">
                  <c:v>2951.3</c:v>
                </c:pt>
                <c:pt idx="50">
                  <c:v>3292.7</c:v>
                </c:pt>
                <c:pt idx="51">
                  <c:v>3546.4</c:v>
                </c:pt>
                <c:pt idx="52">
                  <c:v>3781.8</c:v>
                </c:pt>
                <c:pt idx="53">
                  <c:v>4017.1</c:v>
                </c:pt>
                <c:pt idx="54">
                  <c:v>4336.3</c:v>
                </c:pt>
                <c:pt idx="55">
                  <c:v>4356.5</c:v>
                </c:pt>
                <c:pt idx="56">
                  <c:v>4571.7</c:v>
                </c:pt>
                <c:pt idx="57">
                  <c:v>4582.8</c:v>
                </c:pt>
                <c:pt idx="58">
                  <c:v>5125.3999999999996</c:v>
                </c:pt>
                <c:pt idx="59">
                  <c:v>5153</c:v>
                </c:pt>
                <c:pt idx="60">
                  <c:v>5627.7</c:v>
                </c:pt>
                <c:pt idx="61">
                  <c:v>6114.8</c:v>
                </c:pt>
                <c:pt idx="62">
                  <c:v>6125.4</c:v>
                </c:pt>
                <c:pt idx="63">
                  <c:v>6644.9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69-4A19-9AD9-86293FF0D3B1}"/>
            </c:ext>
          </c:extLst>
        </c:ser>
        <c:ser>
          <c:idx val="1"/>
          <c:order val="1"/>
          <c:tx>
            <c:strRef>
              <c:f>'نمودار تاسیسات برقی'!$A$10</c:f>
              <c:strCache>
                <c:ptCount val="1"/>
                <c:pt idx="0">
                  <c:v>چراغ ها با لامپهای کم مصرف</c:v>
                </c:pt>
              </c:strCache>
            </c:strRef>
          </c:tx>
          <c:spPr>
            <a:ln w="47520">
              <a:solidFill>
                <a:srgbClr val="8C37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برقی'!$B$10:$BM$10</c:f>
              <c:numCache>
                <c:formatCode>#,##0.00</c:formatCode>
                <c:ptCount val="64"/>
                <c:pt idx="0">
                  <c:v>268.3</c:v>
                </c:pt>
                <c:pt idx="1">
                  <c:v>269.3</c:v>
                </c:pt>
                <c:pt idx="2">
                  <c:v>271.10000000000002</c:v>
                </c:pt>
                <c:pt idx="3">
                  <c:v>296.7</c:v>
                </c:pt>
                <c:pt idx="4">
                  <c:v>358.4</c:v>
                </c:pt>
                <c:pt idx="5">
                  <c:v>397.7</c:v>
                </c:pt>
                <c:pt idx="6">
                  <c:v>469.7</c:v>
                </c:pt>
                <c:pt idx="7">
                  <c:v>471.8</c:v>
                </c:pt>
                <c:pt idx="8">
                  <c:v>522.1</c:v>
                </c:pt>
                <c:pt idx="9">
                  <c:v>524.70000000000005</c:v>
                </c:pt>
                <c:pt idx="10">
                  <c:v>530.20000000000005</c:v>
                </c:pt>
                <c:pt idx="11">
                  <c:v>535.1</c:v>
                </c:pt>
                <c:pt idx="12">
                  <c:v>597.70000000000005</c:v>
                </c:pt>
                <c:pt idx="13">
                  <c:v>600.79999999999995</c:v>
                </c:pt>
                <c:pt idx="14">
                  <c:v>604</c:v>
                </c:pt>
                <c:pt idx="15">
                  <c:v>606.9</c:v>
                </c:pt>
                <c:pt idx="16">
                  <c:v>642.20000000000005</c:v>
                </c:pt>
                <c:pt idx="17">
                  <c:v>644.1</c:v>
                </c:pt>
                <c:pt idx="18">
                  <c:v>646.1</c:v>
                </c:pt>
                <c:pt idx="19">
                  <c:v>648</c:v>
                </c:pt>
                <c:pt idx="20">
                  <c:v>666.9</c:v>
                </c:pt>
                <c:pt idx="21">
                  <c:v>669.1</c:v>
                </c:pt>
                <c:pt idx="22">
                  <c:v>701.1</c:v>
                </c:pt>
                <c:pt idx="23">
                  <c:v>703.2</c:v>
                </c:pt>
                <c:pt idx="24">
                  <c:v>747.6</c:v>
                </c:pt>
                <c:pt idx="25">
                  <c:v>773.4</c:v>
                </c:pt>
                <c:pt idx="26">
                  <c:v>771.2</c:v>
                </c:pt>
                <c:pt idx="27">
                  <c:v>787.5</c:v>
                </c:pt>
                <c:pt idx="28">
                  <c:v>948.3</c:v>
                </c:pt>
                <c:pt idx="29">
                  <c:v>984.1</c:v>
                </c:pt>
                <c:pt idx="30">
                  <c:v>1104.4000000000001</c:v>
                </c:pt>
                <c:pt idx="31">
                  <c:v>1140.9000000000001</c:v>
                </c:pt>
                <c:pt idx="32">
                  <c:v>1156.9000000000001</c:v>
                </c:pt>
                <c:pt idx="33">
                  <c:v>1214.8</c:v>
                </c:pt>
                <c:pt idx="34">
                  <c:v>1366.1</c:v>
                </c:pt>
                <c:pt idx="35">
                  <c:v>1462.2</c:v>
                </c:pt>
                <c:pt idx="36">
                  <c:v>1467.1</c:v>
                </c:pt>
                <c:pt idx="37">
                  <c:v>1491.6</c:v>
                </c:pt>
                <c:pt idx="38">
                  <c:v>1731.9</c:v>
                </c:pt>
                <c:pt idx="39">
                  <c:v>2002.5</c:v>
                </c:pt>
                <c:pt idx="40">
                  <c:v>2159.5</c:v>
                </c:pt>
                <c:pt idx="41">
                  <c:v>2338.4</c:v>
                </c:pt>
                <c:pt idx="42">
                  <c:v>2394.3000000000002</c:v>
                </c:pt>
                <c:pt idx="43">
                  <c:v>2566</c:v>
                </c:pt>
                <c:pt idx="44">
                  <c:v>2995.4</c:v>
                </c:pt>
                <c:pt idx="45">
                  <c:v>3132.9</c:v>
                </c:pt>
                <c:pt idx="46">
                  <c:v>3153.4</c:v>
                </c:pt>
                <c:pt idx="47">
                  <c:v>3232.1</c:v>
                </c:pt>
                <c:pt idx="48">
                  <c:v>3630.9</c:v>
                </c:pt>
                <c:pt idx="49">
                  <c:v>3729.3</c:v>
                </c:pt>
                <c:pt idx="50">
                  <c:v>4188.3</c:v>
                </c:pt>
                <c:pt idx="51">
                  <c:v>4468.8</c:v>
                </c:pt>
                <c:pt idx="52">
                  <c:v>4695.8</c:v>
                </c:pt>
                <c:pt idx="53">
                  <c:v>4908.3</c:v>
                </c:pt>
                <c:pt idx="54">
                  <c:v>5461</c:v>
                </c:pt>
                <c:pt idx="55">
                  <c:v>5516.7</c:v>
                </c:pt>
                <c:pt idx="56">
                  <c:v>5669.3</c:v>
                </c:pt>
                <c:pt idx="57">
                  <c:v>5713.6</c:v>
                </c:pt>
                <c:pt idx="58">
                  <c:v>6525.5</c:v>
                </c:pt>
                <c:pt idx="59">
                  <c:v>6614.7</c:v>
                </c:pt>
                <c:pt idx="60">
                  <c:v>7036.6</c:v>
                </c:pt>
                <c:pt idx="61">
                  <c:v>7615.9</c:v>
                </c:pt>
                <c:pt idx="62">
                  <c:v>7636.4</c:v>
                </c:pt>
                <c:pt idx="63">
                  <c:v>8325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69-4A19-9AD9-86293FF0D3B1}"/>
            </c:ext>
          </c:extLst>
        </c:ser>
        <c:ser>
          <c:idx val="2"/>
          <c:order val="2"/>
          <c:tx>
            <c:strRef>
              <c:f>'نمودار تاسیسات برقی'!$A$11</c:f>
              <c:strCache>
                <c:ptCount val="1"/>
                <c:pt idx="0">
                  <c:v>چراغ های صنعتی</c:v>
                </c:pt>
              </c:strCache>
            </c:strRef>
          </c:tx>
          <c:spPr>
            <a:ln w="47520">
              <a:solidFill>
                <a:srgbClr val="7088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برقی'!$B$11:$BM$11</c:f>
              <c:numCache>
                <c:formatCode>#,##0.00</c:formatCode>
                <c:ptCount val="64"/>
                <c:pt idx="0">
                  <c:v>253.6</c:v>
                </c:pt>
                <c:pt idx="1">
                  <c:v>254.1</c:v>
                </c:pt>
                <c:pt idx="2">
                  <c:v>254.7</c:v>
                </c:pt>
                <c:pt idx="3">
                  <c:v>288.10000000000002</c:v>
                </c:pt>
                <c:pt idx="4">
                  <c:v>350</c:v>
                </c:pt>
                <c:pt idx="5">
                  <c:v>398.3</c:v>
                </c:pt>
                <c:pt idx="6">
                  <c:v>411.6</c:v>
                </c:pt>
                <c:pt idx="7">
                  <c:v>412.5</c:v>
                </c:pt>
                <c:pt idx="8">
                  <c:v>455.3</c:v>
                </c:pt>
                <c:pt idx="9">
                  <c:v>456.4</c:v>
                </c:pt>
                <c:pt idx="10">
                  <c:v>458.4</c:v>
                </c:pt>
                <c:pt idx="11">
                  <c:v>460.3</c:v>
                </c:pt>
                <c:pt idx="12">
                  <c:v>525.1</c:v>
                </c:pt>
                <c:pt idx="13">
                  <c:v>526.4</c:v>
                </c:pt>
                <c:pt idx="14">
                  <c:v>512.20000000000005</c:v>
                </c:pt>
                <c:pt idx="15">
                  <c:v>513.20000000000005</c:v>
                </c:pt>
                <c:pt idx="16">
                  <c:v>536.6</c:v>
                </c:pt>
                <c:pt idx="17">
                  <c:v>537.5</c:v>
                </c:pt>
                <c:pt idx="18">
                  <c:v>539.79999999999995</c:v>
                </c:pt>
                <c:pt idx="19">
                  <c:v>540.4</c:v>
                </c:pt>
                <c:pt idx="20">
                  <c:v>561</c:v>
                </c:pt>
                <c:pt idx="21">
                  <c:v>561.9</c:v>
                </c:pt>
                <c:pt idx="22">
                  <c:v>591.6</c:v>
                </c:pt>
                <c:pt idx="23">
                  <c:v>592.29999999999995</c:v>
                </c:pt>
                <c:pt idx="24">
                  <c:v>625.1</c:v>
                </c:pt>
                <c:pt idx="25">
                  <c:v>651.4</c:v>
                </c:pt>
                <c:pt idx="26">
                  <c:v>652.29999999999995</c:v>
                </c:pt>
                <c:pt idx="27">
                  <c:v>678.2</c:v>
                </c:pt>
                <c:pt idx="28">
                  <c:v>849.3</c:v>
                </c:pt>
                <c:pt idx="29">
                  <c:v>934.2</c:v>
                </c:pt>
                <c:pt idx="30">
                  <c:v>1044.8</c:v>
                </c:pt>
                <c:pt idx="31">
                  <c:v>1091</c:v>
                </c:pt>
                <c:pt idx="32">
                  <c:v>1162.5999999999999</c:v>
                </c:pt>
                <c:pt idx="33">
                  <c:v>1280.8</c:v>
                </c:pt>
                <c:pt idx="34">
                  <c:v>1376.6</c:v>
                </c:pt>
                <c:pt idx="35">
                  <c:v>1486.7</c:v>
                </c:pt>
                <c:pt idx="36">
                  <c:v>1490.6</c:v>
                </c:pt>
                <c:pt idx="37">
                  <c:v>1516.5</c:v>
                </c:pt>
                <c:pt idx="38">
                  <c:v>1753.4</c:v>
                </c:pt>
                <c:pt idx="39">
                  <c:v>1965.9</c:v>
                </c:pt>
                <c:pt idx="40">
                  <c:v>2044.2</c:v>
                </c:pt>
                <c:pt idx="41">
                  <c:v>2304.9</c:v>
                </c:pt>
                <c:pt idx="42">
                  <c:v>2544.1999999999998</c:v>
                </c:pt>
                <c:pt idx="43">
                  <c:v>2335.1999999999998</c:v>
                </c:pt>
                <c:pt idx="44">
                  <c:v>2702.7</c:v>
                </c:pt>
                <c:pt idx="45">
                  <c:v>2826.5</c:v>
                </c:pt>
                <c:pt idx="46">
                  <c:v>2828.7</c:v>
                </c:pt>
                <c:pt idx="47">
                  <c:v>2977.4</c:v>
                </c:pt>
                <c:pt idx="48">
                  <c:v>3208.4</c:v>
                </c:pt>
                <c:pt idx="49">
                  <c:v>3377.1</c:v>
                </c:pt>
                <c:pt idx="50">
                  <c:v>3766.6</c:v>
                </c:pt>
                <c:pt idx="51">
                  <c:v>4055.2</c:v>
                </c:pt>
                <c:pt idx="52">
                  <c:v>4317.1000000000004</c:v>
                </c:pt>
                <c:pt idx="53">
                  <c:v>4585.6000000000004</c:v>
                </c:pt>
                <c:pt idx="54">
                  <c:v>5155.7</c:v>
                </c:pt>
                <c:pt idx="55">
                  <c:v>5184.8</c:v>
                </c:pt>
                <c:pt idx="56">
                  <c:v>5368.5</c:v>
                </c:pt>
                <c:pt idx="57">
                  <c:v>5385.2</c:v>
                </c:pt>
                <c:pt idx="58">
                  <c:v>6001.3</c:v>
                </c:pt>
                <c:pt idx="59">
                  <c:v>6038.8</c:v>
                </c:pt>
                <c:pt idx="60">
                  <c:v>6572.9</c:v>
                </c:pt>
                <c:pt idx="61">
                  <c:v>7116.3</c:v>
                </c:pt>
                <c:pt idx="62">
                  <c:v>7128.1</c:v>
                </c:pt>
                <c:pt idx="63">
                  <c:v>7981.6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469-4A19-9AD9-86293FF0D3B1}"/>
            </c:ext>
          </c:extLst>
        </c:ser>
        <c:ser>
          <c:idx val="3"/>
          <c:order val="3"/>
          <c:tx>
            <c:strRef>
              <c:f>'نمودار تاسیسات برقی'!$A$12</c:f>
              <c:strCache>
                <c:ptCount val="1"/>
                <c:pt idx="0">
                  <c:v>چراغ های فضای ازاد</c:v>
                </c:pt>
              </c:strCache>
            </c:strRef>
          </c:tx>
          <c:spPr>
            <a:ln w="47520">
              <a:solidFill>
                <a:srgbClr val="5B467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برقی'!$B$12:$BM$12</c:f>
              <c:numCache>
                <c:formatCode>#,##0.00</c:formatCode>
                <c:ptCount val="64"/>
                <c:pt idx="0">
                  <c:v>230.8</c:v>
                </c:pt>
                <c:pt idx="1">
                  <c:v>232.1</c:v>
                </c:pt>
                <c:pt idx="2">
                  <c:v>233.8</c:v>
                </c:pt>
                <c:pt idx="3">
                  <c:v>275</c:v>
                </c:pt>
                <c:pt idx="4">
                  <c:v>325.8</c:v>
                </c:pt>
                <c:pt idx="5">
                  <c:v>364.6</c:v>
                </c:pt>
                <c:pt idx="6">
                  <c:v>394.2</c:v>
                </c:pt>
                <c:pt idx="7">
                  <c:v>396.4</c:v>
                </c:pt>
                <c:pt idx="8">
                  <c:v>436.3</c:v>
                </c:pt>
                <c:pt idx="9">
                  <c:v>437.9</c:v>
                </c:pt>
                <c:pt idx="10">
                  <c:v>439.7</c:v>
                </c:pt>
                <c:pt idx="11">
                  <c:v>441.3</c:v>
                </c:pt>
                <c:pt idx="12">
                  <c:v>505.7</c:v>
                </c:pt>
                <c:pt idx="13">
                  <c:v>507.4</c:v>
                </c:pt>
                <c:pt idx="14">
                  <c:v>490</c:v>
                </c:pt>
                <c:pt idx="15">
                  <c:v>490.8</c:v>
                </c:pt>
                <c:pt idx="16">
                  <c:v>512.20000000000005</c:v>
                </c:pt>
                <c:pt idx="17">
                  <c:v>513</c:v>
                </c:pt>
                <c:pt idx="18">
                  <c:v>519</c:v>
                </c:pt>
                <c:pt idx="19">
                  <c:v>519.29999999999995</c:v>
                </c:pt>
                <c:pt idx="20">
                  <c:v>537.9</c:v>
                </c:pt>
                <c:pt idx="21">
                  <c:v>539</c:v>
                </c:pt>
                <c:pt idx="22">
                  <c:v>578.70000000000005</c:v>
                </c:pt>
                <c:pt idx="23">
                  <c:v>579.5</c:v>
                </c:pt>
                <c:pt idx="24">
                  <c:v>610.4</c:v>
                </c:pt>
                <c:pt idx="25">
                  <c:v>635.29999999999995</c:v>
                </c:pt>
                <c:pt idx="26">
                  <c:v>661.2</c:v>
                </c:pt>
                <c:pt idx="27">
                  <c:v>700.5</c:v>
                </c:pt>
                <c:pt idx="28">
                  <c:v>862.2</c:v>
                </c:pt>
                <c:pt idx="29">
                  <c:v>943.7</c:v>
                </c:pt>
                <c:pt idx="30">
                  <c:v>1008</c:v>
                </c:pt>
                <c:pt idx="31">
                  <c:v>1076.5999999999999</c:v>
                </c:pt>
                <c:pt idx="32">
                  <c:v>1091.0999999999999</c:v>
                </c:pt>
                <c:pt idx="33">
                  <c:v>1157.7</c:v>
                </c:pt>
                <c:pt idx="34">
                  <c:v>1254.4000000000001</c:v>
                </c:pt>
                <c:pt idx="35">
                  <c:v>1324.5</c:v>
                </c:pt>
                <c:pt idx="36">
                  <c:v>1334.6</c:v>
                </c:pt>
                <c:pt idx="37">
                  <c:v>1372.9</c:v>
                </c:pt>
                <c:pt idx="38">
                  <c:v>1554.9</c:v>
                </c:pt>
                <c:pt idx="39">
                  <c:v>1748.3</c:v>
                </c:pt>
                <c:pt idx="40">
                  <c:v>1857.3</c:v>
                </c:pt>
                <c:pt idx="41">
                  <c:v>2077.1</c:v>
                </c:pt>
                <c:pt idx="42">
                  <c:v>2040.1</c:v>
                </c:pt>
                <c:pt idx="43">
                  <c:v>2050.8000000000002</c:v>
                </c:pt>
                <c:pt idx="44">
                  <c:v>2373.8000000000002</c:v>
                </c:pt>
                <c:pt idx="45">
                  <c:v>2496.3000000000002</c:v>
                </c:pt>
                <c:pt idx="46">
                  <c:v>2502.1999999999998</c:v>
                </c:pt>
                <c:pt idx="47">
                  <c:v>2635.2</c:v>
                </c:pt>
                <c:pt idx="48">
                  <c:v>2859.6</c:v>
                </c:pt>
                <c:pt idx="49">
                  <c:v>3028.9</c:v>
                </c:pt>
                <c:pt idx="50">
                  <c:v>3361.4</c:v>
                </c:pt>
                <c:pt idx="51">
                  <c:v>3620.2</c:v>
                </c:pt>
                <c:pt idx="52">
                  <c:v>3781.7</c:v>
                </c:pt>
                <c:pt idx="53">
                  <c:v>4035.2</c:v>
                </c:pt>
                <c:pt idx="54">
                  <c:v>4448.8999999999996</c:v>
                </c:pt>
                <c:pt idx="55">
                  <c:v>4494.3</c:v>
                </c:pt>
                <c:pt idx="56">
                  <c:v>4646.8999999999996</c:v>
                </c:pt>
                <c:pt idx="57">
                  <c:v>4674.7</c:v>
                </c:pt>
                <c:pt idx="58">
                  <c:v>5280.4</c:v>
                </c:pt>
                <c:pt idx="59">
                  <c:v>5341.5</c:v>
                </c:pt>
                <c:pt idx="60">
                  <c:v>5761.3</c:v>
                </c:pt>
                <c:pt idx="61">
                  <c:v>6248</c:v>
                </c:pt>
                <c:pt idx="62">
                  <c:v>6269.5</c:v>
                </c:pt>
                <c:pt idx="63">
                  <c:v>6731.1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469-4A19-9AD9-86293FF0D3B1}"/>
            </c:ext>
          </c:extLst>
        </c:ser>
        <c:ser>
          <c:idx val="4"/>
          <c:order val="4"/>
          <c:tx>
            <c:strRef>
              <c:f>'نمودار تاسیسات برقی'!$A$13</c:f>
              <c:strCache>
                <c:ptCount val="1"/>
                <c:pt idx="0">
                  <c:v>چراغ های مخصوص</c:v>
                </c:pt>
              </c:strCache>
            </c:strRef>
          </c:tx>
          <c:spPr>
            <a:ln w="47520">
              <a:solidFill>
                <a:srgbClr val="337D9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برقی'!$B$13:$BM$13</c:f>
              <c:numCache>
                <c:formatCode>#,##0.00</c:formatCode>
                <c:ptCount val="64"/>
                <c:pt idx="0">
                  <c:v>238.1</c:v>
                </c:pt>
                <c:pt idx="1">
                  <c:v>238.6</c:v>
                </c:pt>
                <c:pt idx="2">
                  <c:v>239.1</c:v>
                </c:pt>
                <c:pt idx="3">
                  <c:v>275.60000000000002</c:v>
                </c:pt>
                <c:pt idx="4">
                  <c:v>330.8</c:v>
                </c:pt>
                <c:pt idx="5">
                  <c:v>391.8</c:v>
                </c:pt>
                <c:pt idx="6">
                  <c:v>396.3</c:v>
                </c:pt>
                <c:pt idx="7">
                  <c:v>409.8</c:v>
                </c:pt>
                <c:pt idx="8">
                  <c:v>451.2</c:v>
                </c:pt>
                <c:pt idx="9">
                  <c:v>451.9</c:v>
                </c:pt>
                <c:pt idx="10">
                  <c:v>453.2</c:v>
                </c:pt>
                <c:pt idx="11">
                  <c:v>454.1</c:v>
                </c:pt>
                <c:pt idx="12">
                  <c:v>521.70000000000005</c:v>
                </c:pt>
                <c:pt idx="13">
                  <c:v>522.5</c:v>
                </c:pt>
                <c:pt idx="14">
                  <c:v>502.3</c:v>
                </c:pt>
                <c:pt idx="15">
                  <c:v>502.7</c:v>
                </c:pt>
                <c:pt idx="16">
                  <c:v>522.4</c:v>
                </c:pt>
                <c:pt idx="17">
                  <c:v>522.9</c:v>
                </c:pt>
                <c:pt idx="18">
                  <c:v>525.70000000000005</c:v>
                </c:pt>
                <c:pt idx="19">
                  <c:v>526</c:v>
                </c:pt>
                <c:pt idx="20">
                  <c:v>553.29999999999995</c:v>
                </c:pt>
                <c:pt idx="21">
                  <c:v>553.9</c:v>
                </c:pt>
                <c:pt idx="22">
                  <c:v>556.70000000000005</c:v>
                </c:pt>
                <c:pt idx="23">
                  <c:v>557</c:v>
                </c:pt>
                <c:pt idx="24">
                  <c:v>586.20000000000005</c:v>
                </c:pt>
                <c:pt idx="25">
                  <c:v>612.20000000000005</c:v>
                </c:pt>
                <c:pt idx="26">
                  <c:v>643.20000000000005</c:v>
                </c:pt>
                <c:pt idx="27">
                  <c:v>684.1</c:v>
                </c:pt>
                <c:pt idx="28">
                  <c:v>886.3</c:v>
                </c:pt>
                <c:pt idx="29">
                  <c:v>965.4</c:v>
                </c:pt>
                <c:pt idx="30">
                  <c:v>1042.5</c:v>
                </c:pt>
                <c:pt idx="31">
                  <c:v>1118.5</c:v>
                </c:pt>
                <c:pt idx="32">
                  <c:v>1201.4000000000001</c:v>
                </c:pt>
                <c:pt idx="33">
                  <c:v>1329.5</c:v>
                </c:pt>
                <c:pt idx="34">
                  <c:v>1444</c:v>
                </c:pt>
                <c:pt idx="35">
                  <c:v>1548.5</c:v>
                </c:pt>
                <c:pt idx="36">
                  <c:v>1552.9</c:v>
                </c:pt>
                <c:pt idx="37">
                  <c:v>1593.4</c:v>
                </c:pt>
                <c:pt idx="38">
                  <c:v>1781.4</c:v>
                </c:pt>
                <c:pt idx="39">
                  <c:v>2056.3000000000002</c:v>
                </c:pt>
                <c:pt idx="40">
                  <c:v>2159.4</c:v>
                </c:pt>
                <c:pt idx="41">
                  <c:v>2524.9</c:v>
                </c:pt>
                <c:pt idx="42">
                  <c:v>2452.1</c:v>
                </c:pt>
                <c:pt idx="43">
                  <c:v>2513.3000000000002</c:v>
                </c:pt>
                <c:pt idx="44">
                  <c:v>2866.3</c:v>
                </c:pt>
                <c:pt idx="45">
                  <c:v>2976.8</c:v>
                </c:pt>
                <c:pt idx="46">
                  <c:v>3143.7</c:v>
                </c:pt>
                <c:pt idx="47">
                  <c:v>3219.6</c:v>
                </c:pt>
                <c:pt idx="48">
                  <c:v>3492.2</c:v>
                </c:pt>
                <c:pt idx="49">
                  <c:v>3718.3</c:v>
                </c:pt>
                <c:pt idx="50">
                  <c:v>4055.4</c:v>
                </c:pt>
                <c:pt idx="51">
                  <c:v>4371.3</c:v>
                </c:pt>
                <c:pt idx="52">
                  <c:v>4580</c:v>
                </c:pt>
                <c:pt idx="53">
                  <c:v>4967.2</c:v>
                </c:pt>
                <c:pt idx="54">
                  <c:v>5684.4</c:v>
                </c:pt>
                <c:pt idx="55">
                  <c:v>5705</c:v>
                </c:pt>
                <c:pt idx="56">
                  <c:v>5588.5</c:v>
                </c:pt>
                <c:pt idx="57">
                  <c:v>5599.9</c:v>
                </c:pt>
                <c:pt idx="58">
                  <c:v>6323.5</c:v>
                </c:pt>
                <c:pt idx="59">
                  <c:v>6351</c:v>
                </c:pt>
                <c:pt idx="60">
                  <c:v>6765.4</c:v>
                </c:pt>
                <c:pt idx="61">
                  <c:v>7504.5</c:v>
                </c:pt>
                <c:pt idx="62">
                  <c:v>7515.2</c:v>
                </c:pt>
                <c:pt idx="63">
                  <c:v>8291.2000000000007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469-4A19-9AD9-86293FF0D3B1}"/>
            </c:ext>
          </c:extLst>
        </c:ser>
        <c:ser>
          <c:idx val="5"/>
          <c:order val="5"/>
          <c:tx>
            <c:strRef>
              <c:f>'نمودار تاسیسات برقی'!$A$14</c:f>
              <c:strCache>
                <c:ptCount val="1"/>
                <c:pt idx="0">
                  <c:v>سیم ها</c:v>
                </c:pt>
              </c:strCache>
            </c:strRef>
          </c:tx>
          <c:spPr>
            <a:ln w="47520">
              <a:solidFill>
                <a:srgbClr val="B46B2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469-4A19-9AD9-86293FF0D3B1}"/>
            </c:ext>
          </c:extLst>
        </c:ser>
        <c:ser>
          <c:idx val="6"/>
          <c:order val="6"/>
          <c:tx>
            <c:strRef>
              <c:f>'نمودار تاسیسات برقی'!$A$15</c:f>
              <c:strCache>
                <c:ptCount val="1"/>
                <c:pt idx="0">
                  <c:v>کابلهای فشار ضعیف</c:v>
                </c:pt>
              </c:strCache>
            </c:strRef>
          </c:tx>
          <c:spPr>
            <a:ln w="47520">
              <a:solidFill>
                <a:srgbClr val="3F6B9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برقی'!$B$15:$BM$15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469-4A19-9AD9-86293FF0D3B1}"/>
            </c:ext>
          </c:extLst>
        </c:ser>
        <c:ser>
          <c:idx val="7"/>
          <c:order val="7"/>
          <c:tx>
            <c:strRef>
              <c:f>'نمودار تاسیسات برقی'!$A$16</c:f>
              <c:strCache>
                <c:ptCount val="1"/>
                <c:pt idx="0">
                  <c:v>کابلشوها</c:v>
                </c:pt>
              </c:strCache>
            </c:strRef>
          </c:tx>
          <c:spPr>
            <a:ln w="47520">
              <a:solidFill>
                <a:srgbClr val="A240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469-4A19-9AD9-86293FF0D3B1}"/>
            </c:ext>
          </c:extLst>
        </c:ser>
        <c:ser>
          <c:idx val="8"/>
          <c:order val="8"/>
          <c:tx>
            <c:strRef>
              <c:f>'نمودار تاسیسات برقی'!$A$17</c:f>
              <c:strCache>
                <c:ptCount val="1"/>
                <c:pt idx="0">
                  <c:v>کابلهای فشار متوسط</c:v>
                </c:pt>
              </c:strCache>
            </c:strRef>
          </c:tx>
          <c:spPr>
            <a:ln w="47520">
              <a:solidFill>
                <a:srgbClr val="829E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469-4A19-9AD9-86293FF0D3B1}"/>
            </c:ext>
          </c:extLst>
        </c:ser>
        <c:ser>
          <c:idx val="9"/>
          <c:order val="9"/>
          <c:tx>
            <c:strRef>
              <c:f>'نمودار تاسیسات برقی'!$A$18</c:f>
              <c:strCache>
                <c:ptCount val="1"/>
                <c:pt idx="0">
                  <c:v>سرکابلها و مفصلها</c:v>
                </c:pt>
              </c:strCache>
            </c:strRef>
          </c:tx>
          <c:spPr>
            <a:ln w="47520">
              <a:solidFill>
                <a:srgbClr val="6A528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469-4A19-9AD9-86293FF0D3B1}"/>
            </c:ext>
          </c:extLst>
        </c:ser>
        <c:ser>
          <c:idx val="10"/>
          <c:order val="10"/>
          <c:tx>
            <c:strRef>
              <c:f>'نمودار تاسیسات برقی'!$A$19</c:f>
              <c:strCache>
                <c:ptCount val="1"/>
                <c:pt idx="0">
                  <c:v>کلید پریز</c:v>
                </c:pt>
              </c:strCache>
            </c:strRef>
          </c:tx>
          <c:spPr>
            <a:ln w="47520">
              <a:solidFill>
                <a:srgbClr val="3B90A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469-4A19-9AD9-86293FF0D3B1}"/>
            </c:ext>
          </c:extLst>
        </c:ser>
        <c:ser>
          <c:idx val="11"/>
          <c:order val="11"/>
          <c:tx>
            <c:strRef>
              <c:f>'نمودار تاسیسات برقی'!$A$20</c:f>
              <c:strCache>
                <c:ptCount val="1"/>
                <c:pt idx="0">
                  <c:v>لوله های فولادی</c:v>
                </c:pt>
              </c:strCache>
            </c:strRef>
          </c:tx>
          <c:spPr>
            <a:ln w="47520">
              <a:solidFill>
                <a:srgbClr val="D27D3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برقی'!$B$20:$BM$20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469-4A19-9AD9-86293FF0D3B1}"/>
            </c:ext>
          </c:extLst>
        </c:ser>
        <c:ser>
          <c:idx val="12"/>
          <c:order val="12"/>
          <c:tx>
            <c:strRef>
              <c:f>'نمودار تاسیسات برقی'!$A$21</c:f>
              <c:strCache>
                <c:ptCount val="1"/>
                <c:pt idx="0">
                  <c:v>لوله های پی وی سی</c:v>
                </c:pt>
              </c:strCache>
            </c:strRef>
          </c:tx>
          <c:spPr>
            <a:ln w="47520">
              <a:solidFill>
                <a:srgbClr val="4678B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برقی'!$B$21:$BM$21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469-4A19-9AD9-86293FF0D3B1}"/>
            </c:ext>
          </c:extLst>
        </c:ser>
        <c:ser>
          <c:idx val="13"/>
          <c:order val="13"/>
          <c:tx>
            <c:strRef>
              <c:f>'نمودار تاسیسات برقی'!$A$22</c:f>
              <c:strCache>
                <c:ptCount val="1"/>
                <c:pt idx="0">
                  <c:v>وسایل فشار ضعیف تابلویی</c:v>
                </c:pt>
              </c:strCache>
            </c:strRef>
          </c:tx>
          <c:spPr>
            <a:ln w="47520">
              <a:solidFill>
                <a:srgbClr val="B547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برقی'!$B$22:$BM$22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469-4A19-9AD9-86293FF0D3B1}"/>
            </c:ext>
          </c:extLst>
        </c:ser>
        <c:ser>
          <c:idx val="14"/>
          <c:order val="14"/>
          <c:tx>
            <c:strRef>
              <c:f>'نمودار تاسیسات برقی'!$A$23</c:f>
              <c:strCache>
                <c:ptCount val="1"/>
                <c:pt idx="0">
                  <c:v>وسایل اندازه گیری</c:v>
                </c:pt>
              </c:strCache>
            </c:strRef>
          </c:tx>
          <c:spPr>
            <a:ln w="47520">
              <a:solidFill>
                <a:srgbClr val="91B05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برقی'!$B$23:$BM$23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469-4A19-9AD9-86293FF0D3B1}"/>
            </c:ext>
          </c:extLst>
        </c:ser>
        <c:ser>
          <c:idx val="15"/>
          <c:order val="15"/>
          <c:tx>
            <c:strRef>
              <c:f>'نمودار تاسیسات برقی'!$A$24</c:f>
              <c:strCache>
                <c:ptCount val="1"/>
                <c:pt idx="0">
                  <c:v>تابلوهای فشار متوسط</c:v>
                </c:pt>
              </c:strCache>
            </c:strRef>
          </c:tx>
          <c:spPr>
            <a:ln w="47520">
              <a:solidFill>
                <a:srgbClr val="775B9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برقی'!$B$24:$BM$24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469-4A19-9AD9-86293FF0D3B1}"/>
            </c:ext>
          </c:extLst>
        </c:ser>
        <c:ser>
          <c:idx val="16"/>
          <c:order val="16"/>
          <c:tx>
            <c:strRef>
              <c:f>'نمودار تاسیسات برقی'!$A$25</c:f>
              <c:strCache>
                <c:ptCount val="1"/>
                <c:pt idx="0">
                  <c:v>مولدهای برق</c:v>
                </c:pt>
              </c:strCache>
            </c:strRef>
          </c:tx>
          <c:spPr>
            <a:ln w="47520">
              <a:solidFill>
                <a:srgbClr val="42A2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برقی'!$B$25:$BM$25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469-4A19-9AD9-86293FF0D3B1}"/>
            </c:ext>
          </c:extLst>
        </c:ser>
        <c:ser>
          <c:idx val="17"/>
          <c:order val="17"/>
          <c:tx>
            <c:strRef>
              <c:f>'نمودار تاسیسات برقی'!$A$26</c:f>
              <c:strCache>
                <c:ptCount val="1"/>
                <c:pt idx="0">
                  <c:v>خازن های صنعتی و منابع تغذیه جریان مستقیم</c:v>
                </c:pt>
              </c:strCache>
            </c:strRef>
          </c:tx>
          <c:spPr>
            <a:ln w="47520">
              <a:solidFill>
                <a:srgbClr val="E98B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برقی'!$B$26:$BM$26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469-4A19-9AD9-86293FF0D3B1}"/>
            </c:ext>
          </c:extLst>
        </c:ser>
        <c:ser>
          <c:idx val="18"/>
          <c:order val="18"/>
          <c:tx>
            <c:strRef>
              <c:f>'نمودار تاسیسات برقی'!$A$27</c:f>
              <c:strCache>
                <c:ptCount val="1"/>
                <c:pt idx="0">
                  <c:v>ترانسفورماتورهای فشار قوی</c:v>
                </c:pt>
              </c:strCache>
            </c:strRef>
          </c:tx>
          <c:spPr>
            <a:ln w="47520">
              <a:solidFill>
                <a:srgbClr val="6E90C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برقی'!$B$27:$BM$27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469-4A19-9AD9-86293FF0D3B1}"/>
            </c:ext>
          </c:extLst>
        </c:ser>
        <c:ser>
          <c:idx val="19"/>
          <c:order val="19"/>
          <c:tx>
            <c:strRef>
              <c:f>'نمودار تاسیسات برقی'!$A$28</c:f>
              <c:strCache>
                <c:ptCount val="1"/>
                <c:pt idx="0">
                  <c:v>وسایل شبکه</c:v>
                </c:pt>
              </c:strCache>
            </c:strRef>
          </c:tx>
          <c:spPr>
            <a:ln w="47520">
              <a:solidFill>
                <a:srgbClr val="C46E6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برقی'!$B$28:$BM$28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469-4A19-9AD9-86293FF0D3B1}"/>
            </c:ext>
          </c:extLst>
        </c:ser>
        <c:ser>
          <c:idx val="20"/>
          <c:order val="20"/>
          <c:tx>
            <c:strRef>
              <c:f>'نمودار تاسیسات برقی'!$A$29</c:f>
              <c:strCache>
                <c:ptCount val="1"/>
                <c:pt idx="0">
                  <c:v>کابلهای تلفن</c:v>
                </c:pt>
              </c:strCache>
            </c:strRef>
          </c:tx>
          <c:spPr>
            <a:ln w="47520">
              <a:solidFill>
                <a:srgbClr val="A5C07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برقی'!$B$29:$BM$29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469-4A19-9AD9-86293FF0D3B1}"/>
            </c:ext>
          </c:extLst>
        </c:ser>
        <c:ser>
          <c:idx val="21"/>
          <c:order val="21"/>
          <c:tx>
            <c:strRef>
              <c:f>'نمودار تاسیسات برقی'!$A$30</c:f>
              <c:strCache>
                <c:ptCount val="1"/>
                <c:pt idx="0">
                  <c:v>وسایل ارتباطی</c:v>
                </c:pt>
              </c:strCache>
            </c:strRef>
          </c:tx>
          <c:spPr>
            <a:ln w="47520">
              <a:solidFill>
                <a:srgbClr val="8F7BA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برقی'!$B$30:$BM$30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469-4A19-9AD9-86293FF0D3B1}"/>
            </c:ext>
          </c:extLst>
        </c:ser>
        <c:ser>
          <c:idx val="22"/>
          <c:order val="22"/>
          <c:tx>
            <c:strRef>
              <c:f>'نمودار تاسیسات برقی'!$A$31</c:f>
              <c:strCache>
                <c:ptCount val="1"/>
                <c:pt idx="0">
                  <c:v>سیستم احضار و در بازکن</c:v>
                </c:pt>
              </c:strCache>
            </c:strRef>
          </c:tx>
          <c:spPr>
            <a:ln w="47520">
              <a:solidFill>
                <a:srgbClr val="6CB2C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برقی'!$B$31:$BM$31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469-4A19-9AD9-86293FF0D3B1}"/>
            </c:ext>
          </c:extLst>
        </c:ser>
        <c:ser>
          <c:idx val="23"/>
          <c:order val="23"/>
          <c:tx>
            <c:strRef>
              <c:f>'نمودار تاسیسات برقی'!$A$32</c:f>
              <c:strCache>
                <c:ptCount val="1"/>
                <c:pt idx="0">
                  <c:v>سیستم آنتن تلوزیون</c:v>
                </c:pt>
              </c:strCache>
            </c:strRef>
          </c:tx>
          <c:spPr>
            <a:ln w="47520">
              <a:solidFill>
                <a:srgbClr val="F49F6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برقی'!$B$32:$BM$32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469-4A19-9AD9-86293FF0D3B1}"/>
            </c:ext>
          </c:extLst>
        </c:ser>
        <c:ser>
          <c:idx val="24"/>
          <c:order val="24"/>
          <c:tx>
            <c:strRef>
              <c:f>'نمودار تاسیسات برقی'!$A$33</c:f>
              <c:strCache>
                <c:ptCount val="1"/>
                <c:pt idx="0">
                  <c:v>سیستم مادر ساعت</c:v>
                </c:pt>
              </c:strCache>
            </c:strRef>
          </c:tx>
          <c:spPr>
            <a:ln w="47520">
              <a:solidFill>
                <a:srgbClr val="9CAF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برقی'!$B$33:$BM$33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469-4A19-9AD9-86293FF0D3B1}"/>
            </c:ext>
          </c:extLst>
        </c:ser>
        <c:ser>
          <c:idx val="25"/>
          <c:order val="25"/>
          <c:tx>
            <c:strRef>
              <c:f>'نمودار تاسیسات برقی'!$A$34</c:f>
              <c:strCache>
                <c:ptCount val="1"/>
                <c:pt idx="0">
                  <c:v>وسایل اعلام و اطفای حریق</c:v>
                </c:pt>
              </c:strCache>
            </c:strRef>
          </c:tx>
          <c:spPr>
            <a:ln w="47520">
              <a:solidFill>
                <a:srgbClr val="D19C9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برقی'!$B$34:$BM$34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469-4A19-9AD9-86293FF0D3B1}"/>
            </c:ext>
          </c:extLst>
        </c:ser>
        <c:ser>
          <c:idx val="26"/>
          <c:order val="26"/>
          <c:tx>
            <c:strRef>
              <c:f>'نمودار تاسیسات برقی'!$A$35</c:f>
              <c:strCache>
                <c:ptCount val="1"/>
                <c:pt idx="0">
                  <c:v>وسایل صوتی</c:v>
                </c:pt>
              </c:strCache>
            </c:strRef>
          </c:tx>
          <c:spPr>
            <a:ln w="47520">
              <a:solidFill>
                <a:srgbClr val="BBCE9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برقی'!$B$35:$BM$35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469-4A19-9AD9-86293FF0D3B1}"/>
            </c:ext>
          </c:extLst>
        </c:ser>
        <c:ser>
          <c:idx val="27"/>
          <c:order val="27"/>
          <c:tx>
            <c:strRef>
              <c:f>'نمودار تاسیسات برقی'!$A$36</c:f>
              <c:strCache>
                <c:ptCount val="1"/>
                <c:pt idx="0">
                  <c:v>وسایل متفرقه</c:v>
                </c:pt>
              </c:strCache>
            </c:strRef>
          </c:tx>
          <c:spPr>
            <a:ln w="47520">
              <a:solidFill>
                <a:srgbClr val="AFA2C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برقی'!$B$36:$BM$36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469-4A19-9AD9-86293FF0D3B1}"/>
            </c:ext>
          </c:extLst>
        </c:ser>
        <c:ser>
          <c:idx val="28"/>
          <c:order val="28"/>
          <c:tx>
            <c:strRef>
              <c:f>'نمودار تاسیسات برقی'!$A$37</c:f>
              <c:strCache>
                <c:ptCount val="1"/>
                <c:pt idx="0">
                  <c:v>سیستم شبکه های اطلاع رسانی</c:v>
                </c:pt>
              </c:strCache>
            </c:strRef>
          </c:tx>
          <c:spPr>
            <a:ln w="47520">
              <a:solidFill>
                <a:srgbClr val="9AC5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برقی'!$B$37:$BM$37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469-4A19-9AD9-86293FF0D3B1}"/>
            </c:ext>
          </c:extLst>
        </c:ser>
        <c:ser>
          <c:idx val="29"/>
          <c:order val="29"/>
          <c:tx>
            <c:strRef>
              <c:f>'نمودار تاسیسات برقی'!$A$38</c:f>
              <c:strCache>
                <c:ptCount val="1"/>
                <c:pt idx="0">
                  <c:v>سیستم نظارت تصویری</c:v>
                </c:pt>
              </c:strCache>
            </c:strRef>
          </c:tx>
          <c:spPr>
            <a:ln w="47520">
              <a:solidFill>
                <a:srgbClr val="F5B79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برقی'!$B$38:$BM$38</c:f>
              <c:numCache>
                <c:formatCode>General</c:formatCode>
                <c:ptCount val="64"/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469-4A19-9AD9-86293FF0D3B1}"/>
            </c:ext>
          </c:extLst>
        </c:ser>
        <c:ser>
          <c:idx val="30"/>
          <c:order val="30"/>
          <c:tx>
            <c:strRef>
              <c:f>'نمودار تاسیسات برقی'!$A$39</c:f>
              <c:strCache>
                <c:ptCount val="1"/>
                <c:pt idx="0">
                  <c:v>اینورتر سامانه های تجدید پذیر</c:v>
                </c:pt>
              </c:strCache>
            </c:strRef>
          </c:tx>
          <c:spPr>
            <a:ln w="47520">
              <a:solidFill>
                <a:srgbClr val="BCC7D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برقی'!$B$39:$BM$39</c:f>
              <c:numCache>
                <c:formatCode>General</c:formatCode>
                <c:ptCount val="64"/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6469-4A19-9AD9-86293FF0D3B1}"/>
            </c:ext>
          </c:extLst>
        </c:ser>
        <c:ser>
          <c:idx val="31"/>
          <c:order val="31"/>
          <c:tx>
            <c:strRef>
              <c:f>'نمودار تاسیسات برقی'!$A$40</c:f>
              <c:strCache>
                <c:ptCount val="1"/>
                <c:pt idx="0">
                  <c:v>پنل خورشیدی</c:v>
                </c:pt>
              </c:strCache>
            </c:strRef>
          </c:tx>
          <c:spPr>
            <a:ln w="47520">
              <a:solidFill>
                <a:srgbClr val="DEBC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برقی'!$B$40:$BM$40</c:f>
              <c:numCache>
                <c:formatCode>General</c:formatCode>
                <c:ptCount val="64"/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6469-4A19-9AD9-86293FF0D3B1}"/>
            </c:ext>
          </c:extLst>
        </c:ser>
        <c:ser>
          <c:idx val="32"/>
          <c:order val="32"/>
          <c:tx>
            <c:strRef>
              <c:f>'نمودار تاسیسات برقی'!$A$41</c:f>
              <c:strCache>
                <c:ptCount val="1"/>
                <c:pt idx="0">
                  <c:v>سازه های نگهدارنده پنل های خورشیدی</c:v>
                </c:pt>
              </c:strCache>
            </c:strRef>
          </c:tx>
          <c:spPr>
            <a:ln w="47520">
              <a:solidFill>
                <a:srgbClr val="CFDC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برقی'!$B$41:$BM$41</c:f>
              <c:numCache>
                <c:formatCode>General</c:formatCode>
                <c:ptCount val="64"/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6469-4A19-9AD9-86293FF0D3B1}"/>
            </c:ext>
          </c:extLst>
        </c:ser>
        <c:ser>
          <c:idx val="33"/>
          <c:order val="33"/>
          <c:tx>
            <c:strRef>
              <c:f>'نمودار تاسیسات برقی'!$A$42</c:f>
              <c:strCache>
                <c:ptCount val="1"/>
                <c:pt idx="0">
                  <c:v>کنترل کننده شارژ سامانه های خورشیدی</c:v>
                </c:pt>
              </c:strCache>
            </c:strRef>
          </c:tx>
          <c:spPr>
            <a:ln w="47520">
              <a:solidFill>
                <a:srgbClr val="C7C0D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برقی'!$B$42:$BM$42</c:f>
              <c:numCache>
                <c:formatCode>General</c:formatCode>
                <c:ptCount val="64"/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6469-4A19-9AD9-86293FF0D3B1}"/>
            </c:ext>
          </c:extLst>
        </c:ser>
        <c:ser>
          <c:idx val="34"/>
          <c:order val="34"/>
          <c:tx>
            <c:strRef>
              <c:f>'نمودار تاسیسات برقی'!$A$43</c:f>
              <c:strCache>
                <c:ptCount val="1"/>
                <c:pt idx="0">
                  <c:v>باتری سامانه‌های تجدید پذیر</c:v>
                </c:pt>
              </c:strCache>
            </c:strRef>
          </c:tx>
          <c:spPr>
            <a:ln w="47520">
              <a:solidFill>
                <a:srgbClr val="BBD5D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برقی'!$B$43:$BM$43</c:f>
              <c:numCache>
                <c:formatCode>General</c:formatCode>
                <c:ptCount val="64"/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6469-4A19-9AD9-86293FF0D3B1}"/>
            </c:ext>
          </c:extLst>
        </c:ser>
        <c:ser>
          <c:idx val="35"/>
          <c:order val="35"/>
          <c:tx>
            <c:strRef>
              <c:f>'نمودار تاسیسات برقی'!$A$44</c:f>
              <c:strCache>
                <c:ptCount val="1"/>
                <c:pt idx="0">
                  <c:v>کارهای دستمزدی</c:v>
                </c:pt>
              </c:strCache>
            </c:strRef>
          </c:tx>
          <c:spPr>
            <a:ln w="47520">
              <a:solidFill>
                <a:srgbClr val="F6CEB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تاسیسات برقی'!$B$8:$BM$8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تاسیسات برقی'!$B$44:$BM$44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6469-4A19-9AD9-86293FF0D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014726"/>
        <c:axId val="3572164"/>
      </c:lineChart>
      <c:catAx>
        <c:axId val="4014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572164"/>
        <c:crosses val="autoZero"/>
        <c:auto val="1"/>
        <c:lblAlgn val="ctr"/>
        <c:lblOffset val="100"/>
        <c:noMultiLvlLbl val="0"/>
      </c:catAx>
      <c:valAx>
        <c:axId val="3572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401472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خطوط انتقال آب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خطوط انتقال '!$A$9</c:f>
              <c:strCache>
                <c:ptCount val="1"/>
                <c:pt idx="0">
                  <c:v>عملیات لوله گذاری با لوله های ازبست سیمان</c:v>
                </c:pt>
              </c:strCache>
            </c:strRef>
          </c:tx>
          <c:spPr>
            <a:ln w="47520">
              <a:solidFill>
                <a:srgbClr val="3D679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'!$B$9:$BM$9</c:f>
              <c:numCache>
                <c:formatCode>#,##0.00</c:formatCode>
                <c:ptCount val="64"/>
                <c:pt idx="0">
                  <c:v>334.3</c:v>
                </c:pt>
                <c:pt idx="1">
                  <c:v>345.9</c:v>
                </c:pt>
                <c:pt idx="2">
                  <c:v>357.9</c:v>
                </c:pt>
                <c:pt idx="3">
                  <c:v>369.8</c:v>
                </c:pt>
                <c:pt idx="4">
                  <c:v>407</c:v>
                </c:pt>
                <c:pt idx="5">
                  <c:v>428.4</c:v>
                </c:pt>
                <c:pt idx="6">
                  <c:v>464.6</c:v>
                </c:pt>
                <c:pt idx="7">
                  <c:v>481</c:v>
                </c:pt>
                <c:pt idx="8">
                  <c:v>534.70000000000005</c:v>
                </c:pt>
                <c:pt idx="9">
                  <c:v>546.20000000000005</c:v>
                </c:pt>
                <c:pt idx="10">
                  <c:v>557</c:v>
                </c:pt>
                <c:pt idx="11">
                  <c:v>567.9</c:v>
                </c:pt>
                <c:pt idx="12">
                  <c:v>647.29999999999995</c:v>
                </c:pt>
                <c:pt idx="13">
                  <c:v>659.8</c:v>
                </c:pt>
                <c:pt idx="14">
                  <c:v>668</c:v>
                </c:pt>
                <c:pt idx="15">
                  <c:v>675.9</c:v>
                </c:pt>
                <c:pt idx="16">
                  <c:v>677</c:v>
                </c:pt>
                <c:pt idx="17">
                  <c:v>678</c:v>
                </c:pt>
                <c:pt idx="18">
                  <c:v>679</c:v>
                </c:pt>
                <c:pt idx="19">
                  <c:v>680</c:v>
                </c:pt>
                <c:pt idx="20">
                  <c:v>681</c:v>
                </c:pt>
                <c:pt idx="21">
                  <c:v>682</c:v>
                </c:pt>
                <c:pt idx="22">
                  <c:v>683</c:v>
                </c:pt>
                <c:pt idx="23">
                  <c:v>684</c:v>
                </c:pt>
                <c:pt idx="24">
                  <c:v>685</c:v>
                </c:pt>
                <c:pt idx="25">
                  <c:v>686</c:v>
                </c:pt>
                <c:pt idx="26">
                  <c:v>687</c:v>
                </c:pt>
                <c:pt idx="27">
                  <c:v>688</c:v>
                </c:pt>
                <c:pt idx="28">
                  <c:v>689</c:v>
                </c:pt>
                <c:pt idx="29">
                  <c:v>690</c:v>
                </c:pt>
                <c:pt idx="30">
                  <c:v>691</c:v>
                </c:pt>
                <c:pt idx="31">
                  <c:v>692</c:v>
                </c:pt>
                <c:pt idx="32">
                  <c:v>692</c:v>
                </c:pt>
                <c:pt idx="33">
                  <c:v>693</c:v>
                </c:pt>
                <c:pt idx="34">
                  <c:v>694</c:v>
                </c:pt>
                <c:pt idx="35">
                  <c:v>695</c:v>
                </c:pt>
                <c:pt idx="36">
                  <c:v>696</c:v>
                </c:pt>
                <c:pt idx="37">
                  <c:v>697</c:v>
                </c:pt>
                <c:pt idx="38">
                  <c:v>698</c:v>
                </c:pt>
                <c:pt idx="39">
                  <c:v>699</c:v>
                </c:pt>
                <c:pt idx="40">
                  <c:v>700</c:v>
                </c:pt>
                <c:pt idx="41">
                  <c:v>701</c:v>
                </c:pt>
                <c:pt idx="42">
                  <c:v>702</c:v>
                </c:pt>
                <c:pt idx="43">
                  <c:v>703</c:v>
                </c:pt>
                <c:pt idx="44">
                  <c:v>704</c:v>
                </c:pt>
                <c:pt idx="45">
                  <c:v>705</c:v>
                </c:pt>
                <c:pt idx="46">
                  <c:v>706</c:v>
                </c:pt>
                <c:pt idx="47">
                  <c:v>707</c:v>
                </c:pt>
                <c:pt idx="48">
                  <c:v>708</c:v>
                </c:pt>
                <c:pt idx="49">
                  <c:v>709</c:v>
                </c:pt>
                <c:pt idx="50">
                  <c:v>710</c:v>
                </c:pt>
                <c:pt idx="51">
                  <c:v>711</c:v>
                </c:pt>
                <c:pt idx="52">
                  <c:v>711</c:v>
                </c:pt>
                <c:pt idx="53">
                  <c:v>711</c:v>
                </c:pt>
                <c:pt idx="54">
                  <c:v>712</c:v>
                </c:pt>
                <c:pt idx="55">
                  <c:v>713</c:v>
                </c:pt>
                <c:pt idx="56">
                  <c:v>714</c:v>
                </c:pt>
                <c:pt idx="57">
                  <c:v>715</c:v>
                </c:pt>
                <c:pt idx="58">
                  <c:v>716</c:v>
                </c:pt>
                <c:pt idx="59">
                  <c:v>717</c:v>
                </c:pt>
                <c:pt idx="60">
                  <c:v>718</c:v>
                </c:pt>
                <c:pt idx="61">
                  <c:v>719</c:v>
                </c:pt>
                <c:pt idx="62">
                  <c:v>719</c:v>
                </c:pt>
                <c:pt idx="63">
                  <c:v>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74-456F-AF91-CA633CD52E1D}"/>
            </c:ext>
          </c:extLst>
        </c:ser>
        <c:ser>
          <c:idx val="1"/>
          <c:order val="1"/>
          <c:tx>
            <c:strRef>
              <c:f>'نمودار خطوط انتقال '!$A$10</c:f>
              <c:strCache>
                <c:ptCount val="1"/>
                <c:pt idx="0">
                  <c:v>عملیات لوله گذاری با لوله های چدنی نشکن (داکتیل)</c:v>
                </c:pt>
              </c:strCache>
            </c:strRef>
          </c:tx>
          <c:spPr>
            <a:ln w="47520">
              <a:solidFill>
                <a:srgbClr val="9D3E3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'!$B$10:$BM$10</c:f>
              <c:numCache>
                <c:formatCode>#,##0.00</c:formatCode>
                <c:ptCount val="64"/>
                <c:pt idx="0">
                  <c:v>333.1</c:v>
                </c:pt>
                <c:pt idx="1">
                  <c:v>344.7</c:v>
                </c:pt>
                <c:pt idx="2">
                  <c:v>357.2</c:v>
                </c:pt>
                <c:pt idx="3">
                  <c:v>369.4</c:v>
                </c:pt>
                <c:pt idx="4">
                  <c:v>406.1</c:v>
                </c:pt>
                <c:pt idx="5">
                  <c:v>427.7</c:v>
                </c:pt>
                <c:pt idx="6">
                  <c:v>464.5</c:v>
                </c:pt>
                <c:pt idx="7">
                  <c:v>481.2</c:v>
                </c:pt>
                <c:pt idx="8">
                  <c:v>534.20000000000005</c:v>
                </c:pt>
                <c:pt idx="9">
                  <c:v>545.9</c:v>
                </c:pt>
                <c:pt idx="10">
                  <c:v>556.9</c:v>
                </c:pt>
                <c:pt idx="11">
                  <c:v>567.9</c:v>
                </c:pt>
                <c:pt idx="12">
                  <c:v>646.1</c:v>
                </c:pt>
                <c:pt idx="13">
                  <c:v>658.6</c:v>
                </c:pt>
                <c:pt idx="14">
                  <c:v>666.7</c:v>
                </c:pt>
                <c:pt idx="15">
                  <c:v>674.6</c:v>
                </c:pt>
                <c:pt idx="16">
                  <c:v>731.6</c:v>
                </c:pt>
                <c:pt idx="17">
                  <c:v>736.9</c:v>
                </c:pt>
                <c:pt idx="18">
                  <c:v>740.8</c:v>
                </c:pt>
                <c:pt idx="19">
                  <c:v>744</c:v>
                </c:pt>
                <c:pt idx="20">
                  <c:v>792.9</c:v>
                </c:pt>
                <c:pt idx="21">
                  <c:v>800.5</c:v>
                </c:pt>
                <c:pt idx="22">
                  <c:v>808</c:v>
                </c:pt>
                <c:pt idx="23">
                  <c:v>815.3</c:v>
                </c:pt>
                <c:pt idx="24">
                  <c:v>879</c:v>
                </c:pt>
                <c:pt idx="25">
                  <c:v>881.7</c:v>
                </c:pt>
                <c:pt idx="26">
                  <c:v>900.4</c:v>
                </c:pt>
                <c:pt idx="27">
                  <c:v>909</c:v>
                </c:pt>
                <c:pt idx="28">
                  <c:v>1029.5</c:v>
                </c:pt>
                <c:pt idx="29">
                  <c:v>1110.5999999999999</c:v>
                </c:pt>
                <c:pt idx="30">
                  <c:v>1145</c:v>
                </c:pt>
                <c:pt idx="31">
                  <c:v>1174.2</c:v>
                </c:pt>
                <c:pt idx="32">
                  <c:v>1191.2</c:v>
                </c:pt>
                <c:pt idx="33">
                  <c:v>1237.0999999999999</c:v>
                </c:pt>
                <c:pt idx="34">
                  <c:v>1472.8</c:v>
                </c:pt>
                <c:pt idx="35">
                  <c:v>1552.1</c:v>
                </c:pt>
                <c:pt idx="36">
                  <c:v>1613.9</c:v>
                </c:pt>
                <c:pt idx="37">
                  <c:v>1681.2</c:v>
                </c:pt>
                <c:pt idx="38">
                  <c:v>2039.1</c:v>
                </c:pt>
                <c:pt idx="39">
                  <c:v>2308.9</c:v>
                </c:pt>
                <c:pt idx="40">
                  <c:v>2364.9</c:v>
                </c:pt>
                <c:pt idx="41">
                  <c:v>2482.1</c:v>
                </c:pt>
                <c:pt idx="42">
                  <c:v>2734.3</c:v>
                </c:pt>
                <c:pt idx="43">
                  <c:v>2884.2</c:v>
                </c:pt>
                <c:pt idx="44">
                  <c:v>3746.7</c:v>
                </c:pt>
                <c:pt idx="45">
                  <c:v>3997.9</c:v>
                </c:pt>
                <c:pt idx="46">
                  <c:v>4025.4</c:v>
                </c:pt>
                <c:pt idx="47">
                  <c:v>4113.5</c:v>
                </c:pt>
                <c:pt idx="48">
                  <c:v>5165.6000000000004</c:v>
                </c:pt>
                <c:pt idx="49">
                  <c:v>5297.3</c:v>
                </c:pt>
                <c:pt idx="50">
                  <c:v>5714.8</c:v>
                </c:pt>
                <c:pt idx="51">
                  <c:v>6014.2</c:v>
                </c:pt>
                <c:pt idx="52">
                  <c:v>6016.7</c:v>
                </c:pt>
                <c:pt idx="53">
                  <c:v>6028.8</c:v>
                </c:pt>
                <c:pt idx="54">
                  <c:v>7311.1</c:v>
                </c:pt>
                <c:pt idx="55">
                  <c:v>7615.6</c:v>
                </c:pt>
                <c:pt idx="56">
                  <c:v>7760.4</c:v>
                </c:pt>
                <c:pt idx="57">
                  <c:v>7982</c:v>
                </c:pt>
                <c:pt idx="58">
                  <c:v>9751.1</c:v>
                </c:pt>
                <c:pt idx="59">
                  <c:v>10191.799999999999</c:v>
                </c:pt>
                <c:pt idx="60">
                  <c:v>10219.4</c:v>
                </c:pt>
                <c:pt idx="61">
                  <c:v>10793.9</c:v>
                </c:pt>
                <c:pt idx="62">
                  <c:v>10934.7</c:v>
                </c:pt>
                <c:pt idx="63">
                  <c:v>11090.3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74-456F-AF91-CA633CD52E1D}"/>
            </c:ext>
          </c:extLst>
        </c:ser>
        <c:ser>
          <c:idx val="2"/>
          <c:order val="2"/>
          <c:tx>
            <c:strRef>
              <c:f>'نمودار خطوط انتقال '!$A$11</c:f>
              <c:strCache>
                <c:ptCount val="1"/>
                <c:pt idx="0">
                  <c:v>عملیات لوله گذاری با لوله های فولادی اتصال مکانیکی</c:v>
                </c:pt>
              </c:strCache>
            </c:strRef>
          </c:tx>
          <c:spPr>
            <a:ln w="47520">
              <a:solidFill>
                <a:srgbClr val="7E994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'!$B$11:$BM$11</c:f>
              <c:numCache>
                <c:formatCode>#,##0.00</c:formatCode>
                <c:ptCount val="64"/>
                <c:pt idx="0">
                  <c:v>334.6</c:v>
                </c:pt>
                <c:pt idx="1">
                  <c:v>347.1</c:v>
                </c:pt>
                <c:pt idx="2">
                  <c:v>360.6</c:v>
                </c:pt>
                <c:pt idx="3">
                  <c:v>374.5</c:v>
                </c:pt>
                <c:pt idx="4">
                  <c:v>410.8</c:v>
                </c:pt>
                <c:pt idx="5">
                  <c:v>433.2</c:v>
                </c:pt>
                <c:pt idx="6">
                  <c:v>473.4</c:v>
                </c:pt>
                <c:pt idx="7">
                  <c:v>491.8</c:v>
                </c:pt>
                <c:pt idx="8">
                  <c:v>543.6</c:v>
                </c:pt>
                <c:pt idx="9">
                  <c:v>555.6</c:v>
                </c:pt>
                <c:pt idx="10">
                  <c:v>565.9</c:v>
                </c:pt>
                <c:pt idx="11">
                  <c:v>576.5</c:v>
                </c:pt>
                <c:pt idx="12">
                  <c:v>652.4</c:v>
                </c:pt>
                <c:pt idx="13">
                  <c:v>665.5</c:v>
                </c:pt>
                <c:pt idx="14">
                  <c:v>673.4</c:v>
                </c:pt>
                <c:pt idx="15">
                  <c:v>680.6</c:v>
                </c:pt>
                <c:pt idx="16">
                  <c:v>734.2</c:v>
                </c:pt>
                <c:pt idx="17">
                  <c:v>739.6</c:v>
                </c:pt>
                <c:pt idx="18">
                  <c:v>743.3</c:v>
                </c:pt>
                <c:pt idx="19">
                  <c:v>745.9</c:v>
                </c:pt>
                <c:pt idx="20">
                  <c:v>792.1</c:v>
                </c:pt>
                <c:pt idx="21">
                  <c:v>799.8</c:v>
                </c:pt>
                <c:pt idx="22">
                  <c:v>807.4</c:v>
                </c:pt>
                <c:pt idx="23">
                  <c:v>814.6</c:v>
                </c:pt>
                <c:pt idx="24">
                  <c:v>875.3</c:v>
                </c:pt>
                <c:pt idx="25">
                  <c:v>878.7</c:v>
                </c:pt>
                <c:pt idx="26">
                  <c:v>898.2</c:v>
                </c:pt>
                <c:pt idx="27">
                  <c:v>907.2</c:v>
                </c:pt>
                <c:pt idx="28">
                  <c:v>1023.8</c:v>
                </c:pt>
                <c:pt idx="29">
                  <c:v>1112.7</c:v>
                </c:pt>
                <c:pt idx="30">
                  <c:v>1154.4000000000001</c:v>
                </c:pt>
                <c:pt idx="31">
                  <c:v>1188</c:v>
                </c:pt>
                <c:pt idx="32">
                  <c:v>1205.9000000000001</c:v>
                </c:pt>
                <c:pt idx="33">
                  <c:v>1258.3</c:v>
                </c:pt>
                <c:pt idx="34">
                  <c:v>1488.2</c:v>
                </c:pt>
                <c:pt idx="35">
                  <c:v>1570.5</c:v>
                </c:pt>
                <c:pt idx="36">
                  <c:v>1644.1</c:v>
                </c:pt>
                <c:pt idx="37">
                  <c:v>1718.2</c:v>
                </c:pt>
                <c:pt idx="38">
                  <c:v>2078.5</c:v>
                </c:pt>
                <c:pt idx="39">
                  <c:v>2374.1999999999998</c:v>
                </c:pt>
                <c:pt idx="40">
                  <c:v>2440.6</c:v>
                </c:pt>
                <c:pt idx="41">
                  <c:v>2578.4</c:v>
                </c:pt>
                <c:pt idx="42">
                  <c:v>2842.6</c:v>
                </c:pt>
                <c:pt idx="43">
                  <c:v>3004.1</c:v>
                </c:pt>
                <c:pt idx="44">
                  <c:v>3885.1</c:v>
                </c:pt>
                <c:pt idx="45">
                  <c:v>4167.7</c:v>
                </c:pt>
                <c:pt idx="46">
                  <c:v>4199.3</c:v>
                </c:pt>
                <c:pt idx="47">
                  <c:v>4306.5</c:v>
                </c:pt>
                <c:pt idx="48">
                  <c:v>5383.1</c:v>
                </c:pt>
                <c:pt idx="49">
                  <c:v>5529.4</c:v>
                </c:pt>
                <c:pt idx="50">
                  <c:v>5965.7</c:v>
                </c:pt>
                <c:pt idx="51">
                  <c:v>6288.1</c:v>
                </c:pt>
                <c:pt idx="52">
                  <c:v>6292.5</c:v>
                </c:pt>
                <c:pt idx="53">
                  <c:v>6313.4</c:v>
                </c:pt>
                <c:pt idx="54">
                  <c:v>7620.8</c:v>
                </c:pt>
                <c:pt idx="55">
                  <c:v>7951.8</c:v>
                </c:pt>
                <c:pt idx="56">
                  <c:v>8106.6</c:v>
                </c:pt>
                <c:pt idx="57">
                  <c:v>8342.2999999999993</c:v>
                </c:pt>
                <c:pt idx="58">
                  <c:v>10144.6</c:v>
                </c:pt>
                <c:pt idx="59">
                  <c:v>10616.8</c:v>
                </c:pt>
                <c:pt idx="60">
                  <c:v>10655.4</c:v>
                </c:pt>
                <c:pt idx="61">
                  <c:v>11268.4</c:v>
                </c:pt>
                <c:pt idx="62">
                  <c:v>11432.6</c:v>
                </c:pt>
                <c:pt idx="63">
                  <c:v>11606.6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E74-456F-AF91-CA633CD52E1D}"/>
            </c:ext>
          </c:extLst>
        </c:ser>
        <c:ser>
          <c:idx val="3"/>
          <c:order val="3"/>
          <c:tx>
            <c:strRef>
              <c:f>'نمودار خطوط انتقال '!$A$12</c:f>
              <c:strCache>
                <c:ptCount val="1"/>
                <c:pt idx="0">
                  <c:v>عملیات لوله گذاری با لوله های فولادی اتصال جوشی</c:v>
                </c:pt>
              </c:strCache>
            </c:strRef>
          </c:tx>
          <c:spPr>
            <a:ln w="47520">
              <a:solidFill>
                <a:srgbClr val="674F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'!$B$12:$BM$12</c:f>
              <c:numCache>
                <c:formatCode>#,##0.00</c:formatCode>
                <c:ptCount val="64"/>
                <c:pt idx="0">
                  <c:v>334.4</c:v>
                </c:pt>
                <c:pt idx="1">
                  <c:v>346.8</c:v>
                </c:pt>
                <c:pt idx="2">
                  <c:v>361.8</c:v>
                </c:pt>
                <c:pt idx="3">
                  <c:v>376.2</c:v>
                </c:pt>
                <c:pt idx="4">
                  <c:v>412.2</c:v>
                </c:pt>
                <c:pt idx="5">
                  <c:v>435.3</c:v>
                </c:pt>
                <c:pt idx="6">
                  <c:v>479.8</c:v>
                </c:pt>
                <c:pt idx="7">
                  <c:v>500</c:v>
                </c:pt>
                <c:pt idx="8">
                  <c:v>550.6</c:v>
                </c:pt>
                <c:pt idx="9">
                  <c:v>562.29999999999995</c:v>
                </c:pt>
                <c:pt idx="10">
                  <c:v>573.6</c:v>
                </c:pt>
                <c:pt idx="11">
                  <c:v>583.6</c:v>
                </c:pt>
                <c:pt idx="12">
                  <c:v>657.8</c:v>
                </c:pt>
                <c:pt idx="13">
                  <c:v>670.6</c:v>
                </c:pt>
                <c:pt idx="14">
                  <c:v>677.8</c:v>
                </c:pt>
                <c:pt idx="15">
                  <c:v>685.1</c:v>
                </c:pt>
                <c:pt idx="16">
                  <c:v>738.6</c:v>
                </c:pt>
                <c:pt idx="17">
                  <c:v>743.5</c:v>
                </c:pt>
                <c:pt idx="18">
                  <c:v>746.2</c:v>
                </c:pt>
                <c:pt idx="19">
                  <c:v>748.5</c:v>
                </c:pt>
                <c:pt idx="20">
                  <c:v>794.5</c:v>
                </c:pt>
                <c:pt idx="21">
                  <c:v>802.2</c:v>
                </c:pt>
                <c:pt idx="22">
                  <c:v>809.5</c:v>
                </c:pt>
                <c:pt idx="23">
                  <c:v>816.8</c:v>
                </c:pt>
                <c:pt idx="24">
                  <c:v>877</c:v>
                </c:pt>
                <c:pt idx="25">
                  <c:v>879.6</c:v>
                </c:pt>
                <c:pt idx="26">
                  <c:v>899.1</c:v>
                </c:pt>
                <c:pt idx="27">
                  <c:v>907.6</c:v>
                </c:pt>
                <c:pt idx="28">
                  <c:v>1022.3</c:v>
                </c:pt>
                <c:pt idx="29">
                  <c:v>1117</c:v>
                </c:pt>
                <c:pt idx="30">
                  <c:v>1158.4000000000001</c:v>
                </c:pt>
                <c:pt idx="31">
                  <c:v>1194.9000000000001</c:v>
                </c:pt>
                <c:pt idx="32">
                  <c:v>1219.8</c:v>
                </c:pt>
                <c:pt idx="33">
                  <c:v>1277.5999999999999</c:v>
                </c:pt>
                <c:pt idx="34">
                  <c:v>1503.8</c:v>
                </c:pt>
                <c:pt idx="35">
                  <c:v>1589.1</c:v>
                </c:pt>
                <c:pt idx="36">
                  <c:v>1659.1</c:v>
                </c:pt>
                <c:pt idx="37">
                  <c:v>1735.2</c:v>
                </c:pt>
                <c:pt idx="38">
                  <c:v>2090.1999999999998</c:v>
                </c:pt>
                <c:pt idx="39">
                  <c:v>2390.9</c:v>
                </c:pt>
                <c:pt idx="40">
                  <c:v>2461.3000000000002</c:v>
                </c:pt>
                <c:pt idx="41">
                  <c:v>2612.4</c:v>
                </c:pt>
                <c:pt idx="42">
                  <c:v>2874.8</c:v>
                </c:pt>
                <c:pt idx="43">
                  <c:v>3036</c:v>
                </c:pt>
                <c:pt idx="44">
                  <c:v>3926.8</c:v>
                </c:pt>
                <c:pt idx="45">
                  <c:v>4213.3</c:v>
                </c:pt>
                <c:pt idx="46">
                  <c:v>4247.3999999999996</c:v>
                </c:pt>
                <c:pt idx="47">
                  <c:v>4356.5</c:v>
                </c:pt>
                <c:pt idx="48">
                  <c:v>5461.8</c:v>
                </c:pt>
                <c:pt idx="49">
                  <c:v>5614.7</c:v>
                </c:pt>
                <c:pt idx="50">
                  <c:v>6015.2</c:v>
                </c:pt>
                <c:pt idx="51">
                  <c:v>6358.4</c:v>
                </c:pt>
                <c:pt idx="52">
                  <c:v>6368.2</c:v>
                </c:pt>
                <c:pt idx="53">
                  <c:v>6394.3</c:v>
                </c:pt>
                <c:pt idx="54">
                  <c:v>7721.9</c:v>
                </c:pt>
                <c:pt idx="55">
                  <c:v>8059.7</c:v>
                </c:pt>
                <c:pt idx="56">
                  <c:v>8195.7999999999993</c:v>
                </c:pt>
                <c:pt idx="57">
                  <c:v>8439.2000000000007</c:v>
                </c:pt>
                <c:pt idx="58">
                  <c:v>10241.6</c:v>
                </c:pt>
                <c:pt idx="59">
                  <c:v>10726.6</c:v>
                </c:pt>
                <c:pt idx="60">
                  <c:v>10754.9</c:v>
                </c:pt>
                <c:pt idx="61">
                  <c:v>11398.3</c:v>
                </c:pt>
                <c:pt idx="62">
                  <c:v>11547.8</c:v>
                </c:pt>
                <c:pt idx="63">
                  <c:v>11717.9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E74-456F-AF91-CA633CD52E1D}"/>
            </c:ext>
          </c:extLst>
        </c:ser>
        <c:ser>
          <c:idx val="4"/>
          <c:order val="4"/>
          <c:tx>
            <c:strRef>
              <c:f>'نمودار خطوط انتقال '!$A$13</c:f>
              <c:strCache>
                <c:ptCount val="1"/>
                <c:pt idx="0">
                  <c:v>عملیات لوله گذاری با لوله های بتنی مسلح</c:v>
                </c:pt>
              </c:strCache>
            </c:strRef>
          </c:tx>
          <c:spPr>
            <a:ln w="47520">
              <a:solidFill>
                <a:srgbClr val="398B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'!$B$13:$BM$13</c:f>
              <c:numCache>
                <c:formatCode>#,##0.00</c:formatCode>
                <c:ptCount val="64"/>
                <c:pt idx="0">
                  <c:v>334.4</c:v>
                </c:pt>
                <c:pt idx="1">
                  <c:v>347.1</c:v>
                </c:pt>
                <c:pt idx="2">
                  <c:v>361.5</c:v>
                </c:pt>
                <c:pt idx="3">
                  <c:v>376</c:v>
                </c:pt>
                <c:pt idx="4">
                  <c:v>411.7</c:v>
                </c:pt>
                <c:pt idx="5">
                  <c:v>434.7</c:v>
                </c:pt>
                <c:pt idx="6">
                  <c:v>476.5</c:v>
                </c:pt>
                <c:pt idx="7">
                  <c:v>495.6</c:v>
                </c:pt>
                <c:pt idx="8">
                  <c:v>546.5</c:v>
                </c:pt>
                <c:pt idx="9">
                  <c:v>558.9</c:v>
                </c:pt>
                <c:pt idx="10">
                  <c:v>569.5</c:v>
                </c:pt>
                <c:pt idx="11">
                  <c:v>580.29999999999995</c:v>
                </c:pt>
                <c:pt idx="12">
                  <c:v>654.70000000000005</c:v>
                </c:pt>
                <c:pt idx="13">
                  <c:v>667.9</c:v>
                </c:pt>
                <c:pt idx="14">
                  <c:v>675.5</c:v>
                </c:pt>
                <c:pt idx="15">
                  <c:v>682.7</c:v>
                </c:pt>
                <c:pt idx="16">
                  <c:v>736</c:v>
                </c:pt>
                <c:pt idx="17">
                  <c:v>741.2</c:v>
                </c:pt>
                <c:pt idx="18">
                  <c:v>744.5</c:v>
                </c:pt>
                <c:pt idx="19">
                  <c:v>746.9</c:v>
                </c:pt>
                <c:pt idx="20">
                  <c:v>792.7</c:v>
                </c:pt>
                <c:pt idx="21">
                  <c:v>800.4</c:v>
                </c:pt>
                <c:pt idx="22">
                  <c:v>807.9</c:v>
                </c:pt>
                <c:pt idx="23">
                  <c:v>815.2</c:v>
                </c:pt>
                <c:pt idx="24">
                  <c:v>874.9</c:v>
                </c:pt>
                <c:pt idx="25">
                  <c:v>878</c:v>
                </c:pt>
                <c:pt idx="26">
                  <c:v>897.8</c:v>
                </c:pt>
                <c:pt idx="27">
                  <c:v>906.7</c:v>
                </c:pt>
                <c:pt idx="28">
                  <c:v>1021.7</c:v>
                </c:pt>
                <c:pt idx="29">
                  <c:v>1114.3</c:v>
                </c:pt>
                <c:pt idx="30">
                  <c:v>1157.4000000000001</c:v>
                </c:pt>
                <c:pt idx="31">
                  <c:v>1193.5</c:v>
                </c:pt>
                <c:pt idx="32">
                  <c:v>1211</c:v>
                </c:pt>
                <c:pt idx="33">
                  <c:v>1264.7</c:v>
                </c:pt>
                <c:pt idx="34">
                  <c:v>1491.8</c:v>
                </c:pt>
                <c:pt idx="35">
                  <c:v>1576</c:v>
                </c:pt>
                <c:pt idx="36">
                  <c:v>1650.5</c:v>
                </c:pt>
                <c:pt idx="37">
                  <c:v>1726.9</c:v>
                </c:pt>
                <c:pt idx="38">
                  <c:v>2082.9</c:v>
                </c:pt>
                <c:pt idx="39">
                  <c:v>2382.6999999999998</c:v>
                </c:pt>
                <c:pt idx="40">
                  <c:v>2453.1</c:v>
                </c:pt>
                <c:pt idx="41">
                  <c:v>2599.5</c:v>
                </c:pt>
                <c:pt idx="42">
                  <c:v>2865.2</c:v>
                </c:pt>
                <c:pt idx="43">
                  <c:v>3027.7</c:v>
                </c:pt>
                <c:pt idx="44">
                  <c:v>3915.5</c:v>
                </c:pt>
                <c:pt idx="45">
                  <c:v>4204.3</c:v>
                </c:pt>
                <c:pt idx="46">
                  <c:v>4236.3999999999996</c:v>
                </c:pt>
                <c:pt idx="47">
                  <c:v>4347.8</c:v>
                </c:pt>
                <c:pt idx="48">
                  <c:v>5440</c:v>
                </c:pt>
                <c:pt idx="49">
                  <c:v>5590.5</c:v>
                </c:pt>
                <c:pt idx="50">
                  <c:v>6011.2</c:v>
                </c:pt>
                <c:pt idx="51">
                  <c:v>6345.2</c:v>
                </c:pt>
                <c:pt idx="52">
                  <c:v>6348.9</c:v>
                </c:pt>
                <c:pt idx="53">
                  <c:v>6366.4</c:v>
                </c:pt>
                <c:pt idx="54">
                  <c:v>7682.2</c:v>
                </c:pt>
                <c:pt idx="55">
                  <c:v>8023.7</c:v>
                </c:pt>
                <c:pt idx="56">
                  <c:v>8172.7</c:v>
                </c:pt>
                <c:pt idx="57">
                  <c:v>8415.5</c:v>
                </c:pt>
                <c:pt idx="58">
                  <c:v>10213.700000000001</c:v>
                </c:pt>
                <c:pt idx="59">
                  <c:v>10693.5</c:v>
                </c:pt>
                <c:pt idx="60">
                  <c:v>10732</c:v>
                </c:pt>
                <c:pt idx="61">
                  <c:v>11370.9</c:v>
                </c:pt>
                <c:pt idx="62">
                  <c:v>11532.2</c:v>
                </c:pt>
                <c:pt idx="63">
                  <c:v>11707.7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E74-456F-AF91-CA633CD52E1D}"/>
            </c:ext>
          </c:extLst>
        </c:ser>
        <c:ser>
          <c:idx val="5"/>
          <c:order val="5"/>
          <c:tx>
            <c:strRef>
              <c:f>'نمودار خطوط انتقال '!$A$14</c:f>
              <c:strCache>
                <c:ptCount val="1"/>
                <c:pt idx="0">
                  <c:v>عملیات لوله گذاری با لوله های فایبرگلاس (G.R.P)</c:v>
                </c:pt>
              </c:strCache>
            </c:strRef>
          </c:tx>
          <c:spPr>
            <a:ln w="47520">
              <a:solidFill>
                <a:srgbClr val="CB79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E74-456F-AF91-CA633CD52E1D}"/>
            </c:ext>
          </c:extLst>
        </c:ser>
        <c:ser>
          <c:idx val="6"/>
          <c:order val="6"/>
          <c:tx>
            <c:strRef>
              <c:f>'نمودار خطوط انتقال '!$A$15</c:f>
              <c:strCache>
                <c:ptCount val="1"/>
                <c:pt idx="0">
                  <c:v>-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'!$B$15:$BM$15</c:f>
              <c:numCache>
                <c:formatCode>General</c:formatCode>
                <c:ptCount val="6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E74-456F-AF91-CA633CD52E1D}"/>
            </c:ext>
          </c:extLst>
        </c:ser>
        <c:ser>
          <c:idx val="7"/>
          <c:order val="7"/>
          <c:tx>
            <c:strRef>
              <c:f>'نمودار خطوط انتقال '!$A$16</c:f>
              <c:strCache>
                <c:ptCount val="1"/>
                <c:pt idx="0">
                  <c:v>نصب شیرها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E74-456F-AF91-CA633CD52E1D}"/>
            </c:ext>
          </c:extLst>
        </c:ser>
        <c:ser>
          <c:idx val="8"/>
          <c:order val="8"/>
          <c:tx>
            <c:strRef>
              <c:f>'نمودار خطوط انتقال '!$A$17</c:f>
              <c:strCache>
                <c:ptCount val="1"/>
                <c:pt idx="0">
                  <c:v>احداث حوضچه های شیرالات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E74-456F-AF91-CA633CD52E1D}"/>
            </c:ext>
          </c:extLst>
        </c:ser>
        <c:ser>
          <c:idx val="9"/>
          <c:order val="9"/>
          <c:tx>
            <c:strRef>
              <c:f>'نمودار خطوط انتقال '!$A$18</c:f>
              <c:strCache>
                <c:ptCount val="1"/>
                <c:pt idx="0">
                  <c:v>حفاظت لوله ها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E74-456F-AF91-CA633CD52E1D}"/>
            </c:ext>
          </c:extLst>
        </c:ser>
        <c:ser>
          <c:idx val="10"/>
          <c:order val="10"/>
          <c:tx>
            <c:strRef>
              <c:f>'نمودار خطوط انتقال '!$A$19</c:f>
              <c:strCache>
                <c:ptCount val="1"/>
                <c:pt idx="0">
                  <c:v>عملیات خاکی و مرمت نوار حفاری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E74-456F-AF91-CA633CD52E1D}"/>
            </c:ext>
          </c:extLst>
        </c:ser>
        <c:ser>
          <c:idx val="11"/>
          <c:order val="11"/>
          <c:tx>
            <c:strRef>
              <c:f>'نمودار خطوط انتقال '!$A$20</c:f>
              <c:strCache>
                <c:ptCount val="1"/>
                <c:pt idx="0">
                  <c:v>کارهای فولادی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'!$B$20:$BM$20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E74-456F-AF91-CA633CD52E1D}"/>
            </c:ext>
          </c:extLst>
        </c:ser>
        <c:ser>
          <c:idx val="12"/>
          <c:order val="12"/>
          <c:tx>
            <c:strRef>
              <c:f>'نمودار خطوط انتقال '!$A$21</c:f>
              <c:strCache>
                <c:ptCount val="1"/>
                <c:pt idx="0">
                  <c:v>کارهای بتنی و قالب بندی</c:v>
                </c:pt>
              </c:strCache>
            </c:strRef>
          </c:tx>
          <c:spPr>
            <a:ln w="47520">
              <a:solidFill>
                <a:srgbClr val="A5B5D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'!$B$21:$BM$21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E74-456F-AF91-CA633CD52E1D}"/>
            </c:ext>
          </c:extLst>
        </c:ser>
        <c:ser>
          <c:idx val="13"/>
          <c:order val="13"/>
          <c:tx>
            <c:strRef>
              <c:f>'نمودار خطوط انتقال '!$A$22</c:f>
              <c:strCache>
                <c:ptCount val="1"/>
                <c:pt idx="0">
                  <c:v>حمل و نقل</c:v>
                </c:pt>
              </c:strCache>
            </c:strRef>
          </c:tx>
          <c:spPr>
            <a:ln w="47520">
              <a:solidFill>
                <a:srgbClr val="D4A5A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'!$B$22:$BM$22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E74-456F-AF91-CA633CD52E1D}"/>
            </c:ext>
          </c:extLst>
        </c:ser>
        <c:ser>
          <c:idx val="14"/>
          <c:order val="14"/>
          <c:tx>
            <c:strRef>
              <c:f>'نمودار خطوط انتقال '!$A$23</c:f>
              <c:strCache>
                <c:ptCount val="1"/>
                <c:pt idx="0">
                  <c:v>تهیه لوله های چدنی نشکن (داکتیل)</c:v>
                </c:pt>
              </c:strCache>
            </c:strRef>
          </c:tx>
          <c:spPr>
            <a:ln w="47520">
              <a:solidFill>
                <a:srgbClr val="C0D2A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'!$B$23:$BM$23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E74-456F-AF91-CA633CD52E1D}"/>
            </c:ext>
          </c:extLst>
        </c:ser>
        <c:ser>
          <c:idx val="15"/>
          <c:order val="15"/>
          <c:tx>
            <c:strRef>
              <c:f>'نمودار خطوط انتقال '!$A$24</c:f>
              <c:strCache>
                <c:ptCount val="1"/>
                <c:pt idx="0">
                  <c:v>تهیه لوله های فولادی</c:v>
                </c:pt>
              </c:strCache>
            </c:strRef>
          </c:tx>
          <c:spPr>
            <a:ln w="47520">
              <a:solidFill>
                <a:srgbClr val="B4AAC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'!$B$24:$BM$24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E74-456F-AF91-CA633CD52E1D}"/>
            </c:ext>
          </c:extLst>
        </c:ser>
        <c:ser>
          <c:idx val="16"/>
          <c:order val="16"/>
          <c:tx>
            <c:strRef>
              <c:f>'نمودار خطوط انتقال '!$A$25</c:f>
              <c:strCache>
                <c:ptCount val="1"/>
                <c:pt idx="0">
                  <c:v>تهیه لوله های بتن مسلح پیش تنیده</c:v>
                </c:pt>
              </c:strCache>
            </c:strRef>
          </c:tx>
          <c:spPr>
            <a:ln w="47520">
              <a:solidFill>
                <a:srgbClr val="A4CAD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'!$B$25:$BM$25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E74-456F-AF91-CA633CD52E1D}"/>
            </c:ext>
          </c:extLst>
        </c:ser>
        <c:ser>
          <c:idx val="17"/>
          <c:order val="17"/>
          <c:tx>
            <c:strRef>
              <c:f>'نمودار خطوط انتقال '!$A$26</c:f>
              <c:strCache>
                <c:ptCount val="1"/>
                <c:pt idx="0">
                  <c:v>تهیه لوله های فایبرگلاس (G.R.P)</c:v>
                </c:pt>
              </c:strCache>
            </c:strRef>
          </c:tx>
          <c:spPr>
            <a:ln w="47520">
              <a:solidFill>
                <a:srgbClr val="F5BD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خطوط انتقال 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خطوط انتقال '!$B$26:$BM$26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AE74-456F-AF91-CA633CD52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682687"/>
        <c:axId val="87088155"/>
      </c:lineChart>
      <c:catAx>
        <c:axId val="73682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87088155"/>
        <c:crosses val="autoZero"/>
        <c:auto val="1"/>
        <c:lblAlgn val="ctr"/>
        <c:lblOffset val="100"/>
        <c:noMultiLvlLbl val="0"/>
      </c:catAx>
      <c:valAx>
        <c:axId val="87088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7368268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شبکه توزیع آّب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شبکه توزیع آ'!$A$9</c:f>
              <c:strCache>
                <c:ptCount val="1"/>
                <c:pt idx="0">
                  <c:v>عملیات لوله گذاری با لوله های ازبست سیمان</c:v>
                </c:pt>
              </c:strCache>
            </c:strRef>
          </c:tx>
          <c:spPr>
            <a:ln w="47520">
              <a:solidFill>
                <a:srgbClr val="3D679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آ'!$B$9:$BM$9</c:f>
              <c:numCache>
                <c:formatCode>#,##0.00</c:formatCode>
                <c:ptCount val="64"/>
                <c:pt idx="0">
                  <c:v>336.1</c:v>
                </c:pt>
                <c:pt idx="1">
                  <c:v>346.2</c:v>
                </c:pt>
                <c:pt idx="2">
                  <c:v>355.3</c:v>
                </c:pt>
                <c:pt idx="3">
                  <c:v>364.3</c:v>
                </c:pt>
                <c:pt idx="4">
                  <c:v>403.2</c:v>
                </c:pt>
                <c:pt idx="5">
                  <c:v>422.5</c:v>
                </c:pt>
                <c:pt idx="6">
                  <c:v>452.6</c:v>
                </c:pt>
                <c:pt idx="7">
                  <c:v>465.7</c:v>
                </c:pt>
                <c:pt idx="8">
                  <c:v>522.70000000000005</c:v>
                </c:pt>
                <c:pt idx="9">
                  <c:v>533</c:v>
                </c:pt>
                <c:pt idx="10">
                  <c:v>543.5</c:v>
                </c:pt>
                <c:pt idx="11">
                  <c:v>554.4</c:v>
                </c:pt>
                <c:pt idx="12">
                  <c:v>639.29999999999995</c:v>
                </c:pt>
                <c:pt idx="13">
                  <c:v>651</c:v>
                </c:pt>
                <c:pt idx="14">
                  <c:v>660.3</c:v>
                </c:pt>
                <c:pt idx="15">
                  <c:v>668.9</c:v>
                </c:pt>
                <c:pt idx="16">
                  <c:v>670</c:v>
                </c:pt>
                <c:pt idx="17">
                  <c:v>671</c:v>
                </c:pt>
                <c:pt idx="18">
                  <c:v>672</c:v>
                </c:pt>
                <c:pt idx="19">
                  <c:v>673</c:v>
                </c:pt>
                <c:pt idx="20">
                  <c:v>674</c:v>
                </c:pt>
                <c:pt idx="21">
                  <c:v>675</c:v>
                </c:pt>
                <c:pt idx="22">
                  <c:v>676</c:v>
                </c:pt>
                <c:pt idx="23">
                  <c:v>677</c:v>
                </c:pt>
                <c:pt idx="24">
                  <c:v>678</c:v>
                </c:pt>
                <c:pt idx="25">
                  <c:v>679</c:v>
                </c:pt>
                <c:pt idx="26">
                  <c:v>680</c:v>
                </c:pt>
                <c:pt idx="27">
                  <c:v>681</c:v>
                </c:pt>
                <c:pt idx="28">
                  <c:v>682</c:v>
                </c:pt>
                <c:pt idx="29">
                  <c:v>683</c:v>
                </c:pt>
                <c:pt idx="30">
                  <c:v>684</c:v>
                </c:pt>
                <c:pt idx="31">
                  <c:v>685</c:v>
                </c:pt>
                <c:pt idx="32">
                  <c:v>685</c:v>
                </c:pt>
                <c:pt idx="33">
                  <c:v>686</c:v>
                </c:pt>
                <c:pt idx="34">
                  <c:v>687</c:v>
                </c:pt>
                <c:pt idx="35">
                  <c:v>688</c:v>
                </c:pt>
                <c:pt idx="36">
                  <c:v>689</c:v>
                </c:pt>
                <c:pt idx="37">
                  <c:v>690</c:v>
                </c:pt>
                <c:pt idx="38">
                  <c:v>691</c:v>
                </c:pt>
                <c:pt idx="39">
                  <c:v>692</c:v>
                </c:pt>
                <c:pt idx="40">
                  <c:v>693</c:v>
                </c:pt>
                <c:pt idx="41">
                  <c:v>694</c:v>
                </c:pt>
                <c:pt idx="42">
                  <c:v>695</c:v>
                </c:pt>
                <c:pt idx="43">
                  <c:v>696</c:v>
                </c:pt>
                <c:pt idx="44">
                  <c:v>697</c:v>
                </c:pt>
                <c:pt idx="45">
                  <c:v>698</c:v>
                </c:pt>
                <c:pt idx="46">
                  <c:v>699</c:v>
                </c:pt>
                <c:pt idx="47">
                  <c:v>700</c:v>
                </c:pt>
                <c:pt idx="48">
                  <c:v>701</c:v>
                </c:pt>
                <c:pt idx="49">
                  <c:v>702</c:v>
                </c:pt>
                <c:pt idx="50">
                  <c:v>703</c:v>
                </c:pt>
                <c:pt idx="51">
                  <c:v>704</c:v>
                </c:pt>
                <c:pt idx="52">
                  <c:v>704</c:v>
                </c:pt>
                <c:pt idx="53">
                  <c:v>704</c:v>
                </c:pt>
                <c:pt idx="54">
                  <c:v>705</c:v>
                </c:pt>
                <c:pt idx="55">
                  <c:v>706</c:v>
                </c:pt>
                <c:pt idx="56">
                  <c:v>707</c:v>
                </c:pt>
                <c:pt idx="57">
                  <c:v>708</c:v>
                </c:pt>
                <c:pt idx="58">
                  <c:v>709</c:v>
                </c:pt>
                <c:pt idx="59">
                  <c:v>710</c:v>
                </c:pt>
                <c:pt idx="60">
                  <c:v>711</c:v>
                </c:pt>
                <c:pt idx="61">
                  <c:v>712</c:v>
                </c:pt>
                <c:pt idx="62">
                  <c:v>712</c:v>
                </c:pt>
                <c:pt idx="63">
                  <c:v>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77-4972-A4AB-B69A79F9B99C}"/>
            </c:ext>
          </c:extLst>
        </c:ser>
        <c:ser>
          <c:idx val="1"/>
          <c:order val="1"/>
          <c:tx>
            <c:strRef>
              <c:f>'نمودار شبکه توزیع آ'!$A$10</c:f>
              <c:strCache>
                <c:ptCount val="1"/>
                <c:pt idx="0">
                  <c:v>عملیات لوله گذاری با لوله های چدنی نشکن (داکتیل)</c:v>
                </c:pt>
              </c:strCache>
            </c:strRef>
          </c:tx>
          <c:spPr>
            <a:ln w="47520">
              <a:solidFill>
                <a:srgbClr val="9D3E3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آ'!$B$10:$BM$10</c:f>
              <c:numCache>
                <c:formatCode>#,##0.00</c:formatCode>
                <c:ptCount val="64"/>
                <c:pt idx="0">
                  <c:v>335.5</c:v>
                </c:pt>
                <c:pt idx="1">
                  <c:v>346</c:v>
                </c:pt>
                <c:pt idx="2">
                  <c:v>355.9</c:v>
                </c:pt>
                <c:pt idx="3">
                  <c:v>365.7</c:v>
                </c:pt>
                <c:pt idx="4">
                  <c:v>404.1</c:v>
                </c:pt>
                <c:pt idx="5">
                  <c:v>424</c:v>
                </c:pt>
                <c:pt idx="6">
                  <c:v>455.6</c:v>
                </c:pt>
                <c:pt idx="7">
                  <c:v>469.7</c:v>
                </c:pt>
                <c:pt idx="8">
                  <c:v>525.70000000000005</c:v>
                </c:pt>
                <c:pt idx="9">
                  <c:v>536.4</c:v>
                </c:pt>
                <c:pt idx="10">
                  <c:v>546.9</c:v>
                </c:pt>
                <c:pt idx="11">
                  <c:v>557.79999999999995</c:v>
                </c:pt>
                <c:pt idx="12">
                  <c:v>641.1</c:v>
                </c:pt>
                <c:pt idx="13">
                  <c:v>653</c:v>
                </c:pt>
                <c:pt idx="14">
                  <c:v>662</c:v>
                </c:pt>
                <c:pt idx="15">
                  <c:v>670.5</c:v>
                </c:pt>
                <c:pt idx="16">
                  <c:v>731.1</c:v>
                </c:pt>
                <c:pt idx="17">
                  <c:v>737</c:v>
                </c:pt>
                <c:pt idx="18">
                  <c:v>741.8</c:v>
                </c:pt>
                <c:pt idx="19">
                  <c:v>745.8</c:v>
                </c:pt>
                <c:pt idx="20">
                  <c:v>798.1</c:v>
                </c:pt>
                <c:pt idx="21">
                  <c:v>805.6</c:v>
                </c:pt>
                <c:pt idx="22">
                  <c:v>813.1</c:v>
                </c:pt>
                <c:pt idx="23">
                  <c:v>820.4</c:v>
                </c:pt>
                <c:pt idx="24">
                  <c:v>888.5</c:v>
                </c:pt>
                <c:pt idx="25">
                  <c:v>891.4</c:v>
                </c:pt>
                <c:pt idx="26">
                  <c:v>908.9</c:v>
                </c:pt>
                <c:pt idx="27">
                  <c:v>917.6</c:v>
                </c:pt>
                <c:pt idx="28">
                  <c:v>1044.9000000000001</c:v>
                </c:pt>
                <c:pt idx="29">
                  <c:v>1113.2</c:v>
                </c:pt>
                <c:pt idx="30">
                  <c:v>1139.0999999999999</c:v>
                </c:pt>
                <c:pt idx="31">
                  <c:v>1160.4000000000001</c:v>
                </c:pt>
                <c:pt idx="32">
                  <c:v>1178.2</c:v>
                </c:pt>
                <c:pt idx="33">
                  <c:v>1219.4000000000001</c:v>
                </c:pt>
                <c:pt idx="34">
                  <c:v>1467.2</c:v>
                </c:pt>
                <c:pt idx="35">
                  <c:v>1540.4</c:v>
                </c:pt>
                <c:pt idx="36">
                  <c:v>1593</c:v>
                </c:pt>
                <c:pt idx="37">
                  <c:v>1650.8</c:v>
                </c:pt>
                <c:pt idx="38">
                  <c:v>2017.6</c:v>
                </c:pt>
                <c:pt idx="39">
                  <c:v>2261.6999999999998</c:v>
                </c:pt>
                <c:pt idx="40">
                  <c:v>2303</c:v>
                </c:pt>
                <c:pt idx="41">
                  <c:v>2389.1999999999998</c:v>
                </c:pt>
                <c:pt idx="42">
                  <c:v>2629.2</c:v>
                </c:pt>
                <c:pt idx="43">
                  <c:v>2770.3</c:v>
                </c:pt>
                <c:pt idx="44">
                  <c:v>3611.6</c:v>
                </c:pt>
                <c:pt idx="45">
                  <c:v>3827</c:v>
                </c:pt>
                <c:pt idx="46">
                  <c:v>3848.6</c:v>
                </c:pt>
                <c:pt idx="47">
                  <c:v>3914.9</c:v>
                </c:pt>
                <c:pt idx="48">
                  <c:v>4933.5</c:v>
                </c:pt>
                <c:pt idx="49">
                  <c:v>5046.6000000000004</c:v>
                </c:pt>
                <c:pt idx="50">
                  <c:v>5471.1</c:v>
                </c:pt>
                <c:pt idx="51">
                  <c:v>5735.6</c:v>
                </c:pt>
                <c:pt idx="52">
                  <c:v>5738</c:v>
                </c:pt>
                <c:pt idx="53">
                  <c:v>5748.3</c:v>
                </c:pt>
                <c:pt idx="54">
                  <c:v>7003.8</c:v>
                </c:pt>
                <c:pt idx="55">
                  <c:v>7276</c:v>
                </c:pt>
                <c:pt idx="56">
                  <c:v>7424.6</c:v>
                </c:pt>
                <c:pt idx="57">
                  <c:v>7626.4</c:v>
                </c:pt>
                <c:pt idx="58">
                  <c:v>9378.4</c:v>
                </c:pt>
                <c:pt idx="59">
                  <c:v>9777.2999999999993</c:v>
                </c:pt>
                <c:pt idx="60">
                  <c:v>9807</c:v>
                </c:pt>
                <c:pt idx="61">
                  <c:v>10314.1</c:v>
                </c:pt>
                <c:pt idx="62">
                  <c:v>10439.799999999999</c:v>
                </c:pt>
                <c:pt idx="63">
                  <c:v>10575.8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77-4972-A4AB-B69A79F9B99C}"/>
            </c:ext>
          </c:extLst>
        </c:ser>
        <c:ser>
          <c:idx val="2"/>
          <c:order val="2"/>
          <c:tx>
            <c:strRef>
              <c:f>'نمودار شبکه توزیع آ'!$A$11</c:f>
              <c:strCache>
                <c:ptCount val="1"/>
                <c:pt idx="0">
                  <c:v>عملیات لوله گذاری با لوله های فایبرگلاس (G.R.P)</c:v>
                </c:pt>
              </c:strCache>
            </c:strRef>
          </c:tx>
          <c:spPr>
            <a:ln w="47520">
              <a:solidFill>
                <a:srgbClr val="7E994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آ'!$B$11:$BM$11</c:f>
              <c:numCache>
                <c:formatCode>#,##0.00</c:formatCode>
                <c:ptCount val="64"/>
                <c:pt idx="0">
                  <c:v>334.7</c:v>
                </c:pt>
                <c:pt idx="1">
                  <c:v>345.3</c:v>
                </c:pt>
                <c:pt idx="2">
                  <c:v>356.1</c:v>
                </c:pt>
                <c:pt idx="3">
                  <c:v>366.2</c:v>
                </c:pt>
                <c:pt idx="4">
                  <c:v>404.1</c:v>
                </c:pt>
                <c:pt idx="5">
                  <c:v>425</c:v>
                </c:pt>
                <c:pt idx="6">
                  <c:v>458.4</c:v>
                </c:pt>
                <c:pt idx="7">
                  <c:v>472.9</c:v>
                </c:pt>
                <c:pt idx="8">
                  <c:v>528.4</c:v>
                </c:pt>
                <c:pt idx="9">
                  <c:v>539.1</c:v>
                </c:pt>
                <c:pt idx="10">
                  <c:v>549.70000000000005</c:v>
                </c:pt>
                <c:pt idx="11">
                  <c:v>560.6</c:v>
                </c:pt>
                <c:pt idx="12">
                  <c:v>643.29999999999995</c:v>
                </c:pt>
                <c:pt idx="13">
                  <c:v>655</c:v>
                </c:pt>
                <c:pt idx="14">
                  <c:v>663.5</c:v>
                </c:pt>
                <c:pt idx="15">
                  <c:v>672.3</c:v>
                </c:pt>
                <c:pt idx="16">
                  <c:v>733.6</c:v>
                </c:pt>
                <c:pt idx="17">
                  <c:v>739</c:v>
                </c:pt>
                <c:pt idx="18">
                  <c:v>743.1</c:v>
                </c:pt>
                <c:pt idx="19">
                  <c:v>746.9</c:v>
                </c:pt>
                <c:pt idx="20">
                  <c:v>799.2</c:v>
                </c:pt>
                <c:pt idx="21">
                  <c:v>806.7</c:v>
                </c:pt>
                <c:pt idx="22">
                  <c:v>814.1</c:v>
                </c:pt>
                <c:pt idx="23">
                  <c:v>821.6</c:v>
                </c:pt>
                <c:pt idx="24">
                  <c:v>889.8</c:v>
                </c:pt>
                <c:pt idx="25">
                  <c:v>892.3</c:v>
                </c:pt>
                <c:pt idx="26">
                  <c:v>910.3</c:v>
                </c:pt>
                <c:pt idx="27">
                  <c:v>919.4</c:v>
                </c:pt>
                <c:pt idx="28">
                  <c:v>1046.3</c:v>
                </c:pt>
                <c:pt idx="29">
                  <c:v>1117.0999999999999</c:v>
                </c:pt>
                <c:pt idx="30">
                  <c:v>1143.7</c:v>
                </c:pt>
                <c:pt idx="31">
                  <c:v>1169.0999999999999</c:v>
                </c:pt>
                <c:pt idx="32">
                  <c:v>1184.2</c:v>
                </c:pt>
                <c:pt idx="33">
                  <c:v>1228.3</c:v>
                </c:pt>
                <c:pt idx="34">
                  <c:v>1477.6</c:v>
                </c:pt>
                <c:pt idx="35">
                  <c:v>1551.3</c:v>
                </c:pt>
                <c:pt idx="36">
                  <c:v>1601.7</c:v>
                </c:pt>
                <c:pt idx="37">
                  <c:v>1663.1</c:v>
                </c:pt>
                <c:pt idx="38">
                  <c:v>2027.9</c:v>
                </c:pt>
                <c:pt idx="39">
                  <c:v>2274</c:v>
                </c:pt>
                <c:pt idx="40">
                  <c:v>2317.8000000000002</c:v>
                </c:pt>
                <c:pt idx="41">
                  <c:v>2407.4</c:v>
                </c:pt>
                <c:pt idx="42">
                  <c:v>2654.1</c:v>
                </c:pt>
                <c:pt idx="43">
                  <c:v>2800.9</c:v>
                </c:pt>
                <c:pt idx="44">
                  <c:v>3658.9</c:v>
                </c:pt>
                <c:pt idx="45">
                  <c:v>3877.4</c:v>
                </c:pt>
                <c:pt idx="46">
                  <c:v>3895.2</c:v>
                </c:pt>
                <c:pt idx="47">
                  <c:v>3960.4</c:v>
                </c:pt>
                <c:pt idx="48">
                  <c:v>4982.2</c:v>
                </c:pt>
                <c:pt idx="49">
                  <c:v>5094.8999999999996</c:v>
                </c:pt>
                <c:pt idx="50">
                  <c:v>5512.3</c:v>
                </c:pt>
                <c:pt idx="51">
                  <c:v>5787.7</c:v>
                </c:pt>
                <c:pt idx="52">
                  <c:v>5789.5</c:v>
                </c:pt>
                <c:pt idx="53">
                  <c:v>5802.5</c:v>
                </c:pt>
                <c:pt idx="54">
                  <c:v>7060.4</c:v>
                </c:pt>
                <c:pt idx="55">
                  <c:v>7327.8</c:v>
                </c:pt>
                <c:pt idx="56">
                  <c:v>7464.3</c:v>
                </c:pt>
                <c:pt idx="57">
                  <c:v>7674.8</c:v>
                </c:pt>
                <c:pt idx="58">
                  <c:v>9409.2999999999993</c:v>
                </c:pt>
                <c:pt idx="59">
                  <c:v>9785.4</c:v>
                </c:pt>
                <c:pt idx="60">
                  <c:v>9846.7999999999993</c:v>
                </c:pt>
                <c:pt idx="61">
                  <c:v>10376.299999999999</c:v>
                </c:pt>
                <c:pt idx="62">
                  <c:v>10499.1</c:v>
                </c:pt>
                <c:pt idx="63">
                  <c:v>10645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77-4972-A4AB-B69A79F9B99C}"/>
            </c:ext>
          </c:extLst>
        </c:ser>
        <c:ser>
          <c:idx val="3"/>
          <c:order val="3"/>
          <c:tx>
            <c:strRef>
              <c:f>'نمودار شبکه توزیع آ'!$A$12</c:f>
              <c:strCache>
                <c:ptCount val="1"/>
                <c:pt idx="0">
                  <c:v>عملیات لوله گذاری با لوله پلی اتیلن</c:v>
                </c:pt>
              </c:strCache>
            </c:strRef>
          </c:tx>
          <c:spPr>
            <a:ln w="47520">
              <a:solidFill>
                <a:srgbClr val="674F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آ'!$B$12:$BM$12</c:f>
              <c:numCache>
                <c:formatCode>#,##0.00</c:formatCode>
                <c:ptCount val="64"/>
                <c:pt idx="0">
                  <c:v>334.7</c:v>
                </c:pt>
                <c:pt idx="1">
                  <c:v>345.3</c:v>
                </c:pt>
                <c:pt idx="2">
                  <c:v>356.1</c:v>
                </c:pt>
                <c:pt idx="3">
                  <c:v>366.2</c:v>
                </c:pt>
                <c:pt idx="4">
                  <c:v>404.1</c:v>
                </c:pt>
                <c:pt idx="5">
                  <c:v>425</c:v>
                </c:pt>
                <c:pt idx="6">
                  <c:v>458.4</c:v>
                </c:pt>
                <c:pt idx="7">
                  <c:v>472.9</c:v>
                </c:pt>
                <c:pt idx="8">
                  <c:v>528.4</c:v>
                </c:pt>
                <c:pt idx="9">
                  <c:v>539.1</c:v>
                </c:pt>
                <c:pt idx="10">
                  <c:v>549.70000000000005</c:v>
                </c:pt>
                <c:pt idx="11">
                  <c:v>560.6</c:v>
                </c:pt>
                <c:pt idx="12">
                  <c:v>643.29999999999995</c:v>
                </c:pt>
                <c:pt idx="13">
                  <c:v>655</c:v>
                </c:pt>
                <c:pt idx="14">
                  <c:v>663.5</c:v>
                </c:pt>
                <c:pt idx="15">
                  <c:v>672.2</c:v>
                </c:pt>
                <c:pt idx="16">
                  <c:v>733.6</c:v>
                </c:pt>
                <c:pt idx="17">
                  <c:v>739</c:v>
                </c:pt>
                <c:pt idx="18">
                  <c:v>743.1</c:v>
                </c:pt>
                <c:pt idx="19">
                  <c:v>747.1</c:v>
                </c:pt>
                <c:pt idx="20">
                  <c:v>799.6</c:v>
                </c:pt>
                <c:pt idx="21">
                  <c:v>806.9</c:v>
                </c:pt>
                <c:pt idx="22">
                  <c:v>814.6</c:v>
                </c:pt>
                <c:pt idx="23">
                  <c:v>822.1</c:v>
                </c:pt>
                <c:pt idx="24">
                  <c:v>890.4</c:v>
                </c:pt>
                <c:pt idx="25">
                  <c:v>892.8</c:v>
                </c:pt>
                <c:pt idx="26">
                  <c:v>910.9</c:v>
                </c:pt>
                <c:pt idx="27">
                  <c:v>919.8</c:v>
                </c:pt>
                <c:pt idx="28">
                  <c:v>1046.8</c:v>
                </c:pt>
                <c:pt idx="29">
                  <c:v>1117.5</c:v>
                </c:pt>
                <c:pt idx="30">
                  <c:v>1143.7</c:v>
                </c:pt>
                <c:pt idx="31">
                  <c:v>1167</c:v>
                </c:pt>
                <c:pt idx="32">
                  <c:v>1184.4000000000001</c:v>
                </c:pt>
                <c:pt idx="33">
                  <c:v>1228.8</c:v>
                </c:pt>
                <c:pt idx="34">
                  <c:v>1477.7</c:v>
                </c:pt>
                <c:pt idx="35">
                  <c:v>1552.2</c:v>
                </c:pt>
                <c:pt idx="36">
                  <c:v>1602.3</c:v>
                </c:pt>
                <c:pt idx="37">
                  <c:v>1663.2</c:v>
                </c:pt>
                <c:pt idx="38">
                  <c:v>2027.9</c:v>
                </c:pt>
                <c:pt idx="39">
                  <c:v>2274</c:v>
                </c:pt>
                <c:pt idx="40">
                  <c:v>2317.8000000000002</c:v>
                </c:pt>
                <c:pt idx="41">
                  <c:v>2407.4</c:v>
                </c:pt>
                <c:pt idx="42">
                  <c:v>2654.1</c:v>
                </c:pt>
                <c:pt idx="43">
                  <c:v>2800.9</c:v>
                </c:pt>
                <c:pt idx="44">
                  <c:v>3653.2</c:v>
                </c:pt>
                <c:pt idx="45">
                  <c:v>3869.1</c:v>
                </c:pt>
                <c:pt idx="46">
                  <c:v>3888</c:v>
                </c:pt>
                <c:pt idx="47">
                  <c:v>3960.4</c:v>
                </c:pt>
                <c:pt idx="48">
                  <c:v>4983.1000000000004</c:v>
                </c:pt>
                <c:pt idx="49">
                  <c:v>5094.8</c:v>
                </c:pt>
                <c:pt idx="50">
                  <c:v>5512.3</c:v>
                </c:pt>
                <c:pt idx="51">
                  <c:v>5787.7</c:v>
                </c:pt>
                <c:pt idx="52">
                  <c:v>5789.5</c:v>
                </c:pt>
                <c:pt idx="53">
                  <c:v>5802.5</c:v>
                </c:pt>
                <c:pt idx="54">
                  <c:v>7060.4</c:v>
                </c:pt>
                <c:pt idx="55">
                  <c:v>7327.8</c:v>
                </c:pt>
                <c:pt idx="56">
                  <c:v>7464.3</c:v>
                </c:pt>
                <c:pt idx="57">
                  <c:v>7674.8</c:v>
                </c:pt>
                <c:pt idx="58">
                  <c:v>9424.2999999999993</c:v>
                </c:pt>
                <c:pt idx="59">
                  <c:v>9823.2999999999993</c:v>
                </c:pt>
                <c:pt idx="60">
                  <c:v>9846.5</c:v>
                </c:pt>
                <c:pt idx="61">
                  <c:v>10378.299999999999</c:v>
                </c:pt>
                <c:pt idx="62">
                  <c:v>10500.1</c:v>
                </c:pt>
                <c:pt idx="63">
                  <c:v>10641.3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77-4972-A4AB-B69A79F9B99C}"/>
            </c:ext>
          </c:extLst>
        </c:ser>
        <c:ser>
          <c:idx val="4"/>
          <c:order val="4"/>
          <c:tx>
            <c:strRef>
              <c:f>'نمودار شبکه توزیع آ'!$A$13</c:f>
              <c:strCache>
                <c:ptCount val="1"/>
                <c:pt idx="0">
                  <c:v>نصب شیرها</c:v>
                </c:pt>
              </c:strCache>
            </c:strRef>
          </c:tx>
          <c:spPr>
            <a:ln w="47520">
              <a:solidFill>
                <a:srgbClr val="398B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آ'!$B$13:$BM$13</c:f>
              <c:numCache>
                <c:formatCode>#,##0.00</c:formatCode>
                <c:ptCount val="64"/>
                <c:pt idx="0">
                  <c:v>335.6</c:v>
                </c:pt>
                <c:pt idx="1">
                  <c:v>346.5</c:v>
                </c:pt>
                <c:pt idx="2">
                  <c:v>357.3</c:v>
                </c:pt>
                <c:pt idx="3">
                  <c:v>367.4</c:v>
                </c:pt>
                <c:pt idx="4">
                  <c:v>405.6</c:v>
                </c:pt>
                <c:pt idx="5">
                  <c:v>426.5</c:v>
                </c:pt>
                <c:pt idx="6">
                  <c:v>460.1</c:v>
                </c:pt>
                <c:pt idx="7">
                  <c:v>474.8</c:v>
                </c:pt>
                <c:pt idx="8">
                  <c:v>530.6</c:v>
                </c:pt>
                <c:pt idx="9">
                  <c:v>541.4</c:v>
                </c:pt>
                <c:pt idx="10">
                  <c:v>552.1</c:v>
                </c:pt>
                <c:pt idx="11">
                  <c:v>562.9</c:v>
                </c:pt>
                <c:pt idx="12">
                  <c:v>646.29999999999995</c:v>
                </c:pt>
                <c:pt idx="13">
                  <c:v>658.1</c:v>
                </c:pt>
                <c:pt idx="14">
                  <c:v>666.6</c:v>
                </c:pt>
                <c:pt idx="15">
                  <c:v>675.4</c:v>
                </c:pt>
                <c:pt idx="16">
                  <c:v>737.3</c:v>
                </c:pt>
                <c:pt idx="17">
                  <c:v>742.7</c:v>
                </c:pt>
                <c:pt idx="18">
                  <c:v>746.7</c:v>
                </c:pt>
                <c:pt idx="19">
                  <c:v>750.7</c:v>
                </c:pt>
                <c:pt idx="20">
                  <c:v>803.4</c:v>
                </c:pt>
                <c:pt idx="21">
                  <c:v>810.8</c:v>
                </c:pt>
                <c:pt idx="22">
                  <c:v>818.4</c:v>
                </c:pt>
                <c:pt idx="23">
                  <c:v>826</c:v>
                </c:pt>
                <c:pt idx="24">
                  <c:v>894.9</c:v>
                </c:pt>
                <c:pt idx="25">
                  <c:v>896.9</c:v>
                </c:pt>
                <c:pt idx="26">
                  <c:v>915.4</c:v>
                </c:pt>
                <c:pt idx="27">
                  <c:v>924.2</c:v>
                </c:pt>
                <c:pt idx="28">
                  <c:v>1051.8</c:v>
                </c:pt>
                <c:pt idx="29">
                  <c:v>1122.7</c:v>
                </c:pt>
                <c:pt idx="30">
                  <c:v>1148.5</c:v>
                </c:pt>
                <c:pt idx="31">
                  <c:v>1171.9000000000001</c:v>
                </c:pt>
                <c:pt idx="32">
                  <c:v>1189.4000000000001</c:v>
                </c:pt>
                <c:pt idx="33">
                  <c:v>1234.2</c:v>
                </c:pt>
                <c:pt idx="34">
                  <c:v>1485.7</c:v>
                </c:pt>
                <c:pt idx="35">
                  <c:v>1560.9</c:v>
                </c:pt>
                <c:pt idx="36">
                  <c:v>1611.2</c:v>
                </c:pt>
                <c:pt idx="37">
                  <c:v>1672.7</c:v>
                </c:pt>
                <c:pt idx="38">
                  <c:v>2040.7</c:v>
                </c:pt>
                <c:pt idx="39">
                  <c:v>2287.6999999999998</c:v>
                </c:pt>
                <c:pt idx="40">
                  <c:v>2331.8000000000002</c:v>
                </c:pt>
                <c:pt idx="41">
                  <c:v>2421.8000000000002</c:v>
                </c:pt>
                <c:pt idx="42">
                  <c:v>2669.3</c:v>
                </c:pt>
                <c:pt idx="43">
                  <c:v>2816.4</c:v>
                </c:pt>
                <c:pt idx="44">
                  <c:v>3676.1</c:v>
                </c:pt>
                <c:pt idx="45">
                  <c:v>3890</c:v>
                </c:pt>
                <c:pt idx="46">
                  <c:v>3907.3</c:v>
                </c:pt>
                <c:pt idx="47">
                  <c:v>3972.4</c:v>
                </c:pt>
                <c:pt idx="48">
                  <c:v>5003.1000000000004</c:v>
                </c:pt>
                <c:pt idx="49">
                  <c:v>5114.3999999999996</c:v>
                </c:pt>
                <c:pt idx="50">
                  <c:v>5547</c:v>
                </c:pt>
                <c:pt idx="51">
                  <c:v>5820.1</c:v>
                </c:pt>
                <c:pt idx="52">
                  <c:v>5821.9</c:v>
                </c:pt>
                <c:pt idx="53">
                  <c:v>5833.8</c:v>
                </c:pt>
                <c:pt idx="54">
                  <c:v>7103.7</c:v>
                </c:pt>
                <c:pt idx="55">
                  <c:v>7372.5</c:v>
                </c:pt>
                <c:pt idx="56">
                  <c:v>7506.7</c:v>
                </c:pt>
                <c:pt idx="57">
                  <c:v>7718.4</c:v>
                </c:pt>
                <c:pt idx="58">
                  <c:v>9483.1</c:v>
                </c:pt>
                <c:pt idx="59">
                  <c:v>9883.5</c:v>
                </c:pt>
                <c:pt idx="60">
                  <c:v>9905.5</c:v>
                </c:pt>
                <c:pt idx="61">
                  <c:v>10442.9</c:v>
                </c:pt>
                <c:pt idx="62">
                  <c:v>10562.9</c:v>
                </c:pt>
                <c:pt idx="63">
                  <c:v>10703.4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577-4972-A4AB-B69A79F9B99C}"/>
            </c:ext>
          </c:extLst>
        </c:ser>
        <c:ser>
          <c:idx val="5"/>
          <c:order val="5"/>
          <c:tx>
            <c:strRef>
              <c:f>'نمودار شبکه توزیع آ'!$A$14</c:f>
              <c:strCache>
                <c:ptCount val="1"/>
                <c:pt idx="0">
                  <c:v>احداث حوضچه های شیر</c:v>
                </c:pt>
              </c:strCache>
            </c:strRef>
          </c:tx>
          <c:spPr>
            <a:ln w="47520">
              <a:solidFill>
                <a:srgbClr val="CB79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577-4972-A4AB-B69A79F9B99C}"/>
            </c:ext>
          </c:extLst>
        </c:ser>
        <c:ser>
          <c:idx val="6"/>
          <c:order val="6"/>
          <c:tx>
            <c:strRef>
              <c:f>'نمودار شبکه توزیع آ'!$A$15</c:f>
              <c:strCache>
                <c:ptCount val="1"/>
                <c:pt idx="0">
                  <c:v>نصب انشعاب ها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آ'!$B$15:$BM$15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577-4972-A4AB-B69A79F9B99C}"/>
            </c:ext>
          </c:extLst>
        </c:ser>
        <c:ser>
          <c:idx val="7"/>
          <c:order val="7"/>
          <c:tx>
            <c:strRef>
              <c:f>'نمودار شبکه توزیع آ'!$A$16</c:f>
              <c:strCache>
                <c:ptCount val="1"/>
                <c:pt idx="0">
                  <c:v>عملیات خاکی و مرمت نوار حفاری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577-4972-A4AB-B69A79F9B99C}"/>
            </c:ext>
          </c:extLst>
        </c:ser>
        <c:ser>
          <c:idx val="8"/>
          <c:order val="8"/>
          <c:tx>
            <c:strRef>
              <c:f>'نمودار شبکه توزیع آ'!$A$17</c:f>
              <c:strCache>
                <c:ptCount val="1"/>
                <c:pt idx="0">
                  <c:v>کارهای فولادی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577-4972-A4AB-B69A79F9B99C}"/>
            </c:ext>
          </c:extLst>
        </c:ser>
        <c:ser>
          <c:idx val="9"/>
          <c:order val="9"/>
          <c:tx>
            <c:strRef>
              <c:f>'نمودار شبکه توزیع آ'!$A$18</c:f>
              <c:strCache>
                <c:ptCount val="1"/>
                <c:pt idx="0">
                  <c:v>کارهای بتنی و قالب بندی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577-4972-A4AB-B69A79F9B99C}"/>
            </c:ext>
          </c:extLst>
        </c:ser>
        <c:ser>
          <c:idx val="10"/>
          <c:order val="10"/>
          <c:tx>
            <c:strRef>
              <c:f>'نمودار شبکه توزیع آ'!$A$19</c:f>
              <c:strCache>
                <c:ptCount val="1"/>
                <c:pt idx="0">
                  <c:v>حمل و نقل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577-4972-A4AB-B69A79F9B99C}"/>
            </c:ext>
          </c:extLst>
        </c:ser>
        <c:ser>
          <c:idx val="11"/>
          <c:order val="11"/>
          <c:tx>
            <c:strRef>
              <c:f>'نمودار شبکه توزیع آ'!$A$20</c:f>
              <c:strCache>
                <c:ptCount val="1"/>
                <c:pt idx="0">
                  <c:v>تهیه لوله های چدنی نشکن (داکتیل)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آ'!$B$20:$BM$20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577-4972-A4AB-B69A79F9B99C}"/>
            </c:ext>
          </c:extLst>
        </c:ser>
        <c:ser>
          <c:idx val="12"/>
          <c:order val="12"/>
          <c:tx>
            <c:strRef>
              <c:f>'نمودار شبکه توزیع آ'!$A$21</c:f>
              <c:strCache>
                <c:ptCount val="1"/>
                <c:pt idx="0">
                  <c:v>تهیه لوله های فایبرگلاس (G.R.P)</c:v>
                </c:pt>
              </c:strCache>
            </c:strRef>
          </c:tx>
          <c:spPr>
            <a:ln w="47520">
              <a:solidFill>
                <a:srgbClr val="A5B5D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آ'!$B$21:$BM$21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577-4972-A4AB-B69A79F9B99C}"/>
            </c:ext>
          </c:extLst>
        </c:ser>
        <c:ser>
          <c:idx val="13"/>
          <c:order val="13"/>
          <c:tx>
            <c:strRef>
              <c:f>'نمودار شبکه توزیع آ'!$A$22</c:f>
              <c:strCache>
                <c:ptCount val="1"/>
                <c:pt idx="0">
                  <c:v>تهیه لوله های پلی اتیلن و پی وی سی سخت (U.P.V.C)</c:v>
                </c:pt>
              </c:strCache>
            </c:strRef>
          </c:tx>
          <c:spPr>
            <a:ln w="47520">
              <a:solidFill>
                <a:srgbClr val="D4A5A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شبکه توزیع آ'!$B$8:$BM$8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شبکه توزیع آ'!$B$22:$BM$22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577-4972-A4AB-B69A79F9B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8638234"/>
        <c:axId val="6033561"/>
      </c:lineChart>
      <c:catAx>
        <c:axId val="88638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6033561"/>
        <c:crosses val="autoZero"/>
        <c:auto val="1"/>
        <c:lblAlgn val="ctr"/>
        <c:lblOffset val="100"/>
        <c:noMultiLvlLbl val="0"/>
      </c:catAx>
      <c:valAx>
        <c:axId val="6033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8863823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سدسازی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سدسازی'!$A$9</c:f>
              <c:strCache>
                <c:ptCount val="1"/>
                <c:pt idx="0">
                  <c:v>عملیات خاکی و تخریب</c:v>
                </c:pt>
              </c:strCache>
            </c:strRef>
          </c:tx>
          <c:spPr>
            <a:ln w="47520">
              <a:solidFill>
                <a:srgbClr val="3D679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سدسازی'!$B$9:$BM$9</c:f>
              <c:numCache>
                <c:formatCode>#,##0.00</c:formatCode>
                <c:ptCount val="64"/>
                <c:pt idx="0">
                  <c:v>352.9</c:v>
                </c:pt>
                <c:pt idx="1">
                  <c:v>367</c:v>
                </c:pt>
                <c:pt idx="2">
                  <c:v>387.3</c:v>
                </c:pt>
                <c:pt idx="3">
                  <c:v>404.1</c:v>
                </c:pt>
                <c:pt idx="4">
                  <c:v>440.8</c:v>
                </c:pt>
                <c:pt idx="5">
                  <c:v>465.9</c:v>
                </c:pt>
                <c:pt idx="6">
                  <c:v>528.20000000000005</c:v>
                </c:pt>
                <c:pt idx="7">
                  <c:v>550.1</c:v>
                </c:pt>
                <c:pt idx="8">
                  <c:v>596.6</c:v>
                </c:pt>
                <c:pt idx="9">
                  <c:v>610.6</c:v>
                </c:pt>
                <c:pt idx="10">
                  <c:v>628</c:v>
                </c:pt>
                <c:pt idx="11">
                  <c:v>639</c:v>
                </c:pt>
                <c:pt idx="12">
                  <c:v>705.9</c:v>
                </c:pt>
                <c:pt idx="13">
                  <c:v>723.3</c:v>
                </c:pt>
                <c:pt idx="14">
                  <c:v>732.3</c:v>
                </c:pt>
                <c:pt idx="15">
                  <c:v>739.5</c:v>
                </c:pt>
                <c:pt idx="16">
                  <c:v>790.8</c:v>
                </c:pt>
                <c:pt idx="17">
                  <c:v>795</c:v>
                </c:pt>
                <c:pt idx="18">
                  <c:v>796.3</c:v>
                </c:pt>
                <c:pt idx="19">
                  <c:v>797.9</c:v>
                </c:pt>
                <c:pt idx="20">
                  <c:v>841.5</c:v>
                </c:pt>
                <c:pt idx="21">
                  <c:v>848.8</c:v>
                </c:pt>
                <c:pt idx="22">
                  <c:v>856.2</c:v>
                </c:pt>
                <c:pt idx="23">
                  <c:v>863.6</c:v>
                </c:pt>
                <c:pt idx="24">
                  <c:v>918.2</c:v>
                </c:pt>
                <c:pt idx="25">
                  <c:v>919.8</c:v>
                </c:pt>
                <c:pt idx="26">
                  <c:v>942.9</c:v>
                </c:pt>
                <c:pt idx="27">
                  <c:v>951</c:v>
                </c:pt>
                <c:pt idx="28">
                  <c:v>1057.5999999999999</c:v>
                </c:pt>
                <c:pt idx="29">
                  <c:v>1171.0999999999999</c:v>
                </c:pt>
                <c:pt idx="30">
                  <c:v>1218.8</c:v>
                </c:pt>
                <c:pt idx="31">
                  <c:v>1265</c:v>
                </c:pt>
                <c:pt idx="32">
                  <c:v>1295</c:v>
                </c:pt>
                <c:pt idx="33">
                  <c:v>1356.4</c:v>
                </c:pt>
                <c:pt idx="34">
                  <c:v>1574.2</c:v>
                </c:pt>
                <c:pt idx="35">
                  <c:v>1666.2</c:v>
                </c:pt>
                <c:pt idx="36">
                  <c:v>1740.2</c:v>
                </c:pt>
                <c:pt idx="37">
                  <c:v>1825.5</c:v>
                </c:pt>
                <c:pt idx="38">
                  <c:v>2179.3000000000002</c:v>
                </c:pt>
                <c:pt idx="39">
                  <c:v>2489.6999999999998</c:v>
                </c:pt>
                <c:pt idx="40">
                  <c:v>2575.9</c:v>
                </c:pt>
                <c:pt idx="41">
                  <c:v>2757</c:v>
                </c:pt>
                <c:pt idx="42">
                  <c:v>3025.5</c:v>
                </c:pt>
                <c:pt idx="43">
                  <c:v>3226.5</c:v>
                </c:pt>
                <c:pt idx="44">
                  <c:v>4162.3</c:v>
                </c:pt>
                <c:pt idx="45">
                  <c:v>4511</c:v>
                </c:pt>
                <c:pt idx="46">
                  <c:v>4572.7</c:v>
                </c:pt>
                <c:pt idx="47">
                  <c:v>4729.8999999999996</c:v>
                </c:pt>
                <c:pt idx="48">
                  <c:v>5875.5</c:v>
                </c:pt>
                <c:pt idx="49">
                  <c:v>6040.7</c:v>
                </c:pt>
                <c:pt idx="50">
                  <c:v>6527.3</c:v>
                </c:pt>
                <c:pt idx="51">
                  <c:v>6904.4</c:v>
                </c:pt>
                <c:pt idx="52">
                  <c:v>6904.4</c:v>
                </c:pt>
                <c:pt idx="53">
                  <c:v>6905.1</c:v>
                </c:pt>
                <c:pt idx="54">
                  <c:v>8288.7999999999993</c:v>
                </c:pt>
                <c:pt idx="55">
                  <c:v>8680.1</c:v>
                </c:pt>
                <c:pt idx="56">
                  <c:v>8809.7000000000007</c:v>
                </c:pt>
                <c:pt idx="57">
                  <c:v>9083.5</c:v>
                </c:pt>
                <c:pt idx="58">
                  <c:v>10846.5</c:v>
                </c:pt>
                <c:pt idx="59">
                  <c:v>11358.5</c:v>
                </c:pt>
                <c:pt idx="60">
                  <c:v>11562.8</c:v>
                </c:pt>
                <c:pt idx="61">
                  <c:v>12326.6</c:v>
                </c:pt>
                <c:pt idx="62">
                  <c:v>12469.2</c:v>
                </c:pt>
                <c:pt idx="63">
                  <c:v>12648.7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A9-48A1-8D0E-902B4F3AABB4}"/>
            </c:ext>
          </c:extLst>
        </c:ser>
        <c:ser>
          <c:idx val="1"/>
          <c:order val="1"/>
          <c:tx>
            <c:strRef>
              <c:f>'نمودار سدسازی'!$A$10</c:f>
              <c:strCache>
                <c:ptCount val="1"/>
                <c:pt idx="0">
                  <c:v>عملیات حفاری در فضای بسته</c:v>
                </c:pt>
              </c:strCache>
            </c:strRef>
          </c:tx>
          <c:spPr>
            <a:ln w="47520">
              <a:solidFill>
                <a:srgbClr val="9D3E3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سدسازی'!$B$10:$BM$10</c:f>
              <c:numCache>
                <c:formatCode>#,##0.00</c:formatCode>
                <c:ptCount val="64"/>
                <c:pt idx="0">
                  <c:v>323.10000000000002</c:v>
                </c:pt>
                <c:pt idx="1">
                  <c:v>332.1</c:v>
                </c:pt>
                <c:pt idx="2">
                  <c:v>354.5</c:v>
                </c:pt>
                <c:pt idx="3">
                  <c:v>365.7</c:v>
                </c:pt>
                <c:pt idx="4">
                  <c:v>405.3</c:v>
                </c:pt>
                <c:pt idx="5">
                  <c:v>421.7</c:v>
                </c:pt>
                <c:pt idx="6">
                  <c:v>509.9</c:v>
                </c:pt>
                <c:pt idx="7">
                  <c:v>524.5</c:v>
                </c:pt>
                <c:pt idx="8">
                  <c:v>553.29999999999995</c:v>
                </c:pt>
                <c:pt idx="9">
                  <c:v>562.5</c:v>
                </c:pt>
                <c:pt idx="10">
                  <c:v>587.5</c:v>
                </c:pt>
                <c:pt idx="11">
                  <c:v>594.29999999999995</c:v>
                </c:pt>
                <c:pt idx="12">
                  <c:v>636.1</c:v>
                </c:pt>
                <c:pt idx="13">
                  <c:v>658.6</c:v>
                </c:pt>
                <c:pt idx="14">
                  <c:v>671.3</c:v>
                </c:pt>
                <c:pt idx="15">
                  <c:v>675.7</c:v>
                </c:pt>
                <c:pt idx="16">
                  <c:v>707.4</c:v>
                </c:pt>
                <c:pt idx="17">
                  <c:v>709.9</c:v>
                </c:pt>
                <c:pt idx="18">
                  <c:v>710.3</c:v>
                </c:pt>
                <c:pt idx="19">
                  <c:v>711</c:v>
                </c:pt>
                <c:pt idx="20">
                  <c:v>737.3</c:v>
                </c:pt>
                <c:pt idx="21">
                  <c:v>741.9</c:v>
                </c:pt>
                <c:pt idx="22">
                  <c:v>746.6</c:v>
                </c:pt>
                <c:pt idx="23">
                  <c:v>751.2</c:v>
                </c:pt>
                <c:pt idx="24">
                  <c:v>784.9</c:v>
                </c:pt>
                <c:pt idx="25">
                  <c:v>785.4</c:v>
                </c:pt>
                <c:pt idx="26">
                  <c:v>814.3</c:v>
                </c:pt>
                <c:pt idx="27">
                  <c:v>819.3</c:v>
                </c:pt>
                <c:pt idx="28">
                  <c:v>884.7</c:v>
                </c:pt>
                <c:pt idx="29">
                  <c:v>982.2</c:v>
                </c:pt>
                <c:pt idx="30">
                  <c:v>1014.8</c:v>
                </c:pt>
                <c:pt idx="31">
                  <c:v>1046.4000000000001</c:v>
                </c:pt>
                <c:pt idx="32">
                  <c:v>1094.0999999999999</c:v>
                </c:pt>
                <c:pt idx="33">
                  <c:v>1101.0999999999999</c:v>
                </c:pt>
                <c:pt idx="34">
                  <c:v>1261.3</c:v>
                </c:pt>
                <c:pt idx="35">
                  <c:v>1318.7</c:v>
                </c:pt>
                <c:pt idx="36">
                  <c:v>1365.7</c:v>
                </c:pt>
                <c:pt idx="37">
                  <c:v>1420</c:v>
                </c:pt>
                <c:pt idx="38">
                  <c:v>1739.9</c:v>
                </c:pt>
                <c:pt idx="39">
                  <c:v>1951.4</c:v>
                </c:pt>
                <c:pt idx="40">
                  <c:v>2006.8</c:v>
                </c:pt>
                <c:pt idx="41">
                  <c:v>2123</c:v>
                </c:pt>
                <c:pt idx="42">
                  <c:v>2292.4</c:v>
                </c:pt>
                <c:pt idx="43">
                  <c:v>2652.7</c:v>
                </c:pt>
                <c:pt idx="44">
                  <c:v>3418.9</c:v>
                </c:pt>
                <c:pt idx="45">
                  <c:v>3789.5</c:v>
                </c:pt>
                <c:pt idx="46">
                  <c:v>3852.8</c:v>
                </c:pt>
                <c:pt idx="47">
                  <c:v>4092</c:v>
                </c:pt>
                <c:pt idx="48">
                  <c:v>4846.3999999999996</c:v>
                </c:pt>
                <c:pt idx="49">
                  <c:v>4948.6000000000004</c:v>
                </c:pt>
                <c:pt idx="50">
                  <c:v>5507.3</c:v>
                </c:pt>
                <c:pt idx="51">
                  <c:v>5736.8</c:v>
                </c:pt>
                <c:pt idx="52">
                  <c:v>5736.8</c:v>
                </c:pt>
                <c:pt idx="53">
                  <c:v>5736.8</c:v>
                </c:pt>
                <c:pt idx="54">
                  <c:v>6710.9</c:v>
                </c:pt>
                <c:pt idx="55">
                  <c:v>6940.1</c:v>
                </c:pt>
                <c:pt idx="56">
                  <c:v>7430</c:v>
                </c:pt>
                <c:pt idx="57">
                  <c:v>7595.4</c:v>
                </c:pt>
                <c:pt idx="58">
                  <c:v>8914.7999999999993</c:v>
                </c:pt>
                <c:pt idx="59">
                  <c:v>9348.4</c:v>
                </c:pt>
                <c:pt idx="60">
                  <c:v>10131.700000000001</c:v>
                </c:pt>
                <c:pt idx="61">
                  <c:v>10592.5</c:v>
                </c:pt>
                <c:pt idx="62">
                  <c:v>10682.1</c:v>
                </c:pt>
                <c:pt idx="63">
                  <c:v>10795.2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A9-48A1-8D0E-902B4F3AABB4}"/>
            </c:ext>
          </c:extLst>
        </c:ser>
        <c:ser>
          <c:idx val="2"/>
          <c:order val="2"/>
          <c:tx>
            <c:strRef>
              <c:f>'نمودار سدسازی'!$A$11</c:f>
              <c:strCache>
                <c:ptCount val="1"/>
                <c:pt idx="0">
                  <c:v>عملیات پایدارسازی و نگهداری سطوح</c:v>
                </c:pt>
              </c:strCache>
            </c:strRef>
          </c:tx>
          <c:spPr>
            <a:ln w="47520">
              <a:solidFill>
                <a:srgbClr val="7E994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سدسازی'!$B$11:$BM$11</c:f>
              <c:numCache>
                <c:formatCode>#,##0.00</c:formatCode>
                <c:ptCount val="64"/>
                <c:pt idx="0">
                  <c:v>297.39999999999998</c:v>
                </c:pt>
                <c:pt idx="1">
                  <c:v>313</c:v>
                </c:pt>
                <c:pt idx="2">
                  <c:v>326.7</c:v>
                </c:pt>
                <c:pt idx="3">
                  <c:v>339.8</c:v>
                </c:pt>
                <c:pt idx="4">
                  <c:v>367</c:v>
                </c:pt>
                <c:pt idx="5">
                  <c:v>387.9</c:v>
                </c:pt>
                <c:pt idx="6">
                  <c:v>433.8</c:v>
                </c:pt>
                <c:pt idx="7">
                  <c:v>450.4</c:v>
                </c:pt>
                <c:pt idx="8">
                  <c:v>492.1</c:v>
                </c:pt>
                <c:pt idx="9">
                  <c:v>508.2</c:v>
                </c:pt>
                <c:pt idx="10">
                  <c:v>516.29999999999995</c:v>
                </c:pt>
                <c:pt idx="11">
                  <c:v>524.20000000000005</c:v>
                </c:pt>
                <c:pt idx="12">
                  <c:v>579.6</c:v>
                </c:pt>
                <c:pt idx="13">
                  <c:v>599.70000000000005</c:v>
                </c:pt>
                <c:pt idx="14">
                  <c:v>600.29999999999995</c:v>
                </c:pt>
                <c:pt idx="15">
                  <c:v>605.29999999999995</c:v>
                </c:pt>
                <c:pt idx="16">
                  <c:v>646.1</c:v>
                </c:pt>
                <c:pt idx="17">
                  <c:v>649.20000000000005</c:v>
                </c:pt>
                <c:pt idx="18">
                  <c:v>647</c:v>
                </c:pt>
                <c:pt idx="19">
                  <c:v>648.20000000000005</c:v>
                </c:pt>
                <c:pt idx="20">
                  <c:v>684.4</c:v>
                </c:pt>
                <c:pt idx="21">
                  <c:v>691.6</c:v>
                </c:pt>
                <c:pt idx="22">
                  <c:v>703.8</c:v>
                </c:pt>
                <c:pt idx="23">
                  <c:v>711.3</c:v>
                </c:pt>
                <c:pt idx="24">
                  <c:v>761</c:v>
                </c:pt>
                <c:pt idx="25">
                  <c:v>763.9</c:v>
                </c:pt>
                <c:pt idx="26">
                  <c:v>780.3</c:v>
                </c:pt>
                <c:pt idx="27">
                  <c:v>787.2</c:v>
                </c:pt>
                <c:pt idx="28">
                  <c:v>884.7</c:v>
                </c:pt>
                <c:pt idx="29">
                  <c:v>969.3</c:v>
                </c:pt>
                <c:pt idx="30">
                  <c:v>1018.4</c:v>
                </c:pt>
                <c:pt idx="31">
                  <c:v>1053.2</c:v>
                </c:pt>
                <c:pt idx="32">
                  <c:v>1074.5</c:v>
                </c:pt>
                <c:pt idx="33">
                  <c:v>1122.3</c:v>
                </c:pt>
                <c:pt idx="34">
                  <c:v>1296.3</c:v>
                </c:pt>
                <c:pt idx="35">
                  <c:v>1395.1</c:v>
                </c:pt>
                <c:pt idx="36">
                  <c:v>1461</c:v>
                </c:pt>
                <c:pt idx="37">
                  <c:v>1532</c:v>
                </c:pt>
                <c:pt idx="38">
                  <c:v>1805.1</c:v>
                </c:pt>
                <c:pt idx="39">
                  <c:v>2075.6</c:v>
                </c:pt>
                <c:pt idx="40">
                  <c:v>2139.4</c:v>
                </c:pt>
                <c:pt idx="41">
                  <c:v>2280.3000000000002</c:v>
                </c:pt>
                <c:pt idx="42">
                  <c:v>2531.6999999999998</c:v>
                </c:pt>
                <c:pt idx="43">
                  <c:v>2661.8</c:v>
                </c:pt>
                <c:pt idx="44">
                  <c:v>3440.1</c:v>
                </c:pt>
                <c:pt idx="45">
                  <c:v>3807.3</c:v>
                </c:pt>
                <c:pt idx="46">
                  <c:v>3783.8</c:v>
                </c:pt>
                <c:pt idx="47">
                  <c:v>3903</c:v>
                </c:pt>
                <c:pt idx="48">
                  <c:v>4832.1000000000004</c:v>
                </c:pt>
                <c:pt idx="49">
                  <c:v>5014.3999999999996</c:v>
                </c:pt>
                <c:pt idx="50">
                  <c:v>5332.3</c:v>
                </c:pt>
                <c:pt idx="51">
                  <c:v>5640.1</c:v>
                </c:pt>
                <c:pt idx="52">
                  <c:v>5656.8</c:v>
                </c:pt>
                <c:pt idx="53">
                  <c:v>5790.3</c:v>
                </c:pt>
                <c:pt idx="54">
                  <c:v>6856.6</c:v>
                </c:pt>
                <c:pt idx="55">
                  <c:v>7221.9</c:v>
                </c:pt>
                <c:pt idx="56">
                  <c:v>7346.4</c:v>
                </c:pt>
                <c:pt idx="57">
                  <c:v>7555.3</c:v>
                </c:pt>
                <c:pt idx="58">
                  <c:v>9047.9</c:v>
                </c:pt>
                <c:pt idx="59">
                  <c:v>9681.2999999999993</c:v>
                </c:pt>
                <c:pt idx="60">
                  <c:v>9720.1</c:v>
                </c:pt>
                <c:pt idx="61">
                  <c:v>10361.299999999999</c:v>
                </c:pt>
                <c:pt idx="62">
                  <c:v>10507.8</c:v>
                </c:pt>
                <c:pt idx="63">
                  <c:v>10713.6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A9-48A1-8D0E-902B4F3AABB4}"/>
            </c:ext>
          </c:extLst>
        </c:ser>
        <c:ser>
          <c:idx val="3"/>
          <c:order val="3"/>
          <c:tx>
            <c:strRef>
              <c:f>'نمودار سدسازی'!$A$12</c:f>
              <c:strCache>
                <c:ptCount val="1"/>
                <c:pt idx="0">
                  <c:v>چالزنی، تزریق و دیوار اب بند</c:v>
                </c:pt>
              </c:strCache>
            </c:strRef>
          </c:tx>
          <c:spPr>
            <a:ln w="47520">
              <a:solidFill>
                <a:srgbClr val="674F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سدسازی'!$B$12:$BM$12</c:f>
              <c:numCache>
                <c:formatCode>#,##0.00</c:formatCode>
                <c:ptCount val="64"/>
                <c:pt idx="0">
                  <c:v>315.8</c:v>
                </c:pt>
                <c:pt idx="1">
                  <c:v>328.6</c:v>
                </c:pt>
                <c:pt idx="2">
                  <c:v>346.5</c:v>
                </c:pt>
                <c:pt idx="3">
                  <c:v>362.4</c:v>
                </c:pt>
                <c:pt idx="4">
                  <c:v>393.5</c:v>
                </c:pt>
                <c:pt idx="5">
                  <c:v>418.1</c:v>
                </c:pt>
                <c:pt idx="6">
                  <c:v>464.1</c:v>
                </c:pt>
                <c:pt idx="7">
                  <c:v>486.7</c:v>
                </c:pt>
                <c:pt idx="8">
                  <c:v>530.4</c:v>
                </c:pt>
                <c:pt idx="9">
                  <c:v>543.6</c:v>
                </c:pt>
                <c:pt idx="10">
                  <c:v>553.6</c:v>
                </c:pt>
                <c:pt idx="11">
                  <c:v>564</c:v>
                </c:pt>
                <c:pt idx="12">
                  <c:v>627.20000000000005</c:v>
                </c:pt>
                <c:pt idx="13">
                  <c:v>640.1</c:v>
                </c:pt>
                <c:pt idx="14">
                  <c:v>645.4</c:v>
                </c:pt>
                <c:pt idx="15">
                  <c:v>652.1</c:v>
                </c:pt>
                <c:pt idx="16">
                  <c:v>699.9</c:v>
                </c:pt>
                <c:pt idx="17">
                  <c:v>703.7</c:v>
                </c:pt>
                <c:pt idx="18">
                  <c:v>704.6</c:v>
                </c:pt>
                <c:pt idx="19">
                  <c:v>705.8</c:v>
                </c:pt>
                <c:pt idx="20">
                  <c:v>746.7</c:v>
                </c:pt>
                <c:pt idx="21">
                  <c:v>753.7</c:v>
                </c:pt>
                <c:pt idx="22">
                  <c:v>761.7</c:v>
                </c:pt>
                <c:pt idx="23">
                  <c:v>768.9</c:v>
                </c:pt>
                <c:pt idx="24">
                  <c:v>820.5</c:v>
                </c:pt>
                <c:pt idx="25">
                  <c:v>822.6</c:v>
                </c:pt>
                <c:pt idx="26">
                  <c:v>842.9</c:v>
                </c:pt>
                <c:pt idx="27">
                  <c:v>850.7</c:v>
                </c:pt>
                <c:pt idx="28">
                  <c:v>951.5</c:v>
                </c:pt>
                <c:pt idx="29">
                  <c:v>1055.5</c:v>
                </c:pt>
                <c:pt idx="30">
                  <c:v>1102.3</c:v>
                </c:pt>
                <c:pt idx="31">
                  <c:v>1148.0999999999999</c:v>
                </c:pt>
                <c:pt idx="32">
                  <c:v>1166.4000000000001</c:v>
                </c:pt>
                <c:pt idx="33">
                  <c:v>1209.0999999999999</c:v>
                </c:pt>
                <c:pt idx="34">
                  <c:v>1410.8</c:v>
                </c:pt>
                <c:pt idx="35">
                  <c:v>1495</c:v>
                </c:pt>
                <c:pt idx="36">
                  <c:v>1563.5</c:v>
                </c:pt>
                <c:pt idx="37">
                  <c:v>1648</c:v>
                </c:pt>
                <c:pt idx="38">
                  <c:v>1958.7</c:v>
                </c:pt>
                <c:pt idx="39">
                  <c:v>2258</c:v>
                </c:pt>
                <c:pt idx="40">
                  <c:v>2344.6999999999998</c:v>
                </c:pt>
                <c:pt idx="41">
                  <c:v>2522.1</c:v>
                </c:pt>
                <c:pt idx="42">
                  <c:v>2784.3</c:v>
                </c:pt>
                <c:pt idx="43">
                  <c:v>2940.2</c:v>
                </c:pt>
                <c:pt idx="44">
                  <c:v>3664.7</c:v>
                </c:pt>
                <c:pt idx="45">
                  <c:v>3951</c:v>
                </c:pt>
                <c:pt idx="46">
                  <c:v>4124.3999999999996</c:v>
                </c:pt>
                <c:pt idx="47">
                  <c:v>4242.7</c:v>
                </c:pt>
                <c:pt idx="48">
                  <c:v>5308.9</c:v>
                </c:pt>
                <c:pt idx="49">
                  <c:v>5462</c:v>
                </c:pt>
                <c:pt idx="50">
                  <c:v>5797.7</c:v>
                </c:pt>
                <c:pt idx="51">
                  <c:v>6159.1</c:v>
                </c:pt>
                <c:pt idx="52">
                  <c:v>6160.3</c:v>
                </c:pt>
                <c:pt idx="53">
                  <c:v>6169</c:v>
                </c:pt>
                <c:pt idx="54">
                  <c:v>7431.8</c:v>
                </c:pt>
                <c:pt idx="55">
                  <c:v>7772.2</c:v>
                </c:pt>
                <c:pt idx="56">
                  <c:v>7879.1</c:v>
                </c:pt>
                <c:pt idx="57">
                  <c:v>8134.6</c:v>
                </c:pt>
                <c:pt idx="58">
                  <c:v>9816.2999999999993</c:v>
                </c:pt>
                <c:pt idx="59">
                  <c:v>10299.9</c:v>
                </c:pt>
                <c:pt idx="60">
                  <c:v>10309.700000000001</c:v>
                </c:pt>
                <c:pt idx="61">
                  <c:v>10995</c:v>
                </c:pt>
                <c:pt idx="62">
                  <c:v>11132.3</c:v>
                </c:pt>
                <c:pt idx="63">
                  <c:v>11304.9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A9-48A1-8D0E-902B4F3AABB4}"/>
            </c:ext>
          </c:extLst>
        </c:ser>
        <c:ser>
          <c:idx val="4"/>
          <c:order val="4"/>
          <c:tx>
            <c:strRef>
              <c:f>'نمودار سدسازی'!$A$13</c:f>
              <c:strCache>
                <c:ptCount val="1"/>
                <c:pt idx="0">
                  <c:v>کارهای فولادی</c:v>
                </c:pt>
              </c:strCache>
            </c:strRef>
          </c:tx>
          <c:spPr>
            <a:ln w="47520">
              <a:solidFill>
                <a:srgbClr val="398B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سدسازی'!$B$13:$BM$13</c:f>
              <c:numCache>
                <c:formatCode>#,##0.00</c:formatCode>
                <c:ptCount val="64"/>
                <c:pt idx="0">
                  <c:v>306.39999999999998</c:v>
                </c:pt>
                <c:pt idx="1">
                  <c:v>323.89999999999998</c:v>
                </c:pt>
                <c:pt idx="2">
                  <c:v>337</c:v>
                </c:pt>
                <c:pt idx="3">
                  <c:v>392.5</c:v>
                </c:pt>
                <c:pt idx="4">
                  <c:v>452.7</c:v>
                </c:pt>
                <c:pt idx="5">
                  <c:v>559.79999999999995</c:v>
                </c:pt>
                <c:pt idx="6">
                  <c:v>645.4</c:v>
                </c:pt>
                <c:pt idx="7">
                  <c:v>645.79999999999995</c:v>
                </c:pt>
                <c:pt idx="8">
                  <c:v>650.1</c:v>
                </c:pt>
                <c:pt idx="9">
                  <c:v>650.70000000000005</c:v>
                </c:pt>
                <c:pt idx="10">
                  <c:v>644.29999999999995</c:v>
                </c:pt>
                <c:pt idx="11">
                  <c:v>606.1</c:v>
                </c:pt>
                <c:pt idx="12">
                  <c:v>657.8</c:v>
                </c:pt>
                <c:pt idx="13">
                  <c:v>640.6</c:v>
                </c:pt>
                <c:pt idx="14">
                  <c:v>638.4</c:v>
                </c:pt>
                <c:pt idx="15">
                  <c:v>594.70000000000005</c:v>
                </c:pt>
                <c:pt idx="16">
                  <c:v>561.5</c:v>
                </c:pt>
                <c:pt idx="17">
                  <c:v>543.79999999999995</c:v>
                </c:pt>
                <c:pt idx="18">
                  <c:v>521.29999999999995</c:v>
                </c:pt>
                <c:pt idx="19">
                  <c:v>484.1</c:v>
                </c:pt>
                <c:pt idx="20">
                  <c:v>572.20000000000005</c:v>
                </c:pt>
                <c:pt idx="21">
                  <c:v>574.5</c:v>
                </c:pt>
                <c:pt idx="22">
                  <c:v>611.20000000000005</c:v>
                </c:pt>
                <c:pt idx="23">
                  <c:v>600.6</c:v>
                </c:pt>
                <c:pt idx="24">
                  <c:v>608</c:v>
                </c:pt>
                <c:pt idx="25">
                  <c:v>740.6</c:v>
                </c:pt>
                <c:pt idx="26">
                  <c:v>773.7</c:v>
                </c:pt>
                <c:pt idx="27">
                  <c:v>823.2</c:v>
                </c:pt>
                <c:pt idx="28">
                  <c:v>986.3</c:v>
                </c:pt>
                <c:pt idx="29">
                  <c:v>1169.5</c:v>
                </c:pt>
                <c:pt idx="30">
                  <c:v>1450.1</c:v>
                </c:pt>
                <c:pt idx="31">
                  <c:v>1504</c:v>
                </c:pt>
                <c:pt idx="32">
                  <c:v>1405.2</c:v>
                </c:pt>
                <c:pt idx="33">
                  <c:v>1386.8</c:v>
                </c:pt>
                <c:pt idx="34">
                  <c:v>1637.8</c:v>
                </c:pt>
                <c:pt idx="35">
                  <c:v>1457.2</c:v>
                </c:pt>
                <c:pt idx="36">
                  <c:v>1514.8</c:v>
                </c:pt>
                <c:pt idx="37">
                  <c:v>1894.9</c:v>
                </c:pt>
                <c:pt idx="38">
                  <c:v>2128.3000000000002</c:v>
                </c:pt>
                <c:pt idx="39">
                  <c:v>3205.2</c:v>
                </c:pt>
                <c:pt idx="40">
                  <c:v>3429.2</c:v>
                </c:pt>
                <c:pt idx="41">
                  <c:v>3674.4</c:v>
                </c:pt>
                <c:pt idx="42">
                  <c:v>3888.7</c:v>
                </c:pt>
                <c:pt idx="43">
                  <c:v>4141.8</c:v>
                </c:pt>
                <c:pt idx="44">
                  <c:v>4629.7</c:v>
                </c:pt>
                <c:pt idx="45">
                  <c:v>5356.2</c:v>
                </c:pt>
                <c:pt idx="46">
                  <c:v>5193.8</c:v>
                </c:pt>
                <c:pt idx="47">
                  <c:v>5110.8999999999996</c:v>
                </c:pt>
                <c:pt idx="48">
                  <c:v>5957.4</c:v>
                </c:pt>
                <c:pt idx="49">
                  <c:v>5485.4</c:v>
                </c:pt>
                <c:pt idx="50">
                  <c:v>5530.9</c:v>
                </c:pt>
                <c:pt idx="51">
                  <c:v>6547.7</c:v>
                </c:pt>
                <c:pt idx="52">
                  <c:v>7263.3</c:v>
                </c:pt>
                <c:pt idx="53">
                  <c:v>8408.7000000000007</c:v>
                </c:pt>
                <c:pt idx="54">
                  <c:v>8565.4</c:v>
                </c:pt>
                <c:pt idx="55">
                  <c:v>8162.4</c:v>
                </c:pt>
                <c:pt idx="56">
                  <c:v>79007</c:v>
                </c:pt>
                <c:pt idx="57">
                  <c:v>8239.6</c:v>
                </c:pt>
                <c:pt idx="58">
                  <c:v>9255.4</c:v>
                </c:pt>
                <c:pt idx="59">
                  <c:v>9698.5</c:v>
                </c:pt>
                <c:pt idx="60">
                  <c:v>9991.7000000000007</c:v>
                </c:pt>
                <c:pt idx="61">
                  <c:v>10497.1</c:v>
                </c:pt>
                <c:pt idx="62">
                  <c:v>11133.2</c:v>
                </c:pt>
                <c:pt idx="63">
                  <c:v>12127.4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A9-48A1-8D0E-902B4F3AABB4}"/>
            </c:ext>
          </c:extLst>
        </c:ser>
        <c:ser>
          <c:idx val="5"/>
          <c:order val="5"/>
          <c:tx>
            <c:strRef>
              <c:f>'نمودار سدسازی'!$A$14</c:f>
              <c:strCache>
                <c:ptCount val="1"/>
                <c:pt idx="0">
                  <c:v>قالب بندی</c:v>
                </c:pt>
              </c:strCache>
            </c:strRef>
          </c:tx>
          <c:spPr>
            <a:ln w="47520">
              <a:solidFill>
                <a:srgbClr val="CB79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A9-48A1-8D0E-902B4F3AABB4}"/>
            </c:ext>
          </c:extLst>
        </c:ser>
        <c:ser>
          <c:idx val="6"/>
          <c:order val="6"/>
          <c:tx>
            <c:strRef>
              <c:f>'نمودار سدسازی'!$A$15</c:f>
              <c:strCache>
                <c:ptCount val="1"/>
                <c:pt idx="0">
                  <c:v>کارهای بتنی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سدسازی'!$B$15:$BM$15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0A9-48A1-8D0E-902B4F3AABB4}"/>
            </c:ext>
          </c:extLst>
        </c:ser>
        <c:ser>
          <c:idx val="7"/>
          <c:order val="7"/>
          <c:tx>
            <c:strRef>
              <c:f>'نمودار سدسازی'!$A$16</c:f>
              <c:strCache>
                <c:ptCount val="1"/>
                <c:pt idx="0">
                  <c:v>عملیات بنایی با سنگ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0A9-48A1-8D0E-902B4F3AABB4}"/>
            </c:ext>
          </c:extLst>
        </c:ser>
        <c:ser>
          <c:idx val="8"/>
          <c:order val="8"/>
          <c:tx>
            <c:strRef>
              <c:f>'نمودار سدسازی'!$A$17</c:f>
              <c:strCache>
                <c:ptCount val="1"/>
                <c:pt idx="0">
                  <c:v>کارهای متفرقه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0A9-48A1-8D0E-902B4F3AABB4}"/>
            </c:ext>
          </c:extLst>
        </c:ser>
        <c:ser>
          <c:idx val="9"/>
          <c:order val="9"/>
          <c:tx>
            <c:strRef>
              <c:f>'نمودار سدسازی'!$A$18</c:f>
              <c:strCache>
                <c:ptCount val="1"/>
                <c:pt idx="0">
                  <c:v>حمل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0A9-48A1-8D0E-902B4F3AABB4}"/>
            </c:ext>
          </c:extLst>
        </c:ser>
        <c:ser>
          <c:idx val="10"/>
          <c:order val="10"/>
          <c:tx>
            <c:strRef>
              <c:f>'نمودار سدسازی'!$A$19</c:f>
              <c:strCache>
                <c:ptCount val="1"/>
                <c:pt idx="0">
                  <c:v>شیرهای هیدرومکانیکال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سدسازی'!$B$19:$BM$19</c:f>
              <c:numCache>
                <c:formatCode>General</c:formatCode>
                <c:ptCount val="64"/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0A9-48A1-8D0E-902B4F3AABB4}"/>
            </c:ext>
          </c:extLst>
        </c:ser>
        <c:ser>
          <c:idx val="11"/>
          <c:order val="11"/>
          <c:tx>
            <c:strRef>
              <c:f>'نمودار سدسازی'!$A$20</c:f>
              <c:strCache>
                <c:ptCount val="1"/>
                <c:pt idx="0">
                  <c:v>جک‌های هیدرولیکی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سدسازی'!$B$20:$BM$20</c:f>
              <c:numCache>
                <c:formatCode>General</c:formatCode>
                <c:ptCount val="64"/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0A9-48A1-8D0E-902B4F3AABB4}"/>
            </c:ext>
          </c:extLst>
        </c:ser>
        <c:ser>
          <c:idx val="12"/>
          <c:order val="12"/>
          <c:tx>
            <c:strRef>
              <c:f>'نمودار سدسازی'!$A$21</c:f>
              <c:strCache>
                <c:ptCount val="1"/>
                <c:pt idx="0">
                  <c:v>بالابرهای کششی(وینچ‌ها)</c:v>
                </c:pt>
              </c:strCache>
            </c:strRef>
          </c:tx>
          <c:spPr>
            <a:ln w="47520">
              <a:solidFill>
                <a:srgbClr val="A5B5D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سدسازی'!$B$21:$BM$21</c:f>
              <c:numCache>
                <c:formatCode>General</c:formatCode>
                <c:ptCount val="64"/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0A9-48A1-8D0E-902B4F3AABB4}"/>
            </c:ext>
          </c:extLst>
        </c:ser>
        <c:ser>
          <c:idx val="13"/>
          <c:order val="13"/>
          <c:tx>
            <c:strRef>
              <c:f>'نمودار سدسازی'!$A$22</c:f>
              <c:strCache>
                <c:ptCount val="1"/>
                <c:pt idx="0">
                  <c:v>کارهای فولادی هیدرومکانیکال</c:v>
                </c:pt>
              </c:strCache>
            </c:strRef>
          </c:tx>
          <c:spPr>
            <a:ln w="47520">
              <a:solidFill>
                <a:srgbClr val="D4A5A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سدسازی'!$B$22:$BM$22</c:f>
              <c:numCache>
                <c:formatCode>General</c:formatCode>
                <c:ptCount val="64"/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0A9-48A1-8D0E-902B4F3AABB4}"/>
            </c:ext>
          </c:extLst>
        </c:ser>
        <c:ser>
          <c:idx val="14"/>
          <c:order val="14"/>
          <c:tx>
            <c:strRef>
              <c:f>'نمودار سدسازی'!$A$23</c:f>
              <c:strCache>
                <c:ptCount val="1"/>
                <c:pt idx="0">
                  <c:v>عملیات لوله‌گذاری هیدرومکانیکال</c:v>
                </c:pt>
              </c:strCache>
            </c:strRef>
          </c:tx>
          <c:spPr>
            <a:ln w="47520">
              <a:solidFill>
                <a:srgbClr val="C0D2A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سدسازی'!$B$8:$BM$8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سدسازی'!$B$23:$BM$23</c:f>
              <c:numCache>
                <c:formatCode>General</c:formatCode>
                <c:ptCount val="64"/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0A9-48A1-8D0E-902B4F3A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7915455"/>
        <c:axId val="52522210"/>
      </c:lineChart>
      <c:catAx>
        <c:axId val="67915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52522210"/>
        <c:crosses val="autoZero"/>
        <c:auto val="1"/>
        <c:lblAlgn val="ctr"/>
        <c:lblOffset val="100"/>
        <c:noMultiLvlLbl val="0"/>
      </c:catAx>
      <c:valAx>
        <c:axId val="52522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6791545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جمع‌آوری و انتقال فاضلاب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جمع‌آوری و ا'!$A$9</c:f>
              <c:strCache>
                <c:ptCount val="1"/>
                <c:pt idx="0">
                  <c:v>عملیات لوله گذاری با لوله های ازبست سیمان فاضلابی</c:v>
                </c:pt>
              </c:strCache>
            </c:strRef>
          </c:tx>
          <c:spPr>
            <a:ln w="47520">
              <a:solidFill>
                <a:srgbClr val="3D679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ا'!$B$9:$BM$9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01-458E-BBA9-5BEA277DBDF9}"/>
            </c:ext>
          </c:extLst>
        </c:ser>
        <c:ser>
          <c:idx val="1"/>
          <c:order val="1"/>
          <c:tx>
            <c:strRef>
              <c:f>'نمودار جمع‌آوری و ا'!$A$10</c:f>
              <c:strCache>
                <c:ptCount val="1"/>
                <c:pt idx="0">
                  <c:v>عملیات لوله گذاری با لوله های بتنی فاضلابی</c:v>
                </c:pt>
              </c:strCache>
            </c:strRef>
          </c:tx>
          <c:spPr>
            <a:ln w="47520">
              <a:solidFill>
                <a:srgbClr val="9D3E3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ا'!$B$10:$BM$10</c:f>
              <c:numCache>
                <c:formatCode>#,##0.00</c:formatCode>
                <c:ptCount val="64"/>
                <c:pt idx="0">
                  <c:v>328.3</c:v>
                </c:pt>
                <c:pt idx="1">
                  <c:v>340.8</c:v>
                </c:pt>
                <c:pt idx="2">
                  <c:v>355.3</c:v>
                </c:pt>
                <c:pt idx="3">
                  <c:v>370.5</c:v>
                </c:pt>
                <c:pt idx="4">
                  <c:v>406</c:v>
                </c:pt>
                <c:pt idx="5">
                  <c:v>428</c:v>
                </c:pt>
                <c:pt idx="6">
                  <c:v>467.8</c:v>
                </c:pt>
                <c:pt idx="7">
                  <c:v>487.3</c:v>
                </c:pt>
                <c:pt idx="8">
                  <c:v>536.9</c:v>
                </c:pt>
                <c:pt idx="9">
                  <c:v>550.1</c:v>
                </c:pt>
                <c:pt idx="10">
                  <c:v>561.29999999999995</c:v>
                </c:pt>
                <c:pt idx="11">
                  <c:v>572.29999999999995</c:v>
                </c:pt>
                <c:pt idx="12">
                  <c:v>643.4</c:v>
                </c:pt>
                <c:pt idx="13">
                  <c:v>656.5</c:v>
                </c:pt>
                <c:pt idx="14">
                  <c:v>664.8</c:v>
                </c:pt>
                <c:pt idx="15">
                  <c:v>670.9</c:v>
                </c:pt>
                <c:pt idx="16">
                  <c:v>720</c:v>
                </c:pt>
                <c:pt idx="17">
                  <c:v>725.8</c:v>
                </c:pt>
                <c:pt idx="18">
                  <c:v>730.8</c:v>
                </c:pt>
                <c:pt idx="19">
                  <c:v>732.9</c:v>
                </c:pt>
                <c:pt idx="20">
                  <c:v>776</c:v>
                </c:pt>
                <c:pt idx="21">
                  <c:v>784.1</c:v>
                </c:pt>
                <c:pt idx="22">
                  <c:v>790.6</c:v>
                </c:pt>
                <c:pt idx="23">
                  <c:v>797.1</c:v>
                </c:pt>
                <c:pt idx="24">
                  <c:v>852.4</c:v>
                </c:pt>
                <c:pt idx="25">
                  <c:v>857</c:v>
                </c:pt>
                <c:pt idx="26">
                  <c:v>875.3</c:v>
                </c:pt>
                <c:pt idx="27">
                  <c:v>883.3</c:v>
                </c:pt>
                <c:pt idx="28">
                  <c:v>995.4</c:v>
                </c:pt>
                <c:pt idx="29">
                  <c:v>1089.3</c:v>
                </c:pt>
                <c:pt idx="30">
                  <c:v>1136</c:v>
                </c:pt>
                <c:pt idx="31">
                  <c:v>1171.5999999999999</c:v>
                </c:pt>
                <c:pt idx="32">
                  <c:v>1193.3</c:v>
                </c:pt>
                <c:pt idx="33">
                  <c:v>1254.0999999999999</c:v>
                </c:pt>
                <c:pt idx="34">
                  <c:v>1474</c:v>
                </c:pt>
                <c:pt idx="35">
                  <c:v>1558.1</c:v>
                </c:pt>
                <c:pt idx="36">
                  <c:v>1641.3</c:v>
                </c:pt>
                <c:pt idx="37">
                  <c:v>1715.7</c:v>
                </c:pt>
                <c:pt idx="38">
                  <c:v>2068.4</c:v>
                </c:pt>
                <c:pt idx="39">
                  <c:v>2376.5</c:v>
                </c:pt>
                <c:pt idx="40">
                  <c:v>2449.1</c:v>
                </c:pt>
                <c:pt idx="41">
                  <c:v>2608.3000000000002</c:v>
                </c:pt>
                <c:pt idx="42">
                  <c:v>2860.3</c:v>
                </c:pt>
                <c:pt idx="43">
                  <c:v>3010.6</c:v>
                </c:pt>
                <c:pt idx="44">
                  <c:v>3882.2</c:v>
                </c:pt>
                <c:pt idx="45">
                  <c:v>4190.3</c:v>
                </c:pt>
                <c:pt idx="46">
                  <c:v>4238</c:v>
                </c:pt>
                <c:pt idx="47">
                  <c:v>4365.3</c:v>
                </c:pt>
                <c:pt idx="48">
                  <c:v>5465.6</c:v>
                </c:pt>
                <c:pt idx="49">
                  <c:v>5630.3</c:v>
                </c:pt>
                <c:pt idx="50">
                  <c:v>6033.9</c:v>
                </c:pt>
                <c:pt idx="51">
                  <c:v>6367.9</c:v>
                </c:pt>
                <c:pt idx="52">
                  <c:v>6371.8</c:v>
                </c:pt>
                <c:pt idx="53">
                  <c:v>6375.1</c:v>
                </c:pt>
                <c:pt idx="54">
                  <c:v>7704.4</c:v>
                </c:pt>
                <c:pt idx="55">
                  <c:v>8075.9</c:v>
                </c:pt>
                <c:pt idx="56">
                  <c:v>8251.2999999999993</c:v>
                </c:pt>
                <c:pt idx="57">
                  <c:v>8483.7999999999993</c:v>
                </c:pt>
                <c:pt idx="58">
                  <c:v>10310.700000000001</c:v>
                </c:pt>
                <c:pt idx="59">
                  <c:v>10810.7</c:v>
                </c:pt>
                <c:pt idx="60">
                  <c:v>10854.5</c:v>
                </c:pt>
                <c:pt idx="61">
                  <c:v>11469.3</c:v>
                </c:pt>
                <c:pt idx="62">
                  <c:v>11642.5</c:v>
                </c:pt>
                <c:pt idx="63">
                  <c:v>11810.8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01-458E-BBA9-5BEA277DBDF9}"/>
            </c:ext>
          </c:extLst>
        </c:ser>
        <c:ser>
          <c:idx val="2"/>
          <c:order val="2"/>
          <c:tx>
            <c:strRef>
              <c:f>'نمودار جمع‌آوری و ا'!$A$11</c:f>
              <c:strCache>
                <c:ptCount val="1"/>
                <c:pt idx="0">
                  <c:v>عملیات لوله گذاری با لوله های پی وی سی فاضلابی</c:v>
                </c:pt>
              </c:strCache>
            </c:strRef>
          </c:tx>
          <c:spPr>
            <a:ln w="47520">
              <a:solidFill>
                <a:srgbClr val="7E994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ا'!$B$11:$BM$11</c:f>
              <c:numCache>
                <c:formatCode>#,##0.00</c:formatCode>
                <c:ptCount val="64"/>
                <c:pt idx="0">
                  <c:v>329.6</c:v>
                </c:pt>
                <c:pt idx="1">
                  <c:v>341.9</c:v>
                </c:pt>
                <c:pt idx="2">
                  <c:v>357.6</c:v>
                </c:pt>
                <c:pt idx="3">
                  <c:v>372.2</c:v>
                </c:pt>
                <c:pt idx="4">
                  <c:v>404.8</c:v>
                </c:pt>
                <c:pt idx="5">
                  <c:v>429.1</c:v>
                </c:pt>
                <c:pt idx="6">
                  <c:v>470.5</c:v>
                </c:pt>
                <c:pt idx="7">
                  <c:v>490</c:v>
                </c:pt>
                <c:pt idx="8">
                  <c:v>536.1</c:v>
                </c:pt>
                <c:pt idx="9">
                  <c:v>548.9</c:v>
                </c:pt>
                <c:pt idx="10">
                  <c:v>559.1</c:v>
                </c:pt>
                <c:pt idx="11">
                  <c:v>569.5</c:v>
                </c:pt>
                <c:pt idx="12">
                  <c:v>636.4</c:v>
                </c:pt>
                <c:pt idx="13">
                  <c:v>648.70000000000005</c:v>
                </c:pt>
                <c:pt idx="14">
                  <c:v>655</c:v>
                </c:pt>
                <c:pt idx="15">
                  <c:v>661.8</c:v>
                </c:pt>
                <c:pt idx="16">
                  <c:v>711.3</c:v>
                </c:pt>
                <c:pt idx="17">
                  <c:v>715.8</c:v>
                </c:pt>
                <c:pt idx="18">
                  <c:v>718.2</c:v>
                </c:pt>
                <c:pt idx="19">
                  <c:v>720.1</c:v>
                </c:pt>
                <c:pt idx="20">
                  <c:v>762</c:v>
                </c:pt>
                <c:pt idx="21">
                  <c:v>769.2</c:v>
                </c:pt>
                <c:pt idx="22">
                  <c:v>776</c:v>
                </c:pt>
                <c:pt idx="23">
                  <c:v>782.8</c:v>
                </c:pt>
                <c:pt idx="24">
                  <c:v>838.5</c:v>
                </c:pt>
                <c:pt idx="25">
                  <c:v>840.3</c:v>
                </c:pt>
                <c:pt idx="26">
                  <c:v>859.3</c:v>
                </c:pt>
                <c:pt idx="27">
                  <c:v>866.9</c:v>
                </c:pt>
                <c:pt idx="28">
                  <c:v>973</c:v>
                </c:pt>
                <c:pt idx="29">
                  <c:v>1067.9000000000001</c:v>
                </c:pt>
                <c:pt idx="30">
                  <c:v>1110.4000000000001</c:v>
                </c:pt>
                <c:pt idx="31">
                  <c:v>1149.5</c:v>
                </c:pt>
                <c:pt idx="32">
                  <c:v>1175.3</c:v>
                </c:pt>
                <c:pt idx="33">
                  <c:v>1234.2</c:v>
                </c:pt>
                <c:pt idx="34">
                  <c:v>1448.1</c:v>
                </c:pt>
                <c:pt idx="35">
                  <c:v>1533.2</c:v>
                </c:pt>
                <c:pt idx="36">
                  <c:v>1601.9</c:v>
                </c:pt>
                <c:pt idx="37">
                  <c:v>1678.5</c:v>
                </c:pt>
                <c:pt idx="38">
                  <c:v>2006.7</c:v>
                </c:pt>
                <c:pt idx="39">
                  <c:v>2296.1</c:v>
                </c:pt>
                <c:pt idx="40">
                  <c:v>2370.6</c:v>
                </c:pt>
                <c:pt idx="41">
                  <c:v>2535</c:v>
                </c:pt>
                <c:pt idx="42">
                  <c:v>2801.1</c:v>
                </c:pt>
                <c:pt idx="43">
                  <c:v>2953.3</c:v>
                </c:pt>
                <c:pt idx="44">
                  <c:v>3816.6</c:v>
                </c:pt>
                <c:pt idx="45">
                  <c:v>4107.1000000000004</c:v>
                </c:pt>
                <c:pt idx="46">
                  <c:v>4143.3999999999996</c:v>
                </c:pt>
                <c:pt idx="47">
                  <c:v>4256.6000000000004</c:v>
                </c:pt>
                <c:pt idx="48">
                  <c:v>5317.5</c:v>
                </c:pt>
                <c:pt idx="49">
                  <c:v>5469.5</c:v>
                </c:pt>
                <c:pt idx="50">
                  <c:v>5847.9</c:v>
                </c:pt>
                <c:pt idx="51">
                  <c:v>6181.7</c:v>
                </c:pt>
                <c:pt idx="52">
                  <c:v>6182.6</c:v>
                </c:pt>
                <c:pt idx="53">
                  <c:v>6183.3</c:v>
                </c:pt>
                <c:pt idx="54">
                  <c:v>7467.4</c:v>
                </c:pt>
                <c:pt idx="55">
                  <c:v>7807</c:v>
                </c:pt>
                <c:pt idx="56">
                  <c:v>7952.1</c:v>
                </c:pt>
                <c:pt idx="57">
                  <c:v>8197.2999999999993</c:v>
                </c:pt>
                <c:pt idx="58">
                  <c:v>9943.2000000000007</c:v>
                </c:pt>
                <c:pt idx="59">
                  <c:v>10424.700000000001</c:v>
                </c:pt>
                <c:pt idx="60">
                  <c:v>10440.700000000001</c:v>
                </c:pt>
                <c:pt idx="61">
                  <c:v>11095.6</c:v>
                </c:pt>
                <c:pt idx="62">
                  <c:v>11236.6</c:v>
                </c:pt>
                <c:pt idx="63">
                  <c:v>11403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01-458E-BBA9-5BEA277DBDF9}"/>
            </c:ext>
          </c:extLst>
        </c:ser>
        <c:ser>
          <c:idx val="3"/>
          <c:order val="3"/>
          <c:tx>
            <c:strRef>
              <c:f>'نمودار جمع‌آوری و ا'!$A$12</c:f>
              <c:strCache>
                <c:ptCount val="1"/>
                <c:pt idx="0">
                  <c:v>عملیات لوله گذاری با لوله های پلی اتیلن فاضلابی</c:v>
                </c:pt>
              </c:strCache>
            </c:strRef>
          </c:tx>
          <c:spPr>
            <a:ln w="47520">
              <a:solidFill>
                <a:srgbClr val="674F8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ا'!$B$12:$BM$12</c:f>
              <c:numCache>
                <c:formatCode>#,##0.00</c:formatCode>
                <c:ptCount val="64"/>
                <c:pt idx="0">
                  <c:v>336.5</c:v>
                </c:pt>
                <c:pt idx="1">
                  <c:v>349.5</c:v>
                </c:pt>
                <c:pt idx="2">
                  <c:v>365.9</c:v>
                </c:pt>
                <c:pt idx="3">
                  <c:v>381.2</c:v>
                </c:pt>
                <c:pt idx="4">
                  <c:v>416.4</c:v>
                </c:pt>
                <c:pt idx="5">
                  <c:v>440.4</c:v>
                </c:pt>
                <c:pt idx="6">
                  <c:v>484.2</c:v>
                </c:pt>
                <c:pt idx="7">
                  <c:v>504.7</c:v>
                </c:pt>
                <c:pt idx="8">
                  <c:v>554.79999999999995</c:v>
                </c:pt>
                <c:pt idx="9">
                  <c:v>568.4</c:v>
                </c:pt>
                <c:pt idx="10">
                  <c:v>579.29999999999995</c:v>
                </c:pt>
                <c:pt idx="11">
                  <c:v>590.5</c:v>
                </c:pt>
                <c:pt idx="12">
                  <c:v>663.5</c:v>
                </c:pt>
                <c:pt idx="13">
                  <c:v>676.6</c:v>
                </c:pt>
                <c:pt idx="14">
                  <c:v>683.5</c:v>
                </c:pt>
                <c:pt idx="15">
                  <c:v>691</c:v>
                </c:pt>
                <c:pt idx="16">
                  <c:v>745.5</c:v>
                </c:pt>
                <c:pt idx="17">
                  <c:v>750.3</c:v>
                </c:pt>
                <c:pt idx="18">
                  <c:v>752.9</c:v>
                </c:pt>
                <c:pt idx="19">
                  <c:v>755.1</c:v>
                </c:pt>
                <c:pt idx="20">
                  <c:v>801.2</c:v>
                </c:pt>
                <c:pt idx="21">
                  <c:v>808.9</c:v>
                </c:pt>
                <c:pt idx="22">
                  <c:v>816.3</c:v>
                </c:pt>
                <c:pt idx="23">
                  <c:v>823.7</c:v>
                </c:pt>
                <c:pt idx="24">
                  <c:v>882.6</c:v>
                </c:pt>
                <c:pt idx="25">
                  <c:v>884.5</c:v>
                </c:pt>
                <c:pt idx="26">
                  <c:v>904.7</c:v>
                </c:pt>
                <c:pt idx="27">
                  <c:v>913</c:v>
                </c:pt>
                <c:pt idx="28">
                  <c:v>1029</c:v>
                </c:pt>
                <c:pt idx="29">
                  <c:v>1128.5</c:v>
                </c:pt>
                <c:pt idx="30">
                  <c:v>1172.0999999999999</c:v>
                </c:pt>
                <c:pt idx="31">
                  <c:v>1212.7</c:v>
                </c:pt>
                <c:pt idx="32">
                  <c:v>1232.0999999999999</c:v>
                </c:pt>
                <c:pt idx="33">
                  <c:v>1291.4000000000001</c:v>
                </c:pt>
                <c:pt idx="34">
                  <c:v>1525.1</c:v>
                </c:pt>
                <c:pt idx="35">
                  <c:v>1615.5</c:v>
                </c:pt>
                <c:pt idx="36">
                  <c:v>1685.7</c:v>
                </c:pt>
                <c:pt idx="37">
                  <c:v>1766.1</c:v>
                </c:pt>
                <c:pt idx="38">
                  <c:v>2117.5</c:v>
                </c:pt>
                <c:pt idx="39">
                  <c:v>2419.1999999999998</c:v>
                </c:pt>
                <c:pt idx="40">
                  <c:v>2496.1</c:v>
                </c:pt>
                <c:pt idx="41">
                  <c:v>2658.5</c:v>
                </c:pt>
                <c:pt idx="42">
                  <c:v>2927.4</c:v>
                </c:pt>
                <c:pt idx="43">
                  <c:v>3086.1</c:v>
                </c:pt>
                <c:pt idx="44">
                  <c:v>4004.2</c:v>
                </c:pt>
                <c:pt idx="45">
                  <c:v>4296.8999999999996</c:v>
                </c:pt>
                <c:pt idx="46">
                  <c:v>4331.6000000000004</c:v>
                </c:pt>
                <c:pt idx="47">
                  <c:v>4447.7</c:v>
                </c:pt>
                <c:pt idx="48">
                  <c:v>5580.9</c:v>
                </c:pt>
                <c:pt idx="49">
                  <c:v>5737.7</c:v>
                </c:pt>
                <c:pt idx="50">
                  <c:v>6137</c:v>
                </c:pt>
                <c:pt idx="51">
                  <c:v>6488.6</c:v>
                </c:pt>
                <c:pt idx="52">
                  <c:v>6489.3</c:v>
                </c:pt>
                <c:pt idx="53">
                  <c:v>6489.8</c:v>
                </c:pt>
                <c:pt idx="54">
                  <c:v>7858.2</c:v>
                </c:pt>
                <c:pt idx="55">
                  <c:v>8213.7999999999993</c:v>
                </c:pt>
                <c:pt idx="56">
                  <c:v>8343.6</c:v>
                </c:pt>
                <c:pt idx="57">
                  <c:v>8598</c:v>
                </c:pt>
                <c:pt idx="58">
                  <c:v>10450.4</c:v>
                </c:pt>
                <c:pt idx="59">
                  <c:v>10952.1</c:v>
                </c:pt>
                <c:pt idx="60">
                  <c:v>10963.8</c:v>
                </c:pt>
                <c:pt idx="61">
                  <c:v>11649.6</c:v>
                </c:pt>
                <c:pt idx="62">
                  <c:v>11793.9</c:v>
                </c:pt>
                <c:pt idx="63">
                  <c:v>11965.7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101-458E-BBA9-5BEA277DBDF9}"/>
            </c:ext>
          </c:extLst>
        </c:ser>
        <c:ser>
          <c:idx val="4"/>
          <c:order val="4"/>
          <c:tx>
            <c:strRef>
              <c:f>'نمودار جمع‌آوری و ا'!$A$13</c:f>
              <c:strCache>
                <c:ptCount val="1"/>
                <c:pt idx="0">
                  <c:v>عملیات لوله گذاری در نقب</c:v>
                </c:pt>
              </c:strCache>
            </c:strRef>
          </c:tx>
          <c:spPr>
            <a:ln w="47520">
              <a:solidFill>
                <a:srgbClr val="398B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ا'!$B$13:$BM$13</c:f>
              <c:numCache>
                <c:formatCode>#,##0.00</c:formatCode>
                <c:ptCount val="64"/>
                <c:pt idx="0">
                  <c:v>312.3</c:v>
                </c:pt>
                <c:pt idx="1">
                  <c:v>322.60000000000002</c:v>
                </c:pt>
                <c:pt idx="2">
                  <c:v>334.4</c:v>
                </c:pt>
                <c:pt idx="3">
                  <c:v>349.9</c:v>
                </c:pt>
                <c:pt idx="4">
                  <c:v>390.9</c:v>
                </c:pt>
                <c:pt idx="5">
                  <c:v>418.4</c:v>
                </c:pt>
                <c:pt idx="6">
                  <c:v>456.4</c:v>
                </c:pt>
                <c:pt idx="7">
                  <c:v>472.3</c:v>
                </c:pt>
                <c:pt idx="8">
                  <c:v>521.79999999999995</c:v>
                </c:pt>
                <c:pt idx="9">
                  <c:v>533</c:v>
                </c:pt>
                <c:pt idx="10">
                  <c:v>542.1</c:v>
                </c:pt>
                <c:pt idx="11">
                  <c:v>548</c:v>
                </c:pt>
                <c:pt idx="12">
                  <c:v>616.70000000000005</c:v>
                </c:pt>
                <c:pt idx="13">
                  <c:v>625.4</c:v>
                </c:pt>
                <c:pt idx="14">
                  <c:v>633.4</c:v>
                </c:pt>
                <c:pt idx="15">
                  <c:v>637.5</c:v>
                </c:pt>
                <c:pt idx="16">
                  <c:v>677.8</c:v>
                </c:pt>
                <c:pt idx="17">
                  <c:v>680.6</c:v>
                </c:pt>
                <c:pt idx="18">
                  <c:v>681.5</c:v>
                </c:pt>
                <c:pt idx="19">
                  <c:v>680.7</c:v>
                </c:pt>
                <c:pt idx="20">
                  <c:v>727.1</c:v>
                </c:pt>
                <c:pt idx="21">
                  <c:v>735</c:v>
                </c:pt>
                <c:pt idx="22">
                  <c:v>743.7</c:v>
                </c:pt>
                <c:pt idx="23">
                  <c:v>752.4</c:v>
                </c:pt>
                <c:pt idx="24">
                  <c:v>806.2</c:v>
                </c:pt>
                <c:pt idx="25">
                  <c:v>824.9</c:v>
                </c:pt>
                <c:pt idx="26">
                  <c:v>846.9</c:v>
                </c:pt>
                <c:pt idx="27">
                  <c:v>854.8</c:v>
                </c:pt>
                <c:pt idx="28">
                  <c:v>978.1</c:v>
                </c:pt>
                <c:pt idx="29">
                  <c:v>1054.9000000000001</c:v>
                </c:pt>
                <c:pt idx="30">
                  <c:v>1128.7</c:v>
                </c:pt>
                <c:pt idx="31">
                  <c:v>1154.0999999999999</c:v>
                </c:pt>
                <c:pt idx="32">
                  <c:v>1178.7</c:v>
                </c:pt>
                <c:pt idx="33">
                  <c:v>1215.3</c:v>
                </c:pt>
                <c:pt idx="34">
                  <c:v>1442.9</c:v>
                </c:pt>
                <c:pt idx="35">
                  <c:v>1499.3</c:v>
                </c:pt>
                <c:pt idx="36">
                  <c:v>1546.6</c:v>
                </c:pt>
                <c:pt idx="37">
                  <c:v>1635.7</c:v>
                </c:pt>
                <c:pt idx="38">
                  <c:v>1965</c:v>
                </c:pt>
                <c:pt idx="39">
                  <c:v>2302</c:v>
                </c:pt>
                <c:pt idx="40">
                  <c:v>2402.3000000000002</c:v>
                </c:pt>
                <c:pt idx="41">
                  <c:v>2502.1</c:v>
                </c:pt>
                <c:pt idx="42">
                  <c:v>2720.1</c:v>
                </c:pt>
                <c:pt idx="43">
                  <c:v>2872.2</c:v>
                </c:pt>
                <c:pt idx="44">
                  <c:v>3629.9</c:v>
                </c:pt>
                <c:pt idx="45">
                  <c:v>3885.7</c:v>
                </c:pt>
                <c:pt idx="46">
                  <c:v>3905.8</c:v>
                </c:pt>
                <c:pt idx="47">
                  <c:v>3971.1</c:v>
                </c:pt>
                <c:pt idx="48">
                  <c:v>4929</c:v>
                </c:pt>
                <c:pt idx="49">
                  <c:v>4992.3</c:v>
                </c:pt>
                <c:pt idx="50">
                  <c:v>5282.1</c:v>
                </c:pt>
                <c:pt idx="51">
                  <c:v>5656.6</c:v>
                </c:pt>
                <c:pt idx="52">
                  <c:v>5764.2</c:v>
                </c:pt>
                <c:pt idx="53">
                  <c:v>5944.9</c:v>
                </c:pt>
                <c:pt idx="54">
                  <c:v>984.2</c:v>
                </c:pt>
                <c:pt idx="55">
                  <c:v>7169.9</c:v>
                </c:pt>
                <c:pt idx="56">
                  <c:v>7261.9</c:v>
                </c:pt>
                <c:pt idx="57">
                  <c:v>7481.8</c:v>
                </c:pt>
                <c:pt idx="58">
                  <c:v>9004.7000000000007</c:v>
                </c:pt>
                <c:pt idx="59">
                  <c:v>9360</c:v>
                </c:pt>
                <c:pt idx="60">
                  <c:v>9424.9</c:v>
                </c:pt>
                <c:pt idx="61">
                  <c:v>9890.1</c:v>
                </c:pt>
                <c:pt idx="62">
                  <c:v>10117.200000000001</c:v>
                </c:pt>
                <c:pt idx="63">
                  <c:v>10357.200000000001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101-458E-BBA9-5BEA277DBDF9}"/>
            </c:ext>
          </c:extLst>
        </c:ser>
        <c:ser>
          <c:idx val="5"/>
          <c:order val="5"/>
          <c:tx>
            <c:strRef>
              <c:f>'نمودار جمع‌آوری و ا'!$A$14</c:f>
              <c:strCache>
                <c:ptCount val="1"/>
                <c:pt idx="0">
                  <c:v>عملیات لوله گذاری با لوله های فایبرگلاس (G.R.P)</c:v>
                </c:pt>
              </c:strCache>
            </c:strRef>
          </c:tx>
          <c:spPr>
            <a:ln w="47520">
              <a:solidFill>
                <a:srgbClr val="CB79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ا'!$B$14:$BM$14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101-458E-BBA9-5BEA277DBDF9}"/>
            </c:ext>
          </c:extLst>
        </c:ser>
        <c:ser>
          <c:idx val="6"/>
          <c:order val="6"/>
          <c:tx>
            <c:strRef>
              <c:f>'نمودار جمع‌آوری و ا'!$A$15</c:f>
              <c:strCache>
                <c:ptCount val="1"/>
                <c:pt idx="0">
                  <c:v>احداث ادم روها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ا'!$B$15:$BM$15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101-458E-BBA9-5BEA277DBDF9}"/>
            </c:ext>
          </c:extLst>
        </c:ser>
        <c:ser>
          <c:idx val="7"/>
          <c:order val="7"/>
          <c:tx>
            <c:strRef>
              <c:f>'نمودار جمع‌آوری و ا'!$A$16</c:f>
              <c:strCache>
                <c:ptCount val="1"/>
                <c:pt idx="0">
                  <c:v>عملیات خاکی و مرمت نوار حفاری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ا'!$B$16:$BM$16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101-458E-BBA9-5BEA277DBDF9}"/>
            </c:ext>
          </c:extLst>
        </c:ser>
        <c:ser>
          <c:idx val="8"/>
          <c:order val="8"/>
          <c:tx>
            <c:strRef>
              <c:f>'نمودار جمع‌آوری و ا'!$A$17</c:f>
              <c:strCache>
                <c:ptCount val="1"/>
                <c:pt idx="0">
                  <c:v>کارهای فولادی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ا'!$B$17:$BM$17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101-458E-BBA9-5BEA277DBDF9}"/>
            </c:ext>
          </c:extLst>
        </c:ser>
        <c:ser>
          <c:idx val="9"/>
          <c:order val="9"/>
          <c:tx>
            <c:strRef>
              <c:f>'نمودار جمع‌آوری و ا'!$A$18</c:f>
              <c:strCache>
                <c:ptCount val="1"/>
                <c:pt idx="0">
                  <c:v>کارهای سپرکوبی با سپر فولادی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ا'!$B$18:$BM$18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101-458E-BBA9-5BEA277DBDF9}"/>
            </c:ext>
          </c:extLst>
        </c:ser>
        <c:ser>
          <c:idx val="10"/>
          <c:order val="10"/>
          <c:tx>
            <c:strRef>
              <c:f>'نمودار جمع‌آوری و ا'!$A$19</c:f>
              <c:strCache>
                <c:ptCount val="1"/>
                <c:pt idx="0">
                  <c:v>کارهای بتنی و قالب بندی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ا'!$B$19:$BM$19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01-458E-BBA9-5BEA277DBDF9}"/>
            </c:ext>
          </c:extLst>
        </c:ser>
        <c:ser>
          <c:idx val="11"/>
          <c:order val="11"/>
          <c:tx>
            <c:strRef>
              <c:f>'نمودار جمع‌آوری و ا'!$A$20</c:f>
              <c:strCache>
                <c:ptCount val="1"/>
                <c:pt idx="0">
                  <c:v>حمل ونقل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ا'!$B$20:$BM$20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101-458E-BBA9-5BEA277DBDF9}"/>
            </c:ext>
          </c:extLst>
        </c:ser>
        <c:ser>
          <c:idx val="12"/>
          <c:order val="12"/>
          <c:tx>
            <c:strRef>
              <c:f>'نمودار جمع‌آوری و ا'!$A$21</c:f>
              <c:strCache>
                <c:ptCount val="1"/>
                <c:pt idx="0">
                  <c:v>لوله رانی</c:v>
                </c:pt>
              </c:strCache>
            </c:strRef>
          </c:tx>
          <c:spPr>
            <a:ln w="47520">
              <a:solidFill>
                <a:srgbClr val="A5B5D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ا'!$B$21:$BM$21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101-458E-BBA9-5BEA277DBDF9}"/>
            </c:ext>
          </c:extLst>
        </c:ser>
        <c:ser>
          <c:idx val="13"/>
          <c:order val="13"/>
          <c:tx>
            <c:strRef>
              <c:f>'نمودار جمع‌آوری و ا'!$A$22</c:f>
              <c:strCache>
                <c:ptCount val="1"/>
                <c:pt idx="0">
                  <c:v>تهیه لوله های بتنی فاضلابی لوله رانی</c:v>
                </c:pt>
              </c:strCache>
            </c:strRef>
          </c:tx>
          <c:spPr>
            <a:ln w="47520">
              <a:solidFill>
                <a:srgbClr val="D4A5A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ا'!$B$22:$BM$22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101-458E-BBA9-5BEA277DBDF9}"/>
            </c:ext>
          </c:extLst>
        </c:ser>
        <c:ser>
          <c:idx val="14"/>
          <c:order val="14"/>
          <c:tx>
            <c:strRef>
              <c:f>'نمودار جمع‌آوری و ا'!$A$23</c:f>
              <c:strCache>
                <c:ptCount val="1"/>
                <c:pt idx="0">
                  <c:v>تهیه لوله های پلی اتیلن فاضلابی مخصوص لوله رانی</c:v>
                </c:pt>
              </c:strCache>
            </c:strRef>
          </c:tx>
          <c:spPr>
            <a:ln w="47520">
              <a:solidFill>
                <a:srgbClr val="C0D2A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ا'!$B$23:$BM$23</c:f>
              <c:numCache>
                <c:formatCode>#,##0.00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101-458E-BBA9-5BEA277DBDF9}"/>
            </c:ext>
          </c:extLst>
        </c:ser>
        <c:ser>
          <c:idx val="15"/>
          <c:order val="15"/>
          <c:tx>
            <c:strRef>
              <c:f>'نمودار جمع‌آوری و ا'!$A$24</c:f>
              <c:strCache>
                <c:ptCount val="1"/>
                <c:pt idx="0">
                  <c:v>تهیه لوله های ازبست سیمان فاضلابی، اتصالی ها و متعلقات</c:v>
                </c:pt>
              </c:strCache>
            </c:strRef>
          </c:tx>
          <c:spPr>
            <a:ln w="47520">
              <a:solidFill>
                <a:srgbClr val="B4AAC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ا'!$B$24:$BM$24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101-458E-BBA9-5BEA277DBDF9}"/>
            </c:ext>
          </c:extLst>
        </c:ser>
        <c:ser>
          <c:idx val="16"/>
          <c:order val="16"/>
          <c:tx>
            <c:strRef>
              <c:f>'نمودار جمع‌آوری و ا'!$A$25</c:f>
              <c:strCache>
                <c:ptCount val="1"/>
                <c:pt idx="0">
                  <c:v>تهیه لوله های پی وی سی فاضلابی، اتصالی ها و متعلقات</c:v>
                </c:pt>
              </c:strCache>
            </c:strRef>
          </c:tx>
          <c:spPr>
            <a:ln w="47520">
              <a:solidFill>
                <a:srgbClr val="A4CAD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ا'!$B$25:$BM$25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101-458E-BBA9-5BEA277DBDF9}"/>
            </c:ext>
          </c:extLst>
        </c:ser>
        <c:ser>
          <c:idx val="17"/>
          <c:order val="17"/>
          <c:tx>
            <c:strRef>
              <c:f>'نمودار جمع‌آوری و ا'!$A$26</c:f>
              <c:strCache>
                <c:ptCount val="1"/>
                <c:pt idx="0">
                  <c:v>تهیه لوله های فایبرگلاس (G.R.P) فاضلابی، اتصالی ها و متعلقات</c:v>
                </c:pt>
              </c:strCache>
            </c:strRef>
          </c:tx>
          <c:spPr>
            <a:ln w="47520">
              <a:solidFill>
                <a:srgbClr val="F5BDA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جمع‌آوری و ا'!$B$8:$BM$8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جمع‌آوری و ا'!$B$26:$BM$26</c:f>
              <c:numCache>
                <c:formatCode>General</c:formatCode>
                <c:ptCount val="64"/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3" formatCode="#,##0.00">
                  <c:v>0</c:v>
                </c:pt>
                <c:pt idx="14" formatCode="#,##0.00">
                  <c:v>0</c:v>
                </c:pt>
                <c:pt idx="15" formatCode="#,##0.00">
                  <c:v>0</c:v>
                </c:pt>
                <c:pt idx="16" formatCode="#,##0.00">
                  <c:v>0</c:v>
                </c:pt>
                <c:pt idx="17" formatCode="#,##0.00">
                  <c:v>0</c:v>
                </c:pt>
                <c:pt idx="18" formatCode="#,##0.00">
                  <c:v>0</c:v>
                </c:pt>
                <c:pt idx="19" formatCode="#,##0.00">
                  <c:v>0</c:v>
                </c:pt>
                <c:pt idx="20" formatCode="#,##0.00">
                  <c:v>0</c:v>
                </c:pt>
                <c:pt idx="21" formatCode="#,##0.00">
                  <c:v>0</c:v>
                </c:pt>
                <c:pt idx="22" formatCode="#,##0.00">
                  <c:v>0</c:v>
                </c:pt>
                <c:pt idx="23" formatCode="#,##0.00">
                  <c:v>0</c:v>
                </c:pt>
                <c:pt idx="24" formatCode="#,##0.00">
                  <c:v>0</c:v>
                </c:pt>
                <c:pt idx="25" formatCode="#,##0.00">
                  <c:v>0</c:v>
                </c:pt>
                <c:pt idx="26" formatCode="#,##0.00">
                  <c:v>0</c:v>
                </c:pt>
                <c:pt idx="27" formatCode="#,##0.00">
                  <c:v>0</c:v>
                </c:pt>
                <c:pt idx="28" formatCode="#,##0.00">
                  <c:v>0</c:v>
                </c:pt>
                <c:pt idx="29" formatCode="#,##0.00">
                  <c:v>0</c:v>
                </c:pt>
                <c:pt idx="30" formatCode="#,##0.00">
                  <c:v>0</c:v>
                </c:pt>
                <c:pt idx="31" formatCode="#,##0.00">
                  <c:v>0</c:v>
                </c:pt>
                <c:pt idx="32" formatCode="#,##0.00">
                  <c:v>0</c:v>
                </c:pt>
                <c:pt idx="33" formatCode="#,##0.00">
                  <c:v>0</c:v>
                </c:pt>
                <c:pt idx="34" formatCode="#,##0.00">
                  <c:v>0</c:v>
                </c:pt>
                <c:pt idx="35" formatCode="#,##0.00">
                  <c:v>0</c:v>
                </c:pt>
                <c:pt idx="36" formatCode="#,##0.00">
                  <c:v>0</c:v>
                </c:pt>
                <c:pt idx="37" formatCode="#,##0.00">
                  <c:v>0</c:v>
                </c:pt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C101-458E-BBA9-5BEA277D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0544042"/>
        <c:axId val="3687692"/>
      </c:lineChart>
      <c:catAx>
        <c:axId val="30544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687692"/>
        <c:crosses val="autoZero"/>
        <c:auto val="1"/>
        <c:lblAlgn val="ctr"/>
        <c:lblOffset val="100"/>
        <c:noMultiLvlLbl val="0"/>
      </c:catAx>
      <c:valAx>
        <c:axId val="3687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0544042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تجهیزات آب و فاضلاب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تجهیزات آب و'!$A$9</c:f>
              <c:strCache>
                <c:ptCount val="1"/>
                <c:pt idx="0">
                  <c:v>فصل پمپ ها</c:v>
                </c:pt>
              </c:strCache>
            </c:strRef>
          </c:tx>
          <c:spPr>
            <a:ln w="47520">
              <a:solidFill>
                <a:srgbClr val="365C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و'!$B$9:$BM$9</c:f>
              <c:numCache>
                <c:formatCode>General</c:formatCode>
                <c:ptCount val="64"/>
                <c:pt idx="45" formatCode="#,##0.00">
                  <c:v>3977.9</c:v>
                </c:pt>
                <c:pt idx="46" formatCode="#,##0.00">
                  <c:v>4675.3</c:v>
                </c:pt>
                <c:pt idx="47" formatCode="#,##0.00">
                  <c:v>4649.3</c:v>
                </c:pt>
                <c:pt idx="48" formatCode="#,##0.00">
                  <c:v>5153</c:v>
                </c:pt>
                <c:pt idx="49" formatCode="#,##0.00">
                  <c:v>5177.8999999999996</c:v>
                </c:pt>
                <c:pt idx="50" formatCode="#,##0.00">
                  <c:v>6095.3</c:v>
                </c:pt>
                <c:pt idx="51" formatCode="#,##0.00">
                  <c:v>6095.3</c:v>
                </c:pt>
                <c:pt idx="52" formatCode="#,##0.00">
                  <c:v>6317.5</c:v>
                </c:pt>
                <c:pt idx="53" formatCode="#,##0.00">
                  <c:v>7061.4</c:v>
                </c:pt>
                <c:pt idx="54" formatCode="#,##0.00">
                  <c:v>7683.9</c:v>
                </c:pt>
                <c:pt idx="55" formatCode="#,##0.00">
                  <c:v>7707</c:v>
                </c:pt>
                <c:pt idx="56" formatCode="#,##0.00">
                  <c:v>7700.9</c:v>
                </c:pt>
                <c:pt idx="57" formatCode="#,##0.00">
                  <c:v>7716.9</c:v>
                </c:pt>
                <c:pt idx="58" formatCode="#,##0.00">
                  <c:v>8933</c:v>
                </c:pt>
                <c:pt idx="59" formatCode="#,##0.00">
                  <c:v>8955.5</c:v>
                </c:pt>
                <c:pt idx="60" formatCode="#,##0.00">
                  <c:v>9454.1</c:v>
                </c:pt>
                <c:pt idx="61" formatCode="#,##0.00">
                  <c:v>9543.9</c:v>
                </c:pt>
                <c:pt idx="62" formatCode="#,##0.00">
                  <c:v>9759.4</c:v>
                </c:pt>
                <c:pt idx="63" formatCode="#,##0.00">
                  <c:v>9768.7999999999993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A7-4542-8083-8C09F32AAF72}"/>
            </c:ext>
          </c:extLst>
        </c:ser>
        <c:ser>
          <c:idx val="1"/>
          <c:order val="1"/>
          <c:tx>
            <c:strRef>
              <c:f>'نمودار تجهیزات آب و'!$A$10</c:f>
              <c:strCache>
                <c:ptCount val="1"/>
                <c:pt idx="0">
                  <c:v>همزنها</c:v>
                </c:pt>
              </c:strCache>
            </c:strRef>
          </c:tx>
          <c:spPr>
            <a:ln w="47520">
              <a:solidFill>
                <a:srgbClr val="8C37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و'!$B$10:$BM$10</c:f>
              <c:numCache>
                <c:formatCode>General</c:formatCode>
                <c:ptCount val="64"/>
                <c:pt idx="45" formatCode="#,##0.00">
                  <c:v>3137.2</c:v>
                </c:pt>
                <c:pt idx="46" formatCode="#,##0.00">
                  <c:v>3138.3</c:v>
                </c:pt>
                <c:pt idx="47" formatCode="#,##0.00">
                  <c:v>3754.7</c:v>
                </c:pt>
                <c:pt idx="48" formatCode="#,##0.00">
                  <c:v>3808.2</c:v>
                </c:pt>
                <c:pt idx="49" formatCode="#,##0.00">
                  <c:v>4098.3999999999996</c:v>
                </c:pt>
                <c:pt idx="50" formatCode="#,##0.00">
                  <c:v>4969.6000000000004</c:v>
                </c:pt>
                <c:pt idx="51" formatCode="#,##0.00">
                  <c:v>5002.7</c:v>
                </c:pt>
                <c:pt idx="52" formatCode="#,##0.00">
                  <c:v>5453.3</c:v>
                </c:pt>
                <c:pt idx="53" formatCode="#,##0.00">
                  <c:v>6054</c:v>
                </c:pt>
                <c:pt idx="54" formatCode="#,##0.00">
                  <c:v>6341.6</c:v>
                </c:pt>
                <c:pt idx="55" formatCode="#,##0.00">
                  <c:v>6344.8</c:v>
                </c:pt>
                <c:pt idx="56" formatCode="#,##0.00">
                  <c:v>8465.9</c:v>
                </c:pt>
                <c:pt idx="57" formatCode="#,##0.00">
                  <c:v>8468.2999999999993</c:v>
                </c:pt>
                <c:pt idx="58" formatCode="#,##0.00">
                  <c:v>11321.1</c:v>
                </c:pt>
                <c:pt idx="59" formatCode="#,##0.00">
                  <c:v>11806.6</c:v>
                </c:pt>
                <c:pt idx="60" formatCode="#,##0.00">
                  <c:v>11806.6</c:v>
                </c:pt>
                <c:pt idx="61" formatCode="#,##0.00">
                  <c:v>11806.4</c:v>
                </c:pt>
                <c:pt idx="62" formatCode="#,##0.00">
                  <c:v>12185.9</c:v>
                </c:pt>
                <c:pt idx="63" formatCode="#,##0.00">
                  <c:v>12985.2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A7-4542-8083-8C09F32AAF72}"/>
            </c:ext>
          </c:extLst>
        </c:ser>
        <c:ser>
          <c:idx val="2"/>
          <c:order val="2"/>
          <c:tx>
            <c:strRef>
              <c:f>'نمودار تجهیزات آب و'!$A$11</c:f>
              <c:strCache>
                <c:ptCount val="1"/>
                <c:pt idx="0">
                  <c:v>آشغالگیر</c:v>
                </c:pt>
              </c:strCache>
            </c:strRef>
          </c:tx>
          <c:spPr>
            <a:ln w="47520">
              <a:solidFill>
                <a:srgbClr val="7088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و'!$B$11:$BM$11</c:f>
              <c:numCache>
                <c:formatCode>General</c:formatCode>
                <c:ptCount val="64"/>
                <c:pt idx="45" formatCode="#,##0.00">
                  <c:v>3255.4</c:v>
                </c:pt>
                <c:pt idx="46" formatCode="#,##0.00">
                  <c:v>3350.4</c:v>
                </c:pt>
                <c:pt idx="47" formatCode="#,##0.00">
                  <c:v>4163.8</c:v>
                </c:pt>
                <c:pt idx="48" formatCode="#,##0.00">
                  <c:v>4176.7</c:v>
                </c:pt>
                <c:pt idx="49" formatCode="#,##0.00">
                  <c:v>4077.6</c:v>
                </c:pt>
                <c:pt idx="50" formatCode="#,##0.00">
                  <c:v>6139.7</c:v>
                </c:pt>
                <c:pt idx="51" formatCode="#,##0.00">
                  <c:v>6139.7</c:v>
                </c:pt>
                <c:pt idx="52" formatCode="#,##0.00">
                  <c:v>6403.5</c:v>
                </c:pt>
                <c:pt idx="53" formatCode="#,##0.00">
                  <c:v>7069.7</c:v>
                </c:pt>
                <c:pt idx="54" formatCode="#,##0.00">
                  <c:v>6737.9</c:v>
                </c:pt>
                <c:pt idx="55" formatCode="#,##0.00">
                  <c:v>7096.6</c:v>
                </c:pt>
                <c:pt idx="56" formatCode="#,##0.00">
                  <c:v>8643.4</c:v>
                </c:pt>
                <c:pt idx="57" formatCode="#,##0.00">
                  <c:v>8649.6</c:v>
                </c:pt>
                <c:pt idx="58" formatCode="#,##0.00">
                  <c:v>9802.5</c:v>
                </c:pt>
                <c:pt idx="59" formatCode="#,##0.00">
                  <c:v>10302.9</c:v>
                </c:pt>
                <c:pt idx="60" formatCode="#,##0.00">
                  <c:v>11719.3</c:v>
                </c:pt>
                <c:pt idx="61" formatCode="#,##0.00">
                  <c:v>11727.1</c:v>
                </c:pt>
                <c:pt idx="62" formatCode="#,##0.00">
                  <c:v>12087.2</c:v>
                </c:pt>
                <c:pt idx="63" formatCode="#,##0.00">
                  <c:v>12560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1A7-4542-8083-8C09F32AAF72}"/>
            </c:ext>
          </c:extLst>
        </c:ser>
        <c:ser>
          <c:idx val="3"/>
          <c:order val="3"/>
          <c:tx>
            <c:strRef>
              <c:f>'نمودار تجهیزات آب و'!$A$12</c:f>
              <c:strCache>
                <c:ptCount val="1"/>
                <c:pt idx="0">
                  <c:v>بلوئرها و کمپرسورها</c:v>
                </c:pt>
              </c:strCache>
            </c:strRef>
          </c:tx>
          <c:spPr>
            <a:ln w="47520">
              <a:solidFill>
                <a:srgbClr val="5B467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و'!$B$12:$BM$12</c:f>
              <c:numCache>
                <c:formatCode>General</c:formatCode>
                <c:ptCount val="64"/>
                <c:pt idx="45" formatCode="#,##0.00">
                  <c:v>3161.8</c:v>
                </c:pt>
                <c:pt idx="46" formatCode="#,##0.00">
                  <c:v>3255.6</c:v>
                </c:pt>
                <c:pt idx="47" formatCode="#,##0.00">
                  <c:v>3321.3</c:v>
                </c:pt>
                <c:pt idx="48" formatCode="#,##0.00">
                  <c:v>3671.4</c:v>
                </c:pt>
                <c:pt idx="49" formatCode="#,##0.00">
                  <c:v>3674.5</c:v>
                </c:pt>
                <c:pt idx="50" formatCode="#,##0.00">
                  <c:v>4272.3999999999996</c:v>
                </c:pt>
                <c:pt idx="51" formatCode="#,##0.00">
                  <c:v>4272.3999999999996</c:v>
                </c:pt>
                <c:pt idx="52" formatCode="#,##0.00">
                  <c:v>4999.8999999999996</c:v>
                </c:pt>
                <c:pt idx="53" formatCode="#,##0.00">
                  <c:v>5531.3</c:v>
                </c:pt>
                <c:pt idx="54" formatCode="#,##0.00">
                  <c:v>5731.8</c:v>
                </c:pt>
                <c:pt idx="55" formatCode="#,##0.00">
                  <c:v>5374</c:v>
                </c:pt>
                <c:pt idx="56" formatCode="#,##0.00">
                  <c:v>6919.3</c:v>
                </c:pt>
                <c:pt idx="57" formatCode="#,##0.00">
                  <c:v>6920.4</c:v>
                </c:pt>
                <c:pt idx="58" formatCode="#,##0.00">
                  <c:v>8537.2999999999993</c:v>
                </c:pt>
                <c:pt idx="59" formatCode="#,##0.00">
                  <c:v>8539.2000000000007</c:v>
                </c:pt>
                <c:pt idx="60" formatCode="#,##0.00">
                  <c:v>9097.4</c:v>
                </c:pt>
                <c:pt idx="61" formatCode="#,##0.00">
                  <c:v>10625</c:v>
                </c:pt>
                <c:pt idx="62" formatCode="#,##0.00">
                  <c:v>11128</c:v>
                </c:pt>
                <c:pt idx="63" formatCode="#,##0.00">
                  <c:v>11823.5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1A7-4542-8083-8C09F32AAF72}"/>
            </c:ext>
          </c:extLst>
        </c:ser>
        <c:ser>
          <c:idx val="4"/>
          <c:order val="4"/>
          <c:tx>
            <c:strRef>
              <c:f>'نمودار تجهیزات آب و'!$A$13</c:f>
              <c:strCache>
                <c:ptCount val="1"/>
                <c:pt idx="0">
                  <c:v>دیفیوزرها</c:v>
                </c:pt>
              </c:strCache>
            </c:strRef>
          </c:tx>
          <c:spPr>
            <a:ln w="47520">
              <a:solidFill>
                <a:srgbClr val="337D9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و'!$B$13:$BM$13</c:f>
              <c:numCache>
                <c:formatCode>General</c:formatCode>
                <c:ptCount val="64"/>
                <c:pt idx="45" formatCode="#,##0.00">
                  <c:v>3379.5</c:v>
                </c:pt>
                <c:pt idx="46" formatCode="#,##0.00">
                  <c:v>3413.4</c:v>
                </c:pt>
                <c:pt idx="47" formatCode="#,##0.00">
                  <c:v>3533.4</c:v>
                </c:pt>
                <c:pt idx="48" formatCode="#,##0.00">
                  <c:v>3499.3</c:v>
                </c:pt>
                <c:pt idx="49" formatCode="#,##0.00">
                  <c:v>3517.7</c:v>
                </c:pt>
                <c:pt idx="50" formatCode="#,##0.00">
                  <c:v>3840.4</c:v>
                </c:pt>
                <c:pt idx="51" formatCode="#,##0.00">
                  <c:v>3995.5</c:v>
                </c:pt>
                <c:pt idx="52" formatCode="#,##0.00">
                  <c:v>4419.5</c:v>
                </c:pt>
                <c:pt idx="53" formatCode="#,##0.00">
                  <c:v>4984.8999999999996</c:v>
                </c:pt>
                <c:pt idx="54" formatCode="#,##0.00">
                  <c:v>5868.1</c:v>
                </c:pt>
                <c:pt idx="55" formatCode="#,##0.00">
                  <c:v>5886.4</c:v>
                </c:pt>
                <c:pt idx="56" formatCode="#,##0.00">
                  <c:v>5822.6</c:v>
                </c:pt>
                <c:pt idx="57" formatCode="#,##0.00">
                  <c:v>5851.3</c:v>
                </c:pt>
                <c:pt idx="58" formatCode="#,##0.00">
                  <c:v>6711.4</c:v>
                </c:pt>
                <c:pt idx="59" formatCode="#,##0.00">
                  <c:v>6734.6</c:v>
                </c:pt>
                <c:pt idx="60" formatCode="#,##0.00">
                  <c:v>8347.2000000000007</c:v>
                </c:pt>
                <c:pt idx="61" formatCode="#,##0.00">
                  <c:v>8429.5</c:v>
                </c:pt>
                <c:pt idx="62" formatCode="#,##0.00">
                  <c:v>8999.2999999999993</c:v>
                </c:pt>
                <c:pt idx="63" formatCode="#,##0.00">
                  <c:v>9111.1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1A7-4542-8083-8C09F32AAF72}"/>
            </c:ext>
          </c:extLst>
        </c:ser>
        <c:ser>
          <c:idx val="5"/>
          <c:order val="5"/>
          <c:tx>
            <c:strRef>
              <c:f>'نمودار تجهیزات آب و'!$A$14</c:f>
              <c:strCache>
                <c:ptCount val="1"/>
                <c:pt idx="0">
                  <c:v>آبگیری لجن</c:v>
                </c:pt>
              </c:strCache>
            </c:strRef>
          </c:tx>
          <c:spPr>
            <a:ln w="47520">
              <a:solidFill>
                <a:srgbClr val="B46B2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و'!$B$14:$BM$14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1A7-4542-8083-8C09F32AAF72}"/>
            </c:ext>
          </c:extLst>
        </c:ser>
        <c:ser>
          <c:idx val="6"/>
          <c:order val="6"/>
          <c:tx>
            <c:strRef>
              <c:f>'نمودار تجهیزات آب و'!$A$15</c:f>
              <c:strCache>
                <c:ptCount val="1"/>
                <c:pt idx="0">
                  <c:v>گندزدایی</c:v>
                </c:pt>
              </c:strCache>
            </c:strRef>
          </c:tx>
          <c:spPr>
            <a:ln w="47520">
              <a:solidFill>
                <a:srgbClr val="3F6B9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و'!$B$15:$BM$15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1A7-4542-8083-8C09F32AAF72}"/>
            </c:ext>
          </c:extLst>
        </c:ser>
        <c:ser>
          <c:idx val="7"/>
          <c:order val="7"/>
          <c:tx>
            <c:strRef>
              <c:f>'نمودار تجهیزات آب و'!$A$16</c:f>
              <c:strCache>
                <c:ptCount val="1"/>
                <c:pt idx="0">
                  <c:v>تجهیزات فرآوری گاز</c:v>
                </c:pt>
              </c:strCache>
            </c:strRef>
          </c:tx>
          <c:spPr>
            <a:ln w="47520">
              <a:solidFill>
                <a:srgbClr val="A240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و'!$B$16:$BM$16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1A7-4542-8083-8C09F32AAF72}"/>
            </c:ext>
          </c:extLst>
        </c:ser>
        <c:ser>
          <c:idx val="8"/>
          <c:order val="8"/>
          <c:tx>
            <c:strRef>
              <c:f>'نمودار تجهیزات آب و'!$A$17</c:f>
              <c:strCache>
                <c:ptCount val="1"/>
                <c:pt idx="0">
                  <c:v>مبدل های حرارتی</c:v>
                </c:pt>
              </c:strCache>
            </c:strRef>
          </c:tx>
          <c:spPr>
            <a:ln w="47520">
              <a:solidFill>
                <a:srgbClr val="829E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و'!$B$17:$BM$17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1A7-4542-8083-8C09F32AAF72}"/>
            </c:ext>
          </c:extLst>
        </c:ser>
        <c:ser>
          <c:idx val="9"/>
          <c:order val="9"/>
          <c:tx>
            <c:strRef>
              <c:f>'نمودار تجهیزات آب و'!$A$18</c:f>
              <c:strCache>
                <c:ptCount val="1"/>
                <c:pt idx="0">
                  <c:v>دیگ حرارتی آب گرم</c:v>
                </c:pt>
              </c:strCache>
            </c:strRef>
          </c:tx>
          <c:spPr>
            <a:ln w="47520">
              <a:solidFill>
                <a:srgbClr val="6A528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و'!$B$18:$BM$18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1A7-4542-8083-8C09F32AAF72}"/>
            </c:ext>
          </c:extLst>
        </c:ser>
        <c:ser>
          <c:idx val="10"/>
          <c:order val="10"/>
          <c:tx>
            <c:strRef>
              <c:f>'نمودار تجهیزات آب و'!$A$19</c:f>
              <c:strCache>
                <c:ptCount val="1"/>
                <c:pt idx="0">
                  <c:v>مشعلها</c:v>
                </c:pt>
              </c:strCache>
            </c:strRef>
          </c:tx>
          <c:spPr>
            <a:ln w="47520">
              <a:solidFill>
                <a:srgbClr val="3B90A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و'!$B$19:$BM$19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1A7-4542-8083-8C09F32AAF72}"/>
            </c:ext>
          </c:extLst>
        </c:ser>
        <c:ser>
          <c:idx val="11"/>
          <c:order val="11"/>
          <c:tx>
            <c:strRef>
              <c:f>'نمودار تجهیزات آب و'!$A$20</c:f>
              <c:strCache>
                <c:ptCount val="1"/>
                <c:pt idx="0">
                  <c:v>جرثقیلها</c:v>
                </c:pt>
              </c:strCache>
            </c:strRef>
          </c:tx>
          <c:spPr>
            <a:ln w="47520">
              <a:solidFill>
                <a:srgbClr val="D27D3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و'!$B$20:$BM$20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1A7-4542-8083-8C09F32AAF72}"/>
            </c:ext>
          </c:extLst>
        </c:ser>
        <c:ser>
          <c:idx val="12"/>
          <c:order val="12"/>
          <c:tx>
            <c:strRef>
              <c:f>'نمودار تجهیزات آب و'!$A$21</c:f>
              <c:strCache>
                <c:ptCount val="1"/>
                <c:pt idx="0">
                  <c:v>الکتروموتورها</c:v>
                </c:pt>
              </c:strCache>
            </c:strRef>
          </c:tx>
          <c:spPr>
            <a:ln w="47520">
              <a:solidFill>
                <a:srgbClr val="4678B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و'!$B$21:$BM$21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1A7-4542-8083-8C09F32AAF72}"/>
            </c:ext>
          </c:extLst>
        </c:ser>
        <c:ser>
          <c:idx val="13"/>
          <c:order val="13"/>
          <c:tx>
            <c:strRef>
              <c:f>'نمودار تجهیزات آب و'!$A$22</c:f>
              <c:strCache>
                <c:ptCount val="1"/>
                <c:pt idx="0">
                  <c:v>خنثیسازی و حذفبو</c:v>
                </c:pt>
              </c:strCache>
            </c:strRef>
          </c:tx>
          <c:spPr>
            <a:ln w="47520">
              <a:solidFill>
                <a:srgbClr val="B547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و'!$B$22:$BM$22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1A7-4542-8083-8C09F32AAF72}"/>
            </c:ext>
          </c:extLst>
        </c:ser>
        <c:ser>
          <c:idx val="14"/>
          <c:order val="14"/>
          <c:tx>
            <c:strRef>
              <c:f>'نمودار تجهیزات آب و'!$A$23</c:f>
              <c:strCache>
                <c:ptCount val="1"/>
                <c:pt idx="0">
                  <c:v>لولهها و اتصالات و متعلقات فولادی</c:v>
                </c:pt>
              </c:strCache>
            </c:strRef>
          </c:tx>
          <c:spPr>
            <a:ln w="47520">
              <a:solidFill>
                <a:srgbClr val="91B05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و'!$B$23:$BM$23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1A7-4542-8083-8C09F32AAF72}"/>
            </c:ext>
          </c:extLst>
        </c:ser>
        <c:ser>
          <c:idx val="15"/>
          <c:order val="15"/>
          <c:tx>
            <c:strRef>
              <c:f>'نمودار تجهیزات آب و'!$A$24</c:f>
              <c:strCache>
                <c:ptCount val="1"/>
                <c:pt idx="0">
                  <c:v>لولهها و اتصالات و منعلقات استیل</c:v>
                </c:pt>
              </c:strCache>
            </c:strRef>
          </c:tx>
          <c:spPr>
            <a:ln w="47520">
              <a:solidFill>
                <a:srgbClr val="775B9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و'!$B$24:$BM$24</c:f>
              <c:numCache>
                <c:formatCode>General</c:formatCode>
                <c:ptCount val="64"/>
                <c:pt idx="45" formatCode="#,##0.00">
                  <c:v>3767.7</c:v>
                </c:pt>
                <c:pt idx="46" formatCode="#,##0.00">
                  <c:v>3958.1</c:v>
                </c:pt>
                <c:pt idx="47" formatCode="#,##0.00">
                  <c:v>4155.1000000000004</c:v>
                </c:pt>
                <c:pt idx="48" formatCode="#,##0.00">
                  <c:v>3989.3</c:v>
                </c:pt>
                <c:pt idx="49" formatCode="#,##0.00">
                  <c:v>3998.7</c:v>
                </c:pt>
                <c:pt idx="50" formatCode="#,##0.00">
                  <c:v>4926.1000000000004</c:v>
                </c:pt>
                <c:pt idx="51" formatCode="#,##0.00">
                  <c:v>5489.3</c:v>
                </c:pt>
                <c:pt idx="52" formatCode="#,##0.00">
                  <c:v>5987.9</c:v>
                </c:pt>
                <c:pt idx="53" formatCode="#,##0.00">
                  <c:v>6652.7</c:v>
                </c:pt>
                <c:pt idx="54" formatCode="#,##0.00">
                  <c:v>6974</c:v>
                </c:pt>
                <c:pt idx="55" formatCode="#,##0.00">
                  <c:v>7021.1</c:v>
                </c:pt>
                <c:pt idx="56" formatCode="#,##0.00">
                  <c:v>7921</c:v>
                </c:pt>
                <c:pt idx="57" formatCode="#,##0.00">
                  <c:v>8633.5</c:v>
                </c:pt>
                <c:pt idx="58" formatCode="#,##0.00">
                  <c:v>9585.5</c:v>
                </c:pt>
                <c:pt idx="59" formatCode="#,##0.00">
                  <c:v>9131</c:v>
                </c:pt>
                <c:pt idx="60" formatCode="#,##0.00">
                  <c:v>9265.4</c:v>
                </c:pt>
                <c:pt idx="61" formatCode="#,##0.00">
                  <c:v>9421.5</c:v>
                </c:pt>
                <c:pt idx="62" formatCode="#,##0.00">
                  <c:v>9614.1</c:v>
                </c:pt>
                <c:pt idx="63" formatCode="#,##0.00">
                  <c:v>9720.4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1A7-4542-8083-8C09F32AAF72}"/>
            </c:ext>
          </c:extLst>
        </c:ser>
        <c:ser>
          <c:idx val="16"/>
          <c:order val="16"/>
          <c:tx>
            <c:strRef>
              <c:f>'نمودار تجهیزات آب و'!$A$25</c:f>
              <c:strCache>
                <c:ptCount val="1"/>
                <c:pt idx="0">
                  <c:v>لولهها و اتصالات و متعلقات چدنی نشکن</c:v>
                </c:pt>
              </c:strCache>
            </c:strRef>
          </c:tx>
          <c:spPr>
            <a:ln w="47520">
              <a:solidFill>
                <a:srgbClr val="42A2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و'!$B$25:$BM$25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31A7-4542-8083-8C09F32AAF72}"/>
            </c:ext>
          </c:extLst>
        </c:ser>
        <c:ser>
          <c:idx val="17"/>
          <c:order val="17"/>
          <c:tx>
            <c:strRef>
              <c:f>'نمودار تجهیزات آب و'!$A$26</c:f>
              <c:strCache>
                <c:ptCount val="1"/>
                <c:pt idx="0">
                  <c:v>لولهها و اتصالات و متعلقات پلیاتیلن</c:v>
                </c:pt>
              </c:strCache>
            </c:strRef>
          </c:tx>
          <c:spPr>
            <a:ln w="47520">
              <a:solidFill>
                <a:srgbClr val="E98B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و'!$B$26:$BM$26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31A7-4542-8083-8C09F32AAF72}"/>
            </c:ext>
          </c:extLst>
        </c:ser>
        <c:ser>
          <c:idx val="18"/>
          <c:order val="18"/>
          <c:tx>
            <c:strRef>
              <c:f>'نمودار تجهیزات آب و'!$A$27</c:f>
              <c:strCache>
                <c:ptCount val="1"/>
                <c:pt idx="0">
                  <c:v>لولهها و اتصالات فایبرگلاس</c:v>
                </c:pt>
              </c:strCache>
            </c:strRef>
          </c:tx>
          <c:spPr>
            <a:ln w="47520">
              <a:solidFill>
                <a:srgbClr val="6E90C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و'!$B$27:$BM$27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31A7-4542-8083-8C09F32AAF72}"/>
            </c:ext>
          </c:extLst>
        </c:ser>
        <c:ser>
          <c:idx val="19"/>
          <c:order val="19"/>
          <c:tx>
            <c:strRef>
              <c:f>'نمودار تجهیزات آب و'!$A$28</c:f>
              <c:strCache>
                <c:ptCount val="1"/>
                <c:pt idx="0">
                  <c:v>لولهها و اتصالات و متعلقات پلیپروپیلن و پی وی سخت</c:v>
                </c:pt>
              </c:strCache>
            </c:strRef>
          </c:tx>
          <c:spPr>
            <a:ln w="47520">
              <a:solidFill>
                <a:srgbClr val="C46E6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و'!$B$28:$BM$28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31A7-4542-8083-8C09F32AAF72}"/>
            </c:ext>
          </c:extLst>
        </c:ser>
        <c:ser>
          <c:idx val="20"/>
          <c:order val="20"/>
          <c:tx>
            <c:strRef>
              <c:f>'نمودار تجهیزات آب و'!$A$29</c:f>
              <c:strCache>
                <c:ptCount val="1"/>
                <c:pt idx="0">
                  <c:v>شیر آلات و متعلقات فلزی</c:v>
                </c:pt>
              </c:strCache>
            </c:strRef>
          </c:tx>
          <c:spPr>
            <a:ln w="47520">
              <a:solidFill>
                <a:srgbClr val="A5C07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و'!$B$29:$BM$29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31A7-4542-8083-8C09F32AAF72}"/>
            </c:ext>
          </c:extLst>
        </c:ser>
        <c:ser>
          <c:idx val="21"/>
          <c:order val="21"/>
          <c:tx>
            <c:strRef>
              <c:f>'نمودار تجهیزات آب و'!$A$30</c:f>
              <c:strCache>
                <c:ptCount val="1"/>
                <c:pt idx="0">
                  <c:v>شیر آلات و متعلقات پلاستیکی</c:v>
                </c:pt>
              </c:strCache>
            </c:strRef>
          </c:tx>
          <c:spPr>
            <a:ln w="47520">
              <a:solidFill>
                <a:srgbClr val="8F7BA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و'!$B$30:$BM$30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31A7-4542-8083-8C09F32AAF72}"/>
            </c:ext>
          </c:extLst>
        </c:ser>
        <c:ser>
          <c:idx val="22"/>
          <c:order val="22"/>
          <c:tx>
            <c:strRef>
              <c:f>'نمودار تجهیزات آب و'!$A$31</c:f>
              <c:strCache>
                <c:ptCount val="1"/>
                <c:pt idx="0">
                  <c:v>کارهای فلزی</c:v>
                </c:pt>
              </c:strCache>
            </c:strRef>
          </c:tx>
          <c:spPr>
            <a:ln w="47520">
              <a:solidFill>
                <a:srgbClr val="6CB2C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و'!$B$31:$BM$31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31A7-4542-8083-8C09F32AAF72}"/>
            </c:ext>
          </c:extLst>
        </c:ser>
        <c:ser>
          <c:idx val="23"/>
          <c:order val="23"/>
          <c:tx>
            <c:strRef>
              <c:f>'نمودار تجهیزات آب و'!$A$32</c:f>
              <c:strCache>
                <c:ptCount val="1"/>
                <c:pt idx="0">
                  <c:v>مواد شیمیایی</c:v>
                </c:pt>
              </c:strCache>
            </c:strRef>
          </c:tx>
          <c:spPr>
            <a:ln w="47520">
              <a:solidFill>
                <a:srgbClr val="F49F6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و'!$B$32:$BM$32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31A7-4542-8083-8C09F32AAF72}"/>
            </c:ext>
          </c:extLst>
        </c:ser>
        <c:ser>
          <c:idx val="24"/>
          <c:order val="24"/>
          <c:tx>
            <c:strRef>
              <c:f>'نمودار تجهیزات آب و'!$A$33</c:f>
              <c:strCache>
                <c:ptCount val="1"/>
                <c:pt idx="0">
                  <c:v>عملگرها</c:v>
                </c:pt>
              </c:strCache>
            </c:strRef>
          </c:tx>
          <c:spPr>
            <a:ln w="47520">
              <a:solidFill>
                <a:srgbClr val="9CAF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و'!$B$33:$BM$33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31A7-4542-8083-8C09F32AAF72}"/>
            </c:ext>
          </c:extLst>
        </c:ser>
        <c:ser>
          <c:idx val="25"/>
          <c:order val="25"/>
          <c:tx>
            <c:strRef>
              <c:f>'نمودار تجهیزات آب و'!$A$34</c:f>
              <c:strCache>
                <c:ptCount val="1"/>
                <c:pt idx="0">
                  <c:v>غشاها</c:v>
                </c:pt>
              </c:strCache>
            </c:strRef>
          </c:tx>
          <c:spPr>
            <a:ln w="47520">
              <a:solidFill>
                <a:srgbClr val="D19C9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و'!$B$34:$BM$34</c:f>
              <c:numCache>
                <c:formatCode>General</c:formatCode>
                <c:ptCount val="64"/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31A7-4542-8083-8C09F32AAF72}"/>
            </c:ext>
          </c:extLst>
        </c:ser>
        <c:ser>
          <c:idx val="26"/>
          <c:order val="26"/>
          <c:tx>
            <c:strRef>
              <c:f>'نمودار تجهیزات آب و'!$A$35</c:f>
              <c:strCache>
                <c:ptCount val="1"/>
                <c:pt idx="0">
                  <c:v>غلاف غشا</c:v>
                </c:pt>
              </c:strCache>
            </c:strRef>
          </c:tx>
          <c:spPr>
            <a:ln w="47520">
              <a:solidFill>
                <a:srgbClr val="BBCE9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و'!$B$35:$BM$35</c:f>
              <c:numCache>
                <c:formatCode>General</c:formatCode>
                <c:ptCount val="64"/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31A7-4542-8083-8C09F32AAF72}"/>
            </c:ext>
          </c:extLst>
        </c:ser>
        <c:ser>
          <c:idx val="27"/>
          <c:order val="27"/>
          <c:tx>
            <c:strRef>
              <c:f>'نمودار تجهیزات آب و'!$A$36</c:f>
              <c:strCache>
                <c:ptCount val="1"/>
                <c:pt idx="0">
                  <c:v>فیلتر کارتریج</c:v>
                </c:pt>
              </c:strCache>
            </c:strRef>
          </c:tx>
          <c:spPr>
            <a:ln w="47520">
              <a:solidFill>
                <a:srgbClr val="AFA2C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و'!$B$36:$BM$36</c:f>
              <c:numCache>
                <c:formatCode>General</c:formatCode>
                <c:ptCount val="64"/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31A7-4542-8083-8C09F32AAF72}"/>
            </c:ext>
          </c:extLst>
        </c:ser>
        <c:ser>
          <c:idx val="28"/>
          <c:order val="28"/>
          <c:tx>
            <c:strRef>
              <c:f>'نمودار تجهیزات آب و'!$A$37</c:f>
              <c:strCache>
                <c:ptCount val="1"/>
                <c:pt idx="0">
                  <c:v>-</c:v>
                </c:pt>
              </c:strCache>
            </c:strRef>
          </c:tx>
          <c:spPr>
            <a:ln w="47520">
              <a:solidFill>
                <a:srgbClr val="9AC5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و'!$B$37:$BM$37</c:f>
              <c:numCache>
                <c:formatCode>General</c:formatCode>
                <c:ptCount val="6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31A7-4542-8083-8C09F32AAF72}"/>
            </c:ext>
          </c:extLst>
        </c:ser>
        <c:ser>
          <c:idx val="29"/>
          <c:order val="29"/>
          <c:tx>
            <c:strRef>
              <c:f>'نمودار تجهیزات آب و'!$A$38</c:f>
              <c:strCache>
                <c:ptCount val="1"/>
                <c:pt idx="0">
                  <c:v>-</c:v>
                </c:pt>
              </c:strCache>
            </c:strRef>
          </c:tx>
          <c:spPr>
            <a:ln w="47520">
              <a:solidFill>
                <a:srgbClr val="F5B79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و'!$B$38:$BM$38</c:f>
              <c:numCache>
                <c:formatCode>General</c:formatCode>
                <c:ptCount val="6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31A7-4542-8083-8C09F32AAF72}"/>
            </c:ext>
          </c:extLst>
        </c:ser>
        <c:ser>
          <c:idx val="30"/>
          <c:order val="30"/>
          <c:tx>
            <c:strRef>
              <c:f>'نمودار تجهیزات آب و'!$A$39</c:f>
              <c:strCache>
                <c:ptCount val="1"/>
                <c:pt idx="0">
                  <c:v>تجهیزات ابزاردقیق اندازهگیری سطح یا فشار</c:v>
                </c:pt>
              </c:strCache>
            </c:strRef>
          </c:tx>
          <c:spPr>
            <a:ln w="47520">
              <a:solidFill>
                <a:srgbClr val="BCC7D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و'!$B$39:$BM$39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31A7-4542-8083-8C09F32AAF72}"/>
            </c:ext>
          </c:extLst>
        </c:ser>
        <c:ser>
          <c:idx val="31"/>
          <c:order val="31"/>
          <c:tx>
            <c:strRef>
              <c:f>'نمودار تجهیزات آب و'!$A$40</c:f>
              <c:strCache>
                <c:ptCount val="1"/>
                <c:pt idx="0">
                  <c:v>تجهیزات ابزاردقیق اندازهگیری دبی</c:v>
                </c:pt>
              </c:strCache>
            </c:strRef>
          </c:tx>
          <c:spPr>
            <a:ln w="47520">
              <a:solidFill>
                <a:srgbClr val="DEBC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و'!$B$40:$BM$40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31A7-4542-8083-8C09F32AAF72}"/>
            </c:ext>
          </c:extLst>
        </c:ser>
        <c:ser>
          <c:idx val="32"/>
          <c:order val="32"/>
          <c:tx>
            <c:strRef>
              <c:f>'نمودار تجهیزات آب و'!$A$41</c:f>
              <c:strCache>
                <c:ptCount val="1"/>
                <c:pt idx="0">
                  <c:v>آنالایزرها</c:v>
                </c:pt>
              </c:strCache>
            </c:strRef>
          </c:tx>
          <c:spPr>
            <a:ln w="47520">
              <a:solidFill>
                <a:srgbClr val="CFDC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و'!$B$41:$BM$41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31A7-4542-8083-8C09F32AAF72}"/>
            </c:ext>
          </c:extLst>
        </c:ser>
        <c:ser>
          <c:idx val="33"/>
          <c:order val="33"/>
          <c:tx>
            <c:strRef>
              <c:f>'نمودار تجهیزات آب و'!$A$42</c:f>
              <c:strCache>
                <c:ptCount val="1"/>
                <c:pt idx="0">
                  <c:v>کارهای دستمزدی</c:v>
                </c:pt>
              </c:strCache>
            </c:strRef>
          </c:tx>
          <c:spPr>
            <a:ln w="47520">
              <a:solidFill>
                <a:srgbClr val="C7C0D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تجهیزات آب و'!$B$8:$BM$8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تجهیزات آب و'!$B$42:$BM$42</c:f>
              <c:numCache>
                <c:formatCode>General</c:formatCode>
                <c:ptCount val="64"/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31A7-4542-8083-8C09F32AA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0201239"/>
        <c:axId val="19924010"/>
      </c:lineChart>
      <c:catAx>
        <c:axId val="302012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19924010"/>
        <c:crosses val="autoZero"/>
        <c:auto val="1"/>
        <c:lblAlgn val="ctr"/>
        <c:lblOffset val="100"/>
        <c:noMultiLvlLbl val="0"/>
      </c:catAx>
      <c:valAx>
        <c:axId val="19924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30201239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پست های انتقال برق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پست های انتق'!$A$9</c:f>
              <c:strCache>
                <c:ptCount val="1"/>
                <c:pt idx="0">
                  <c:v>طراحی</c:v>
                </c:pt>
              </c:strCache>
            </c:strRef>
          </c:tx>
          <c:spPr>
            <a:ln w="47520">
              <a:solidFill>
                <a:srgbClr val="365C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انتق'!$B$9:$BM$9</c:f>
              <c:numCache>
                <c:formatCode>General</c:formatCode>
                <c:ptCount val="64"/>
                <c:pt idx="38" formatCode="#,##0.00">
                  <c:v>1995</c:v>
                </c:pt>
                <c:pt idx="39" formatCode="#,##0.00">
                  <c:v>1995</c:v>
                </c:pt>
                <c:pt idx="40" formatCode="#,##0.00">
                  <c:v>1995</c:v>
                </c:pt>
                <c:pt idx="41" formatCode="#,##0.00">
                  <c:v>1995</c:v>
                </c:pt>
                <c:pt idx="42" formatCode="#,##0.00">
                  <c:v>1995</c:v>
                </c:pt>
                <c:pt idx="43" formatCode="#,##0.00">
                  <c:v>1995</c:v>
                </c:pt>
                <c:pt idx="44" formatCode="#,##0.00">
                  <c:v>2852.8</c:v>
                </c:pt>
                <c:pt idx="45" formatCode="#,##0.00">
                  <c:v>2852.8</c:v>
                </c:pt>
                <c:pt idx="46" formatCode="#,##0.00">
                  <c:v>2852.9</c:v>
                </c:pt>
                <c:pt idx="47" formatCode="#,##0.00">
                  <c:v>2852.9</c:v>
                </c:pt>
                <c:pt idx="48" formatCode="#,##0.00">
                  <c:v>3857.1</c:v>
                </c:pt>
                <c:pt idx="49" formatCode="#,##0.00">
                  <c:v>3885.6</c:v>
                </c:pt>
                <c:pt idx="50" formatCode="#,##0.00">
                  <c:v>3908.4</c:v>
                </c:pt>
                <c:pt idx="51" formatCode="#,##0.00">
                  <c:v>3936.9</c:v>
                </c:pt>
                <c:pt idx="52" formatCode="#,##0.00">
                  <c:v>3936.9</c:v>
                </c:pt>
                <c:pt idx="53" formatCode="#,##0.00">
                  <c:v>3936.9</c:v>
                </c:pt>
                <c:pt idx="54" formatCode="#,##0.00">
                  <c:v>4842.3999999999996</c:v>
                </c:pt>
                <c:pt idx="55" formatCode="#,##0.00">
                  <c:v>4881.8</c:v>
                </c:pt>
                <c:pt idx="56" formatCode="#,##0.00">
                  <c:v>4960.5</c:v>
                </c:pt>
                <c:pt idx="57" formatCode="#,##0.00">
                  <c:v>5039.3</c:v>
                </c:pt>
                <c:pt idx="58" formatCode="#,##0.00">
                  <c:v>6903.8</c:v>
                </c:pt>
                <c:pt idx="59" formatCode="#,##0.00">
                  <c:v>6954.2</c:v>
                </c:pt>
                <c:pt idx="60" formatCode="#,##0.00">
                  <c:v>6999.7</c:v>
                </c:pt>
                <c:pt idx="61" formatCode="#,##0.00">
                  <c:v>7019.9</c:v>
                </c:pt>
                <c:pt idx="62" formatCode="#,##0.00">
                  <c:v>7030</c:v>
                </c:pt>
                <c:pt idx="63" formatCode="#,##0.00">
                  <c:v>7050.1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20-4840-9600-AE6EE81F2A24}"/>
            </c:ext>
          </c:extLst>
        </c:ser>
        <c:ser>
          <c:idx val="1"/>
          <c:order val="1"/>
          <c:tx>
            <c:strRef>
              <c:f>'نمودار پست های انتق'!$A$10</c:f>
              <c:strCache>
                <c:ptCount val="1"/>
                <c:pt idx="0">
                  <c:v>ترانسفورماتور قدرت</c:v>
                </c:pt>
              </c:strCache>
            </c:strRef>
          </c:tx>
          <c:spPr>
            <a:ln w="47520">
              <a:solidFill>
                <a:srgbClr val="8C373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انتق'!$B$10:$BM$10</c:f>
              <c:numCache>
                <c:formatCode>General</c:formatCode>
                <c:ptCount val="64"/>
                <c:pt idx="38" formatCode="#,##0.00">
                  <c:v>1735.1</c:v>
                </c:pt>
                <c:pt idx="39" formatCode="#,##0.00">
                  <c:v>2051.5</c:v>
                </c:pt>
                <c:pt idx="40" formatCode="#,##0.00">
                  <c:v>2263.5</c:v>
                </c:pt>
                <c:pt idx="41" formatCode="#,##0.00">
                  <c:v>2542.6</c:v>
                </c:pt>
                <c:pt idx="42" formatCode="#,##0.00">
                  <c:v>2850</c:v>
                </c:pt>
                <c:pt idx="43" formatCode="#,##0.00">
                  <c:v>2850</c:v>
                </c:pt>
                <c:pt idx="44" formatCode="#,##0.00">
                  <c:v>3008.5</c:v>
                </c:pt>
                <c:pt idx="45" formatCode="#,##0.00">
                  <c:v>3116.2</c:v>
                </c:pt>
                <c:pt idx="46" formatCode="#,##0.00">
                  <c:v>3333.3</c:v>
                </c:pt>
                <c:pt idx="47" formatCode="#,##0.00">
                  <c:v>3430.4</c:v>
                </c:pt>
                <c:pt idx="48" formatCode="#,##0.00">
                  <c:v>3829.9</c:v>
                </c:pt>
                <c:pt idx="49" formatCode="#,##0.00">
                  <c:v>4024.1</c:v>
                </c:pt>
                <c:pt idx="50" formatCode="#,##0.00">
                  <c:v>4430.7</c:v>
                </c:pt>
                <c:pt idx="51" formatCode="#,##0.00">
                  <c:v>5042.2</c:v>
                </c:pt>
                <c:pt idx="52" formatCode="#,##0.00">
                  <c:v>5779.7</c:v>
                </c:pt>
                <c:pt idx="53" formatCode="#,##0.00">
                  <c:v>6232.2</c:v>
                </c:pt>
                <c:pt idx="54" formatCode="#,##0.00">
                  <c:v>6297</c:v>
                </c:pt>
                <c:pt idx="55" formatCode="#,##0.00">
                  <c:v>6271.1</c:v>
                </c:pt>
                <c:pt idx="56" formatCode="#,##0.00">
                  <c:v>6458</c:v>
                </c:pt>
                <c:pt idx="57" formatCode="#,##0.00">
                  <c:v>6744.6</c:v>
                </c:pt>
                <c:pt idx="58" formatCode="#,##0.00">
                  <c:v>7834.8</c:v>
                </c:pt>
                <c:pt idx="59" formatCode="#,##0.00">
                  <c:v>8181</c:v>
                </c:pt>
                <c:pt idx="60" formatCode="#,##0.00">
                  <c:v>8484.7000000000007</c:v>
                </c:pt>
                <c:pt idx="61" formatCode="#,##0.00">
                  <c:v>10015.799999999999</c:v>
                </c:pt>
                <c:pt idx="62" formatCode="#,##0.00">
                  <c:v>10501.3</c:v>
                </c:pt>
                <c:pt idx="63" formatCode="#,##0.00">
                  <c:v>10919.5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20-4840-9600-AE6EE81F2A24}"/>
            </c:ext>
          </c:extLst>
        </c:ser>
        <c:ser>
          <c:idx val="2"/>
          <c:order val="2"/>
          <c:tx>
            <c:strRef>
              <c:f>'نمودار پست های انتق'!$A$11</c:f>
              <c:strCache>
                <c:ptCount val="1"/>
                <c:pt idx="0">
                  <c:v>راکتور</c:v>
                </c:pt>
              </c:strCache>
            </c:strRef>
          </c:tx>
          <c:spPr>
            <a:ln w="47520">
              <a:solidFill>
                <a:srgbClr val="7088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انتق'!$B$11:$BM$11</c:f>
              <c:numCache>
                <c:formatCode>General</c:formatCode>
                <c:ptCount val="64"/>
                <c:pt idx="38" formatCode="#,##0.00">
                  <c:v>1782.1</c:v>
                </c:pt>
                <c:pt idx="39" formatCode="#,##0.00">
                  <c:v>2028.4</c:v>
                </c:pt>
                <c:pt idx="40" formatCode="#,##0.00">
                  <c:v>2239.1999999999998</c:v>
                </c:pt>
                <c:pt idx="41" formatCode="#,##0.00">
                  <c:v>2538.1</c:v>
                </c:pt>
                <c:pt idx="42" formatCode="#,##0.00">
                  <c:v>3075</c:v>
                </c:pt>
                <c:pt idx="43" formatCode="#,##0.00">
                  <c:v>3075</c:v>
                </c:pt>
                <c:pt idx="44" formatCode="#,##0.00">
                  <c:v>3225.3</c:v>
                </c:pt>
                <c:pt idx="45" formatCode="#,##0.00">
                  <c:v>3329.5</c:v>
                </c:pt>
                <c:pt idx="46" formatCode="#,##0.00">
                  <c:v>3599.6</c:v>
                </c:pt>
                <c:pt idx="47" formatCode="#,##0.00">
                  <c:v>3749.5</c:v>
                </c:pt>
                <c:pt idx="48" formatCode="#,##0.00">
                  <c:v>4219.8</c:v>
                </c:pt>
                <c:pt idx="49" formatCode="#,##0.00">
                  <c:v>4402.6000000000004</c:v>
                </c:pt>
                <c:pt idx="50" formatCode="#,##0.00">
                  <c:v>4812.3999999999996</c:v>
                </c:pt>
                <c:pt idx="51" formatCode="#,##0.00">
                  <c:v>5478.8</c:v>
                </c:pt>
                <c:pt idx="52" formatCode="#,##0.00">
                  <c:v>6161.1</c:v>
                </c:pt>
                <c:pt idx="53" formatCode="#,##0.00">
                  <c:v>6505.6</c:v>
                </c:pt>
                <c:pt idx="54" formatCode="#,##0.00">
                  <c:v>6573.2</c:v>
                </c:pt>
                <c:pt idx="55" formatCode="#,##0.00">
                  <c:v>6546.1</c:v>
                </c:pt>
                <c:pt idx="56" formatCode="#,##0.00">
                  <c:v>6741.2</c:v>
                </c:pt>
                <c:pt idx="57" formatCode="#,##0.00">
                  <c:v>7040.5</c:v>
                </c:pt>
                <c:pt idx="58" formatCode="#,##0.00">
                  <c:v>8178.4</c:v>
                </c:pt>
                <c:pt idx="59" formatCode="#,##0.00">
                  <c:v>8539.7999999999993</c:v>
                </c:pt>
                <c:pt idx="60" formatCode="#,##0.00">
                  <c:v>8857</c:v>
                </c:pt>
                <c:pt idx="61" formatCode="#,##0.00">
                  <c:v>10455.1</c:v>
                </c:pt>
                <c:pt idx="62" formatCode="#,##0.00">
                  <c:v>10940.9</c:v>
                </c:pt>
                <c:pt idx="63" formatCode="#,##0.00">
                  <c:v>11363.3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20-4840-9600-AE6EE81F2A24}"/>
            </c:ext>
          </c:extLst>
        </c:ser>
        <c:ser>
          <c:idx val="3"/>
          <c:order val="3"/>
          <c:tx>
            <c:strRef>
              <c:f>'نمودار پست های انتق'!$A$12</c:f>
              <c:strCache>
                <c:ptCount val="1"/>
                <c:pt idx="0">
                  <c:v>تجهیزات سوئیچگیر های گازی</c:v>
                </c:pt>
              </c:strCache>
            </c:strRef>
          </c:tx>
          <c:spPr>
            <a:ln w="47520">
              <a:solidFill>
                <a:srgbClr val="5B467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انتق'!$B$12:$BM$12</c:f>
              <c:numCache>
                <c:formatCode>General</c:formatCode>
                <c:ptCount val="64"/>
                <c:pt idx="38" formatCode="#,##0.00">
                  <c:v>1756.6</c:v>
                </c:pt>
                <c:pt idx="39" formatCode="#,##0.00">
                  <c:v>2119.3000000000002</c:v>
                </c:pt>
                <c:pt idx="40" formatCode="#,##0.00">
                  <c:v>2364.1999999999998</c:v>
                </c:pt>
                <c:pt idx="41" formatCode="#,##0.00">
                  <c:v>2714.8</c:v>
                </c:pt>
                <c:pt idx="42" formatCode="#,##0.00">
                  <c:v>3225</c:v>
                </c:pt>
                <c:pt idx="43" formatCode="#,##0.00">
                  <c:v>3165</c:v>
                </c:pt>
                <c:pt idx="44" formatCode="#,##0.00">
                  <c:v>3457.8</c:v>
                </c:pt>
                <c:pt idx="45" formatCode="#,##0.00">
                  <c:v>3522.3</c:v>
                </c:pt>
                <c:pt idx="46" formatCode="#,##0.00">
                  <c:v>3545</c:v>
                </c:pt>
                <c:pt idx="47" formatCode="#,##0.00">
                  <c:v>3557.1</c:v>
                </c:pt>
                <c:pt idx="48" formatCode="#,##0.00">
                  <c:v>3836.8</c:v>
                </c:pt>
                <c:pt idx="49" formatCode="#,##0.00">
                  <c:v>3881.8</c:v>
                </c:pt>
                <c:pt idx="50" formatCode="#,##0.00">
                  <c:v>4399.2</c:v>
                </c:pt>
                <c:pt idx="51" formatCode="#,##0.00">
                  <c:v>5334.4</c:v>
                </c:pt>
                <c:pt idx="52" formatCode="#,##0.00">
                  <c:v>5533.6</c:v>
                </c:pt>
                <c:pt idx="53" formatCode="#,##0.00">
                  <c:v>5435.8</c:v>
                </c:pt>
                <c:pt idx="54" formatCode="#,##0.00">
                  <c:v>5689.4</c:v>
                </c:pt>
                <c:pt idx="55" formatCode="#,##0.00">
                  <c:v>5657.7</c:v>
                </c:pt>
                <c:pt idx="56" formatCode="#,##0.00">
                  <c:v>6072.1</c:v>
                </c:pt>
                <c:pt idx="57" formatCode="#,##0.00">
                  <c:v>6416.5</c:v>
                </c:pt>
                <c:pt idx="58" formatCode="#,##0.00">
                  <c:v>6856.6</c:v>
                </c:pt>
                <c:pt idx="59" formatCode="#,##0.00">
                  <c:v>7362.4</c:v>
                </c:pt>
                <c:pt idx="60" formatCode="#,##0.00">
                  <c:v>7776.8</c:v>
                </c:pt>
                <c:pt idx="61" formatCode="#,##0.00">
                  <c:v>9425.7999999999993</c:v>
                </c:pt>
                <c:pt idx="62" formatCode="#,##0.00">
                  <c:v>9624.7999999999993</c:v>
                </c:pt>
                <c:pt idx="63" formatCode="#,##0.00">
                  <c:v>9753.1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20-4840-9600-AE6EE81F2A24}"/>
            </c:ext>
          </c:extLst>
        </c:ser>
        <c:ser>
          <c:idx val="4"/>
          <c:order val="4"/>
          <c:tx>
            <c:strRef>
              <c:f>'نمودار پست های انتق'!$A$13</c:f>
              <c:strCache>
                <c:ptCount val="1"/>
                <c:pt idx="0">
                  <c:v>کلید قدرت</c:v>
                </c:pt>
              </c:strCache>
            </c:strRef>
          </c:tx>
          <c:spPr>
            <a:ln w="47520">
              <a:solidFill>
                <a:srgbClr val="337D9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انتق'!$B$13:$BM$13</c:f>
              <c:numCache>
                <c:formatCode>General</c:formatCode>
                <c:ptCount val="64"/>
                <c:pt idx="38" formatCode="#,##0.00">
                  <c:v>1818.8</c:v>
                </c:pt>
                <c:pt idx="39" formatCode="#,##0.00">
                  <c:v>2121.5</c:v>
                </c:pt>
                <c:pt idx="40" formatCode="#,##0.00">
                  <c:v>2331.4</c:v>
                </c:pt>
                <c:pt idx="41" formatCode="#,##0.00">
                  <c:v>2662.7</c:v>
                </c:pt>
                <c:pt idx="42" formatCode="#,##0.00">
                  <c:v>2955</c:v>
                </c:pt>
                <c:pt idx="43" formatCode="#,##0.00">
                  <c:v>2955</c:v>
                </c:pt>
                <c:pt idx="44" formatCode="#,##0.00">
                  <c:v>3097.6</c:v>
                </c:pt>
                <c:pt idx="45" formatCode="#,##0.00">
                  <c:v>3370.7</c:v>
                </c:pt>
                <c:pt idx="46" formatCode="#,##0.00">
                  <c:v>3399.2</c:v>
                </c:pt>
                <c:pt idx="47" formatCode="#,##0.00">
                  <c:v>3399.2</c:v>
                </c:pt>
                <c:pt idx="48" formatCode="#,##0.00">
                  <c:v>3861.7</c:v>
                </c:pt>
                <c:pt idx="49" formatCode="#,##0.00">
                  <c:v>3955.7</c:v>
                </c:pt>
                <c:pt idx="50" formatCode="#,##0.00">
                  <c:v>4079</c:v>
                </c:pt>
                <c:pt idx="51" formatCode="#,##0.00">
                  <c:v>4713.6000000000004</c:v>
                </c:pt>
                <c:pt idx="52" formatCode="#,##0.00">
                  <c:v>4713.6000000000004</c:v>
                </c:pt>
                <c:pt idx="53" formatCode="#,##0.00">
                  <c:v>5635</c:v>
                </c:pt>
                <c:pt idx="54" formatCode="#,##0.00">
                  <c:v>5487.6</c:v>
                </c:pt>
                <c:pt idx="55" formatCode="#,##0.00">
                  <c:v>5487.6</c:v>
                </c:pt>
                <c:pt idx="56" formatCode="#,##0.00">
                  <c:v>6019.2</c:v>
                </c:pt>
                <c:pt idx="57" formatCode="#,##0.00">
                  <c:v>6467.5</c:v>
                </c:pt>
                <c:pt idx="58" formatCode="#,##0.00">
                  <c:v>7736.6</c:v>
                </c:pt>
                <c:pt idx="59" formatCode="#,##0.00">
                  <c:v>8165.6</c:v>
                </c:pt>
                <c:pt idx="60" formatCode="#,##0.00">
                  <c:v>8407.7999999999993</c:v>
                </c:pt>
                <c:pt idx="61" formatCode="#,##0.00">
                  <c:v>9267.9</c:v>
                </c:pt>
                <c:pt idx="62" formatCode="#,##0.00">
                  <c:v>9753</c:v>
                </c:pt>
                <c:pt idx="63" formatCode="#,##0.00">
                  <c:v>10037.5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020-4840-9600-AE6EE81F2A24}"/>
            </c:ext>
          </c:extLst>
        </c:ser>
        <c:ser>
          <c:idx val="5"/>
          <c:order val="5"/>
          <c:tx>
            <c:strRef>
              <c:f>'نمودار پست های انتق'!$A$14</c:f>
              <c:strCache>
                <c:ptCount val="1"/>
                <c:pt idx="0">
                  <c:v>سسیونر و تیغه زمین</c:v>
                </c:pt>
              </c:strCache>
            </c:strRef>
          </c:tx>
          <c:spPr>
            <a:ln w="47520">
              <a:solidFill>
                <a:srgbClr val="B46B2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انتق'!$B$14:$BM$14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020-4840-9600-AE6EE81F2A24}"/>
            </c:ext>
          </c:extLst>
        </c:ser>
        <c:ser>
          <c:idx val="6"/>
          <c:order val="6"/>
          <c:tx>
            <c:strRef>
              <c:f>'نمودار پست های انتق'!$A$15</c:f>
              <c:strCache>
                <c:ptCount val="1"/>
                <c:pt idx="0">
                  <c:v>ترانس جریان</c:v>
                </c:pt>
              </c:strCache>
            </c:strRef>
          </c:tx>
          <c:spPr>
            <a:ln w="47520">
              <a:solidFill>
                <a:srgbClr val="3F6B9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انتق'!$B$15:$BM$15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020-4840-9600-AE6EE81F2A24}"/>
            </c:ext>
          </c:extLst>
        </c:ser>
        <c:ser>
          <c:idx val="7"/>
          <c:order val="7"/>
          <c:tx>
            <c:strRef>
              <c:f>'نمودار پست های انتق'!$A$16</c:f>
              <c:strCache>
                <c:ptCount val="1"/>
                <c:pt idx="0">
                  <c:v>ترانس ولتاژ</c:v>
                </c:pt>
              </c:strCache>
            </c:strRef>
          </c:tx>
          <c:spPr>
            <a:ln w="47520">
              <a:solidFill>
                <a:srgbClr val="A2403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انتق'!$B$16:$BM$16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020-4840-9600-AE6EE81F2A24}"/>
            </c:ext>
          </c:extLst>
        </c:ser>
        <c:ser>
          <c:idx val="8"/>
          <c:order val="8"/>
          <c:tx>
            <c:strRef>
              <c:f>'نمودار پست های انتق'!$A$17</c:f>
              <c:strCache>
                <c:ptCount val="1"/>
                <c:pt idx="0">
                  <c:v>برقگیر و شمارنده</c:v>
                </c:pt>
              </c:strCache>
            </c:strRef>
          </c:tx>
          <c:spPr>
            <a:ln w="47520">
              <a:solidFill>
                <a:srgbClr val="829E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انتق'!$B$17:$BM$17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020-4840-9600-AE6EE81F2A24}"/>
            </c:ext>
          </c:extLst>
        </c:ser>
        <c:ser>
          <c:idx val="9"/>
          <c:order val="9"/>
          <c:tx>
            <c:strRef>
              <c:f>'نمودار پست های انتق'!$A$18</c:f>
              <c:strCache>
                <c:ptCount val="1"/>
                <c:pt idx="0">
                  <c:v>مقره اتکایی پرسیلینی</c:v>
                </c:pt>
              </c:strCache>
            </c:strRef>
          </c:tx>
          <c:spPr>
            <a:ln w="47520">
              <a:solidFill>
                <a:srgbClr val="6A528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انتق'!$B$18:$BM$18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020-4840-9600-AE6EE81F2A24}"/>
            </c:ext>
          </c:extLst>
        </c:ser>
        <c:ser>
          <c:idx val="10"/>
          <c:order val="10"/>
          <c:tx>
            <c:strRef>
              <c:f>'نمودار پست های انتق'!$A$19</c:f>
              <c:strCache>
                <c:ptCount val="1"/>
                <c:pt idx="0">
                  <c:v>بوشینگ</c:v>
                </c:pt>
              </c:strCache>
            </c:strRef>
          </c:tx>
          <c:spPr>
            <a:ln w="47520">
              <a:solidFill>
                <a:srgbClr val="3B90A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انتق'!$B$19:$BM$19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020-4840-9600-AE6EE81F2A24}"/>
            </c:ext>
          </c:extLst>
        </c:ser>
        <c:ser>
          <c:idx val="11"/>
          <c:order val="11"/>
          <c:tx>
            <c:strRef>
              <c:f>'نمودار پست های انتق'!$A$20</c:f>
              <c:strCache>
                <c:ptCount val="1"/>
                <c:pt idx="0">
                  <c:v>موج گیرو راکتور بانک خازنی</c:v>
                </c:pt>
              </c:strCache>
            </c:strRef>
          </c:tx>
          <c:spPr>
            <a:ln w="47520">
              <a:solidFill>
                <a:srgbClr val="D27D3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انتق'!$B$20:$BM$20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020-4840-9600-AE6EE81F2A24}"/>
            </c:ext>
          </c:extLst>
        </c:ser>
        <c:ser>
          <c:idx val="12"/>
          <c:order val="12"/>
          <c:tx>
            <c:strRef>
              <c:f>'نمودار پست های انتق'!$A$21</c:f>
              <c:strCache>
                <c:ptCount val="1"/>
                <c:pt idx="0">
                  <c:v>هادی آلومینیومی</c:v>
                </c:pt>
              </c:strCache>
            </c:strRef>
          </c:tx>
          <c:spPr>
            <a:ln w="47520">
              <a:solidFill>
                <a:srgbClr val="4678B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انتق'!$B$21:$BM$21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020-4840-9600-AE6EE81F2A24}"/>
            </c:ext>
          </c:extLst>
        </c:ser>
        <c:ser>
          <c:idx val="13"/>
          <c:order val="13"/>
          <c:tx>
            <c:strRef>
              <c:f>'نمودار پست های انتق'!$A$22</c:f>
              <c:strCache>
                <c:ptCount val="1"/>
                <c:pt idx="0">
                  <c:v>کلمپ آلومینیومی</c:v>
                </c:pt>
              </c:strCache>
            </c:strRef>
          </c:tx>
          <c:spPr>
            <a:ln w="47520">
              <a:solidFill>
                <a:srgbClr val="B547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انتق'!$B$22:$BM$22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020-4840-9600-AE6EE81F2A24}"/>
            </c:ext>
          </c:extLst>
        </c:ser>
        <c:ser>
          <c:idx val="14"/>
          <c:order val="14"/>
          <c:tx>
            <c:strRef>
              <c:f>'نمودار پست های انتق'!$A$23</c:f>
              <c:strCache>
                <c:ptCount val="1"/>
                <c:pt idx="0">
                  <c:v>یراقآلات فولادی</c:v>
                </c:pt>
              </c:strCache>
            </c:strRef>
          </c:tx>
          <c:spPr>
            <a:ln w="47520">
              <a:solidFill>
                <a:srgbClr val="91B05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انتق'!$B$23:$BM$23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7020-4840-9600-AE6EE81F2A24}"/>
            </c:ext>
          </c:extLst>
        </c:ser>
        <c:ser>
          <c:idx val="15"/>
          <c:order val="15"/>
          <c:tx>
            <c:strRef>
              <c:f>'نمودار پست های انتق'!$A$24</c:f>
              <c:strCache>
                <c:ptCount val="1"/>
                <c:pt idx="0">
                  <c:v>بانک خازنی</c:v>
                </c:pt>
              </c:strCache>
            </c:strRef>
          </c:tx>
          <c:spPr>
            <a:ln w="47520">
              <a:solidFill>
                <a:srgbClr val="775B9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انتق'!$B$24:$BM$24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7020-4840-9600-AE6EE81F2A24}"/>
            </c:ext>
          </c:extLst>
        </c:ser>
        <c:ser>
          <c:idx val="16"/>
          <c:order val="16"/>
          <c:tx>
            <c:strRef>
              <c:f>'نمودار پست های انتق'!$A$25</c:f>
              <c:strCache>
                <c:ptCount val="1"/>
                <c:pt idx="0">
                  <c:v>تابلو فشار متوسط</c:v>
                </c:pt>
              </c:strCache>
            </c:strRef>
          </c:tx>
          <c:spPr>
            <a:ln w="47520">
              <a:solidFill>
                <a:srgbClr val="42A2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انتق'!$B$25:$BM$25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7020-4840-9600-AE6EE81F2A24}"/>
            </c:ext>
          </c:extLst>
        </c:ser>
        <c:ser>
          <c:idx val="17"/>
          <c:order val="17"/>
          <c:tx>
            <c:strRef>
              <c:f>'نمودار پست های انتق'!$A$26</c:f>
              <c:strCache>
                <c:ptCount val="1"/>
                <c:pt idx="0">
                  <c:v>سیستم زمین</c:v>
                </c:pt>
              </c:strCache>
            </c:strRef>
          </c:tx>
          <c:spPr>
            <a:ln w="47520">
              <a:solidFill>
                <a:srgbClr val="E98B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انتق'!$B$26:$BM$26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7020-4840-9600-AE6EE81F2A24}"/>
            </c:ext>
          </c:extLst>
        </c:ser>
        <c:ser>
          <c:idx val="18"/>
          <c:order val="18"/>
          <c:tx>
            <c:strRef>
              <c:f>'نمودار پست های انتق'!$A$27</c:f>
              <c:strCache>
                <c:ptCount val="1"/>
                <c:pt idx="0">
                  <c:v>آهن آلات پست</c:v>
                </c:pt>
              </c:strCache>
            </c:strRef>
          </c:tx>
          <c:spPr>
            <a:ln w="47520">
              <a:solidFill>
                <a:srgbClr val="6E90C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انتق'!$B$27:$BM$27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7020-4840-9600-AE6EE81F2A24}"/>
            </c:ext>
          </c:extLst>
        </c:ser>
        <c:ser>
          <c:idx val="19"/>
          <c:order val="19"/>
          <c:tx>
            <c:strRef>
              <c:f>'نمودار پست های انتق'!$A$28</c:f>
              <c:strCache>
                <c:ptCount val="1"/>
                <c:pt idx="0">
                  <c:v>کابل فشار ضعیف مسی و ملحقات</c:v>
                </c:pt>
              </c:strCache>
            </c:strRef>
          </c:tx>
          <c:spPr>
            <a:ln w="47520">
              <a:solidFill>
                <a:srgbClr val="C46E6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انتق'!$B$28:$BM$28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7020-4840-9600-AE6EE81F2A24}"/>
            </c:ext>
          </c:extLst>
        </c:ser>
        <c:ser>
          <c:idx val="20"/>
          <c:order val="20"/>
          <c:tx>
            <c:strRef>
              <c:f>'نمودار پست های انتق'!$A$29</c:f>
              <c:strCache>
                <c:ptCount val="1"/>
                <c:pt idx="0">
                  <c:v>بدنه و ملحقات داخلی تابلوها</c:v>
                </c:pt>
              </c:strCache>
            </c:strRef>
          </c:tx>
          <c:spPr>
            <a:ln w="47520">
              <a:solidFill>
                <a:srgbClr val="A5C07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انتق'!$B$29:$BM$29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7020-4840-9600-AE6EE81F2A24}"/>
            </c:ext>
          </c:extLst>
        </c:ser>
        <c:ser>
          <c:idx val="21"/>
          <c:order val="21"/>
          <c:tx>
            <c:strRef>
              <c:f>'نمودار پست های انتق'!$A$30</c:f>
              <c:strCache>
                <c:ptCount val="1"/>
                <c:pt idx="0">
                  <c:v>تجهیزات سیستم کنترل سنتی</c:v>
                </c:pt>
              </c:strCache>
            </c:strRef>
          </c:tx>
          <c:spPr>
            <a:ln w="47520">
              <a:solidFill>
                <a:srgbClr val="8F7BA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انتق'!$B$30:$BM$30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7020-4840-9600-AE6EE81F2A24}"/>
            </c:ext>
          </c:extLst>
        </c:ser>
        <c:ser>
          <c:idx val="22"/>
          <c:order val="22"/>
          <c:tx>
            <c:strRef>
              <c:f>'نمودار پست های انتق'!$A$31</c:f>
              <c:strCache>
                <c:ptCount val="1"/>
                <c:pt idx="0">
                  <c:v>تجهیزات اندازه گیری دیجیتال و ثبات</c:v>
                </c:pt>
              </c:strCache>
            </c:strRef>
          </c:tx>
          <c:spPr>
            <a:ln w="47520">
              <a:solidFill>
                <a:srgbClr val="6CB2C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انتق'!$B$31:$BM$31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7020-4840-9600-AE6EE81F2A24}"/>
            </c:ext>
          </c:extLst>
        </c:ser>
        <c:ser>
          <c:idx val="23"/>
          <c:order val="23"/>
          <c:tx>
            <c:strRef>
              <c:f>'نمودار پست های انتق'!$A$32</c:f>
              <c:strCache>
                <c:ptCount val="1"/>
                <c:pt idx="0">
                  <c:v>تجهیزات سیستم کنترل نیومریک</c:v>
                </c:pt>
              </c:strCache>
            </c:strRef>
          </c:tx>
          <c:spPr>
            <a:ln w="47520">
              <a:solidFill>
                <a:srgbClr val="F49F6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انتق'!$B$32:$BM$32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7020-4840-9600-AE6EE81F2A24}"/>
            </c:ext>
          </c:extLst>
        </c:ser>
        <c:ser>
          <c:idx val="24"/>
          <c:order val="24"/>
          <c:tx>
            <c:strRef>
              <c:f>'نمودار پست های انتق'!$A$33</c:f>
              <c:strCache>
                <c:ptCount val="1"/>
                <c:pt idx="0">
                  <c:v>تجهیرات سیستم حفاظت الکتریکی</c:v>
                </c:pt>
              </c:strCache>
            </c:strRef>
          </c:tx>
          <c:spPr>
            <a:ln w="47520">
              <a:solidFill>
                <a:srgbClr val="9CAF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انتق'!$B$33:$BM$33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7020-4840-9600-AE6EE81F2A24}"/>
            </c:ext>
          </c:extLst>
        </c:ser>
        <c:ser>
          <c:idx val="25"/>
          <c:order val="25"/>
          <c:tx>
            <c:strRef>
              <c:f>'نمودار پست های انتق'!$A$34</c:f>
              <c:strCache>
                <c:ptCount val="1"/>
                <c:pt idx="0">
                  <c:v>تجهیزات دیسپاچینگ و مخابرات</c:v>
                </c:pt>
              </c:strCache>
            </c:strRef>
          </c:tx>
          <c:spPr>
            <a:ln w="47520">
              <a:solidFill>
                <a:srgbClr val="D19C9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انتق'!$B$34:$BM$34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7020-4840-9600-AE6EE81F2A24}"/>
            </c:ext>
          </c:extLst>
        </c:ser>
        <c:ser>
          <c:idx val="26"/>
          <c:order val="26"/>
          <c:tx>
            <c:strRef>
              <c:f>'نمودار پست های انتق'!$A$35</c:f>
              <c:strCache>
                <c:ptCount val="1"/>
                <c:pt idx="0">
                  <c:v>تجهیزات تغذیه جریان مستقیم و متناوب</c:v>
                </c:pt>
              </c:strCache>
            </c:strRef>
          </c:tx>
          <c:spPr>
            <a:ln w="47520">
              <a:solidFill>
                <a:srgbClr val="BBCE9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انتق'!$B$35:$BM$35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7020-4840-9600-AE6EE81F2A24}"/>
            </c:ext>
          </c:extLst>
        </c:ser>
        <c:ser>
          <c:idx val="27"/>
          <c:order val="27"/>
          <c:tx>
            <c:strRef>
              <c:f>'نمودار پست های انتق'!$A$36</c:f>
              <c:strCache>
                <c:ptCount val="1"/>
                <c:pt idx="0">
                  <c:v>شارژر</c:v>
                </c:pt>
              </c:strCache>
            </c:strRef>
          </c:tx>
          <c:spPr>
            <a:ln w="47520">
              <a:solidFill>
                <a:srgbClr val="AFA2C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انتق'!$B$36:$BM$36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7020-4840-9600-AE6EE81F2A24}"/>
            </c:ext>
          </c:extLst>
        </c:ser>
        <c:ser>
          <c:idx val="28"/>
          <c:order val="28"/>
          <c:tx>
            <c:strRef>
              <c:f>'نمودار پست های انتق'!$A$37</c:f>
              <c:strCache>
                <c:ptCount val="1"/>
                <c:pt idx="0">
                  <c:v>باتری اسیدی</c:v>
                </c:pt>
              </c:strCache>
            </c:strRef>
          </c:tx>
          <c:spPr>
            <a:ln w="47520">
              <a:solidFill>
                <a:srgbClr val="9AC5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انتق'!$B$37:$BM$37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7020-4840-9600-AE6EE81F2A24}"/>
            </c:ext>
          </c:extLst>
        </c:ser>
        <c:ser>
          <c:idx val="29"/>
          <c:order val="29"/>
          <c:tx>
            <c:strRef>
              <c:f>'نمودار پست های انتق'!$A$38</c:f>
              <c:strCache>
                <c:ptCount val="1"/>
                <c:pt idx="0">
                  <c:v>باتری نیکل کادمیوم</c:v>
                </c:pt>
              </c:strCache>
            </c:strRef>
          </c:tx>
          <c:spPr>
            <a:ln w="47520">
              <a:solidFill>
                <a:srgbClr val="F5B79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انتق'!$B$38:$BM$38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7020-4840-9600-AE6EE81F2A24}"/>
            </c:ext>
          </c:extLst>
        </c:ser>
        <c:ser>
          <c:idx val="30"/>
          <c:order val="30"/>
          <c:tx>
            <c:strRef>
              <c:f>'نمودار پست های انتق'!$A$39</c:f>
              <c:strCache>
                <c:ptCount val="1"/>
                <c:pt idx="0">
                  <c:v>عملیات نصب</c:v>
                </c:pt>
              </c:strCache>
            </c:strRef>
          </c:tx>
          <c:spPr>
            <a:ln w="47520">
              <a:solidFill>
                <a:srgbClr val="BCC7D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انتق'!$B$39:$BM$39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7020-4840-9600-AE6EE81F2A24}"/>
            </c:ext>
          </c:extLst>
        </c:ser>
        <c:ser>
          <c:idx val="31"/>
          <c:order val="31"/>
          <c:tx>
            <c:strRef>
              <c:f>'نمودار پست های انتق'!$A$40</c:f>
              <c:strCache>
                <c:ptCount val="1"/>
                <c:pt idx="0">
                  <c:v>عملیات آزمون و راه اندازی</c:v>
                </c:pt>
              </c:strCache>
            </c:strRef>
          </c:tx>
          <c:spPr>
            <a:ln w="47520">
              <a:solidFill>
                <a:srgbClr val="DEBC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انتق'!$B$40:$BM$40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7020-4840-9600-AE6EE81F2A24}"/>
            </c:ext>
          </c:extLst>
        </c:ser>
        <c:ser>
          <c:idx val="32"/>
          <c:order val="32"/>
          <c:tx>
            <c:strRef>
              <c:f>'نمودار پست های انتق'!$A$41</c:f>
              <c:strCache>
                <c:ptCount val="1"/>
                <c:pt idx="0">
                  <c:v>حمل</c:v>
                </c:pt>
              </c:strCache>
            </c:strRef>
          </c:tx>
          <c:spPr>
            <a:ln w="47520">
              <a:solidFill>
                <a:srgbClr val="CFDC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پست های انتق'!$B$8:$BM$8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پست های انتق'!$B$41:$BM$41</c:f>
              <c:numCache>
                <c:formatCode>General</c:formatCode>
                <c:ptCount val="64"/>
                <c:pt idx="38" formatCode="#,##0.00">
                  <c:v>0</c:v>
                </c:pt>
                <c:pt idx="39" formatCode="#,##0.00">
                  <c:v>0</c:v>
                </c:pt>
                <c:pt idx="40" formatCode="#,##0.00">
                  <c:v>0</c:v>
                </c:pt>
                <c:pt idx="41" formatCode="#,##0.00">
                  <c:v>0</c:v>
                </c:pt>
                <c:pt idx="42" formatCode="#,##0.00">
                  <c:v>0</c:v>
                </c:pt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7020-4840-9600-AE6EE81F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4157714"/>
        <c:axId val="45534582"/>
      </c:lineChart>
      <c:catAx>
        <c:axId val="54157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45534582"/>
        <c:crosses val="autoZero"/>
        <c:auto val="1"/>
        <c:lblAlgn val="ctr"/>
        <c:lblOffset val="100"/>
        <c:noMultiLvlLbl val="0"/>
      </c:catAx>
      <c:valAx>
        <c:axId val="45534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5415771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a-IR" sz="1800" b="1" strike="noStrike" spc="-1">
                <a:solidFill>
                  <a:srgbClr val="000000"/>
                </a:solidFill>
                <a:latin typeface="Calibri"/>
              </a:rPr>
              <a:t>روند شاخص‌های تعدیل توزیع نیرو برق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'نمودار توزیع نیرو ب'!$A$9</c:f>
              <c:strCache>
                <c:ptCount val="1"/>
                <c:pt idx="0">
                  <c:v>پایه‌های بتنی</c:v>
                </c:pt>
              </c:strCache>
            </c:strRef>
          </c:tx>
          <c:spPr>
            <a:ln w="47520">
              <a:solidFill>
                <a:srgbClr val="385F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ب'!$B$9:$BM$9</c:f>
              <c:numCache>
                <c:formatCode>General</c:formatCode>
                <c:ptCount val="64"/>
                <c:pt idx="43" formatCode="#,##0.00">
                  <c:v>2800</c:v>
                </c:pt>
                <c:pt idx="44" formatCode="#,##0.00">
                  <c:v>3052</c:v>
                </c:pt>
                <c:pt idx="45" formatCode="#,##0.00">
                  <c:v>3780</c:v>
                </c:pt>
                <c:pt idx="46" formatCode="#,##0.00">
                  <c:v>3777.8</c:v>
                </c:pt>
                <c:pt idx="47" formatCode="#,##0.00">
                  <c:v>3781.4</c:v>
                </c:pt>
                <c:pt idx="48" formatCode="#,##0.00">
                  <c:v>4344.3</c:v>
                </c:pt>
                <c:pt idx="49" formatCode="#,##0.00">
                  <c:v>4528.8999999999996</c:v>
                </c:pt>
                <c:pt idx="50" formatCode="#,##0.00">
                  <c:v>4656.6000000000004</c:v>
                </c:pt>
                <c:pt idx="51" formatCode="#,##0.00">
                  <c:v>4953.6000000000004</c:v>
                </c:pt>
                <c:pt idx="52" formatCode="#,##0.00">
                  <c:v>5180.5</c:v>
                </c:pt>
                <c:pt idx="53" formatCode="#,##0.00">
                  <c:v>5933.3</c:v>
                </c:pt>
                <c:pt idx="54" formatCode="#,##0.00">
                  <c:v>6478.9</c:v>
                </c:pt>
                <c:pt idx="55" formatCode="#,##0.00">
                  <c:v>6574.9</c:v>
                </c:pt>
                <c:pt idx="56" formatCode="#,##0.00">
                  <c:v>6759.8</c:v>
                </c:pt>
                <c:pt idx="57" formatCode="#,##0.00">
                  <c:v>6901.7</c:v>
                </c:pt>
                <c:pt idx="58" formatCode="#,##0.00">
                  <c:v>7369</c:v>
                </c:pt>
                <c:pt idx="59" formatCode="#,##0.00">
                  <c:v>7770.5</c:v>
                </c:pt>
                <c:pt idx="60" formatCode="#,##0.00">
                  <c:v>8337.2999999999993</c:v>
                </c:pt>
                <c:pt idx="61" formatCode="#,##0.00">
                  <c:v>8861.7999999999993</c:v>
                </c:pt>
                <c:pt idx="62" formatCode="#,##0.00">
                  <c:v>9096.4</c:v>
                </c:pt>
                <c:pt idx="63" formatCode="#,##0.00">
                  <c:v>9552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60-4283-AE3A-C5F8B7AF4D04}"/>
            </c:ext>
          </c:extLst>
        </c:ser>
        <c:ser>
          <c:idx val="1"/>
          <c:order val="1"/>
          <c:tx>
            <c:strRef>
              <c:f>'نمودار توزیع نیرو ب'!$A$10</c:f>
              <c:strCache>
                <c:ptCount val="1"/>
                <c:pt idx="0">
                  <c:v>پایه‌های چوبی</c:v>
                </c:pt>
              </c:strCache>
            </c:strRef>
          </c:tx>
          <c:spPr>
            <a:ln w="47520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ب'!$B$10:$BM$10</c:f>
              <c:numCache>
                <c:formatCode>General</c:formatCode>
                <c:ptCount val="64"/>
                <c:pt idx="43" formatCode="#,##0.00">
                  <c:v>2397.1</c:v>
                </c:pt>
                <c:pt idx="44" formatCode="#,##0.00">
                  <c:v>2540.9</c:v>
                </c:pt>
                <c:pt idx="45" formatCode="#,##0.00">
                  <c:v>2660.8</c:v>
                </c:pt>
                <c:pt idx="46" formatCode="#,##0.00">
                  <c:v>2812.5</c:v>
                </c:pt>
                <c:pt idx="47" formatCode="#,##0.00">
                  <c:v>2812.5</c:v>
                </c:pt>
                <c:pt idx="48" formatCode="#,##0.00">
                  <c:v>3121.9</c:v>
                </c:pt>
                <c:pt idx="49" formatCode="#,##0.00">
                  <c:v>3121.9</c:v>
                </c:pt>
                <c:pt idx="50" formatCode="#,##0.00">
                  <c:v>3564.3</c:v>
                </c:pt>
                <c:pt idx="51" formatCode="#,##0.00">
                  <c:v>3564.3</c:v>
                </c:pt>
                <c:pt idx="52" formatCode="#,##0.00">
                  <c:v>3564.3</c:v>
                </c:pt>
                <c:pt idx="53" formatCode="#,##0.00">
                  <c:v>3564.3</c:v>
                </c:pt>
                <c:pt idx="54" formatCode="#,##0.00">
                  <c:v>3599.9</c:v>
                </c:pt>
                <c:pt idx="55" formatCode="#,##0.00">
                  <c:v>3564.3</c:v>
                </c:pt>
                <c:pt idx="56" formatCode="#,##0.00">
                  <c:v>4039</c:v>
                </c:pt>
                <c:pt idx="57" formatCode="#,##0.00">
                  <c:v>4039</c:v>
                </c:pt>
                <c:pt idx="58" formatCode="#,##0.00">
                  <c:v>4442.8999999999996</c:v>
                </c:pt>
                <c:pt idx="59" formatCode="#,##0.00">
                  <c:v>4584.3</c:v>
                </c:pt>
                <c:pt idx="60" formatCode="#,##0.00">
                  <c:v>4564.1000000000004</c:v>
                </c:pt>
                <c:pt idx="61" formatCode="#,##0.00">
                  <c:v>4725.6000000000004</c:v>
                </c:pt>
                <c:pt idx="62" formatCode="#,##0.00">
                  <c:v>4846.8</c:v>
                </c:pt>
                <c:pt idx="63" formatCode="#,##0.00">
                  <c:v>4887.2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60-4283-AE3A-C5F8B7AF4D04}"/>
            </c:ext>
          </c:extLst>
        </c:ser>
        <c:ser>
          <c:idx val="2"/>
          <c:order val="2"/>
          <c:tx>
            <c:strRef>
              <c:f>'نمودار توزیع نیرو ب'!$A$11</c:f>
              <c:strCache>
                <c:ptCount val="1"/>
                <c:pt idx="0">
                  <c:v>پست‌های روغنی و ترانسفورماتورها</c:v>
                </c:pt>
              </c:strCache>
            </c:strRef>
          </c:tx>
          <c:spPr>
            <a:ln w="47520">
              <a:solidFill>
                <a:srgbClr val="738C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ب'!$B$11:$BM$11</c:f>
              <c:numCache>
                <c:formatCode>General</c:formatCode>
                <c:ptCount val="64"/>
                <c:pt idx="43" formatCode="#,##0.00">
                  <c:v>2272.6999999999998</c:v>
                </c:pt>
                <c:pt idx="44" formatCode="#,##0.00">
                  <c:v>2477.1999999999998</c:v>
                </c:pt>
                <c:pt idx="45" formatCode="#,##0.00">
                  <c:v>2613.6</c:v>
                </c:pt>
                <c:pt idx="46" formatCode="#,##0.00">
                  <c:v>3074.9</c:v>
                </c:pt>
                <c:pt idx="47" formatCode="#,##0.00">
                  <c:v>3079.4</c:v>
                </c:pt>
                <c:pt idx="48" formatCode="#,##0.00">
                  <c:v>3418.2</c:v>
                </c:pt>
                <c:pt idx="49" formatCode="#,##0.00">
                  <c:v>3454.2</c:v>
                </c:pt>
                <c:pt idx="50" formatCode="#,##0.00">
                  <c:v>3845.6</c:v>
                </c:pt>
                <c:pt idx="51" formatCode="#,##0.00">
                  <c:v>4506.8</c:v>
                </c:pt>
                <c:pt idx="52" formatCode="#,##0.00">
                  <c:v>4663.7</c:v>
                </c:pt>
                <c:pt idx="53" formatCode="#,##0.00">
                  <c:v>5005.6000000000004</c:v>
                </c:pt>
                <c:pt idx="54" formatCode="#,##0.00">
                  <c:v>5652.5</c:v>
                </c:pt>
                <c:pt idx="55" formatCode="#,##0.00">
                  <c:v>5579.6</c:v>
                </c:pt>
                <c:pt idx="56" formatCode="#,##0.00">
                  <c:v>5684.3</c:v>
                </c:pt>
                <c:pt idx="57" formatCode="#,##0.00">
                  <c:v>6089.8</c:v>
                </c:pt>
                <c:pt idx="58" formatCode="#,##0.00">
                  <c:v>7349</c:v>
                </c:pt>
                <c:pt idx="59" formatCode="#,##0.00">
                  <c:v>7349</c:v>
                </c:pt>
                <c:pt idx="60" formatCode="#,##0.00">
                  <c:v>7508.7</c:v>
                </c:pt>
                <c:pt idx="61" formatCode="#,##0.00">
                  <c:v>8050.7</c:v>
                </c:pt>
                <c:pt idx="62" formatCode="#,##0.00">
                  <c:v>8495.2999999999993</c:v>
                </c:pt>
                <c:pt idx="63" formatCode="#,##0.00">
                  <c:v>8647.5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60-4283-AE3A-C5F8B7AF4D04}"/>
            </c:ext>
          </c:extLst>
        </c:ser>
        <c:ser>
          <c:idx val="3"/>
          <c:order val="3"/>
          <c:tx>
            <c:strRef>
              <c:f>'نمودار توزیع نیرو ب'!$A$12</c:f>
              <c:strCache>
                <c:ptCount val="1"/>
                <c:pt idx="0">
                  <c:v>کابل‌های فشار متوسط مسی</c:v>
                </c:pt>
              </c:strCache>
            </c:strRef>
          </c:tx>
          <c:spPr>
            <a:ln w="47520">
              <a:solidFill>
                <a:srgbClr val="5E49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ب'!$B$12:$BM$12</c:f>
              <c:numCache>
                <c:formatCode>General</c:formatCode>
                <c:ptCount val="64"/>
                <c:pt idx="43" formatCode="#,##0.00">
                  <c:v>3210.2</c:v>
                </c:pt>
                <c:pt idx="44" formatCode="#,##0.00">
                  <c:v>3467</c:v>
                </c:pt>
                <c:pt idx="45" formatCode="#,##0.00">
                  <c:v>3434.9</c:v>
                </c:pt>
                <c:pt idx="46" formatCode="#,##0.00">
                  <c:v>4046</c:v>
                </c:pt>
                <c:pt idx="47" formatCode="#,##0.00">
                  <c:v>4112.8999999999996</c:v>
                </c:pt>
                <c:pt idx="48" formatCode="#,##0.00">
                  <c:v>4158</c:v>
                </c:pt>
                <c:pt idx="49" formatCode="#,##0.00">
                  <c:v>4069.1</c:v>
                </c:pt>
                <c:pt idx="50" formatCode="#,##0.00">
                  <c:v>4528.3</c:v>
                </c:pt>
                <c:pt idx="51" formatCode="#,##0.00">
                  <c:v>5159.6000000000004</c:v>
                </c:pt>
                <c:pt idx="52" formatCode="#,##0.00">
                  <c:v>6288.6</c:v>
                </c:pt>
                <c:pt idx="53" formatCode="#,##0.00">
                  <c:v>6798.2</c:v>
                </c:pt>
                <c:pt idx="54" formatCode="#,##0.00">
                  <c:v>6659.4</c:v>
                </c:pt>
                <c:pt idx="55" formatCode="#,##0.00">
                  <c:v>6569</c:v>
                </c:pt>
                <c:pt idx="56" formatCode="#,##0.00">
                  <c:v>7478</c:v>
                </c:pt>
                <c:pt idx="57" formatCode="#,##0.00">
                  <c:v>8129</c:v>
                </c:pt>
                <c:pt idx="58" formatCode="#,##0.00">
                  <c:v>9352.7999999999993</c:v>
                </c:pt>
                <c:pt idx="59" formatCode="#,##0.00">
                  <c:v>9245.7999999999993</c:v>
                </c:pt>
                <c:pt idx="60" formatCode="#,##0.00">
                  <c:v>10080</c:v>
                </c:pt>
                <c:pt idx="61" formatCode="#,##0.00">
                  <c:v>11600.1</c:v>
                </c:pt>
                <c:pt idx="62" formatCode="#,##0.00">
                  <c:v>12681.2</c:v>
                </c:pt>
                <c:pt idx="63" formatCode="#,##0.00">
                  <c:v>13673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D60-4283-AE3A-C5F8B7AF4D04}"/>
            </c:ext>
          </c:extLst>
        </c:ser>
        <c:ser>
          <c:idx val="4"/>
          <c:order val="4"/>
          <c:tx>
            <c:strRef>
              <c:f>'نمودار توزیع نیرو ب'!$A$13</c:f>
              <c:strCache>
                <c:ptCount val="1"/>
                <c:pt idx="0">
                  <c:v>هادی‌ها و کابل‌های فشار متوسط آلومینیوم</c:v>
                </c:pt>
              </c:strCache>
            </c:strRef>
          </c:tx>
          <c:spPr>
            <a:ln w="47520">
              <a:solidFill>
                <a:srgbClr val="35809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ب'!$B$13:$BM$13</c:f>
              <c:numCache>
                <c:formatCode>General</c:formatCode>
                <c:ptCount val="64"/>
                <c:pt idx="43" formatCode="#,##0.00">
                  <c:v>2814.5</c:v>
                </c:pt>
                <c:pt idx="44" formatCode="#,##0.00">
                  <c:v>2927.1</c:v>
                </c:pt>
                <c:pt idx="45" formatCode="#,##0.00">
                  <c:v>3236.7</c:v>
                </c:pt>
                <c:pt idx="46" formatCode="#,##0.00">
                  <c:v>3456.8</c:v>
                </c:pt>
                <c:pt idx="47" formatCode="#,##0.00">
                  <c:v>3626.4</c:v>
                </c:pt>
                <c:pt idx="48" formatCode="#,##0.00">
                  <c:v>3631.9</c:v>
                </c:pt>
                <c:pt idx="49" formatCode="#,##0.00">
                  <c:v>3622.9</c:v>
                </c:pt>
                <c:pt idx="50" formatCode="#,##0.00">
                  <c:v>3964.1</c:v>
                </c:pt>
                <c:pt idx="51" formatCode="#,##0.00">
                  <c:v>4297.8999999999996</c:v>
                </c:pt>
                <c:pt idx="52" formatCode="#,##0.00">
                  <c:v>4875</c:v>
                </c:pt>
                <c:pt idx="53" formatCode="#,##0.00">
                  <c:v>5423.4</c:v>
                </c:pt>
                <c:pt idx="54" formatCode="#,##0.00">
                  <c:v>5499.9</c:v>
                </c:pt>
                <c:pt idx="55" formatCode="#,##0.00">
                  <c:v>5476.4</c:v>
                </c:pt>
                <c:pt idx="56" formatCode="#,##0.00">
                  <c:v>6137</c:v>
                </c:pt>
                <c:pt idx="57" formatCode="#,##0.00">
                  <c:v>6506.7</c:v>
                </c:pt>
                <c:pt idx="58" formatCode="#,##0.00">
                  <c:v>7647.5</c:v>
                </c:pt>
                <c:pt idx="59" formatCode="#,##0.00">
                  <c:v>7647.5</c:v>
                </c:pt>
                <c:pt idx="60" formatCode="#,##0.00">
                  <c:v>8484.7000000000007</c:v>
                </c:pt>
                <c:pt idx="61" formatCode="#,##0.00">
                  <c:v>9597.4</c:v>
                </c:pt>
                <c:pt idx="62" formatCode="#,##0.00">
                  <c:v>10404.200000000001</c:v>
                </c:pt>
                <c:pt idx="63" formatCode="#,##0.00">
                  <c:v>10710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D60-4283-AE3A-C5F8B7AF4D04}"/>
            </c:ext>
          </c:extLst>
        </c:ser>
        <c:ser>
          <c:idx val="5"/>
          <c:order val="5"/>
          <c:tx>
            <c:strRef>
              <c:f>'نمودار توزیع نیرو ب'!$A$14</c:f>
              <c:strCache>
                <c:ptCount val="1"/>
                <c:pt idx="0">
                  <c:v>سیم و کابل‌های مسی فشار ضعیف</c:v>
                </c:pt>
              </c:strCache>
            </c:strRef>
          </c:tx>
          <c:spPr>
            <a:ln w="47520">
              <a:solidFill>
                <a:srgbClr val="B96F3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ب'!$B$14:$BM$14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D60-4283-AE3A-C5F8B7AF4D04}"/>
            </c:ext>
          </c:extLst>
        </c:ser>
        <c:ser>
          <c:idx val="6"/>
          <c:order val="6"/>
          <c:tx>
            <c:strRef>
              <c:f>'نمودار توزیع نیرو ب'!$A$15</c:f>
              <c:strCache>
                <c:ptCount val="1"/>
                <c:pt idx="0">
                  <c:v>کابل‌های آلومینیوم فشار ضعیف</c:v>
                </c:pt>
              </c:strCache>
            </c:strRef>
          </c:tx>
          <c:spPr>
            <a:ln w="47520">
              <a:solidFill>
                <a:srgbClr val="426FA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ب'!$B$15:$BM$15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D60-4283-AE3A-C5F8B7AF4D04}"/>
            </c:ext>
          </c:extLst>
        </c:ser>
        <c:ser>
          <c:idx val="7"/>
          <c:order val="7"/>
          <c:tx>
            <c:strRef>
              <c:f>'نمودار توزیع نیرو ب'!$A$16</c:f>
              <c:strCache>
                <c:ptCount val="1"/>
                <c:pt idx="0">
                  <c:v>مقره و اسپیسرهاي كامپوزيتي</c:v>
                </c:pt>
              </c:strCache>
            </c:strRef>
          </c:tx>
          <c:spPr>
            <a:ln w="47520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ب'!$B$16:$BM$16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D60-4283-AE3A-C5F8B7AF4D04}"/>
            </c:ext>
          </c:extLst>
        </c:ser>
        <c:ser>
          <c:idx val="8"/>
          <c:order val="8"/>
          <c:tx>
            <c:strRef>
              <c:f>'نمودار توزیع نیرو ب'!$A$17</c:f>
              <c:strCache>
                <c:ptCount val="1"/>
                <c:pt idx="0">
                  <c:v>سرکابل، مفصل، کاور و لوله‌های غیر فلزی</c:v>
                </c:pt>
              </c:strCache>
            </c:strRef>
          </c:tx>
          <c:spPr>
            <a:ln w="47520">
              <a:solidFill>
                <a:srgbClr val="87A44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ب'!$B$17:$BM$17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D60-4283-AE3A-C5F8B7AF4D04}"/>
            </c:ext>
          </c:extLst>
        </c:ser>
        <c:ser>
          <c:idx val="9"/>
          <c:order val="9"/>
          <c:tx>
            <c:strRef>
              <c:f>'نمودار توزیع نیرو ب'!$A$18</c:f>
              <c:strCache>
                <c:ptCount val="1"/>
                <c:pt idx="0">
                  <c:v>پایه‌های فلزی</c:v>
                </c:pt>
              </c:strCache>
            </c:strRef>
          </c:tx>
          <c:spPr>
            <a:ln w="47520">
              <a:solidFill>
                <a:srgbClr val="6F568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ب'!$B$18:$BM$18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D60-4283-AE3A-C5F8B7AF4D04}"/>
            </c:ext>
          </c:extLst>
        </c:ser>
        <c:ser>
          <c:idx val="10"/>
          <c:order val="10"/>
          <c:tx>
            <c:strRef>
              <c:f>'نمودار توزیع نیرو ب'!$A$19</c:f>
              <c:strCache>
                <c:ptCount val="1"/>
                <c:pt idx="0">
                  <c:v>تجهیزات روشنایی</c:v>
                </c:pt>
              </c:strCache>
            </c:strRef>
          </c:tx>
          <c:spPr>
            <a:ln w="47520">
              <a:solidFill>
                <a:srgbClr val="3D97A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ب'!$B$19:$BM$19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D60-4283-AE3A-C5F8B7AF4D04}"/>
            </c:ext>
          </c:extLst>
        </c:ser>
        <c:ser>
          <c:idx val="11"/>
          <c:order val="11"/>
          <c:tx>
            <c:strRef>
              <c:f>'نمودار توزیع نیرو ب'!$A$20</c:f>
              <c:strCache>
                <c:ptCount val="1"/>
                <c:pt idx="0">
                  <c:v>قطع كنندههاي اتوماتيك فشار ضعیف قطع كننده تابلویی</c:v>
                </c:pt>
              </c:strCache>
            </c:strRef>
          </c:tx>
          <c:spPr>
            <a:ln w="47520">
              <a:solidFill>
                <a:srgbClr val="DB823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ب'!$B$20:$BM$20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D60-4283-AE3A-C5F8B7AF4D04}"/>
            </c:ext>
          </c:extLst>
        </c:ser>
        <c:ser>
          <c:idx val="12"/>
          <c:order val="12"/>
          <c:tx>
            <c:strRef>
              <c:f>'نمودار توزیع نیرو ب'!$A$21</c:f>
              <c:strCache>
                <c:ptCount val="1"/>
                <c:pt idx="0">
                  <c:v>ترانسفورماتورهاي جریان و ولتاژ فشار ضعیف و متوسط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ب'!$B$21:$BM$21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D60-4283-AE3A-C5F8B7AF4D04}"/>
            </c:ext>
          </c:extLst>
        </c:ser>
        <c:ser>
          <c:idx val="13"/>
          <c:order val="13"/>
          <c:tx>
            <c:strRef>
              <c:f>'نمودار توزیع نیرو ب'!$A$22</c:f>
              <c:strCache>
                <c:ptCount val="1"/>
                <c:pt idx="0">
                  <c:v>یراق آلات و متعلقات شبکه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ب'!$B$22:$BM$22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D60-4283-AE3A-C5F8B7AF4D04}"/>
            </c:ext>
          </c:extLst>
        </c:ser>
        <c:ser>
          <c:idx val="14"/>
          <c:order val="14"/>
          <c:tx>
            <c:strRef>
              <c:f>'نمودار توزیع نیرو ب'!$A$23</c:f>
              <c:strCache>
                <c:ptCount val="1"/>
                <c:pt idx="0">
                  <c:v>لوازم اندازهگیري دیجیتال</c:v>
                </c:pt>
              </c:strCache>
            </c:strRef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ب'!$B$23:$BM$23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D60-4283-AE3A-C5F8B7AF4D04}"/>
            </c:ext>
          </c:extLst>
        </c:ser>
        <c:ser>
          <c:idx val="15"/>
          <c:order val="15"/>
          <c:tx>
            <c:strRef>
              <c:f>'نمودار توزیع نیرو ب'!$A$24</c:f>
              <c:strCache>
                <c:ptCount val="1"/>
                <c:pt idx="0">
                  <c:v>قطع کننده‌های شبکه فشار متوسط هوایی</c:v>
                </c:pt>
              </c:strCache>
            </c:strRef>
          </c:tx>
          <c:spPr>
            <a:ln w="47520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ب'!$B$24:$BM$24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D60-4283-AE3A-C5F8B7AF4D04}"/>
            </c:ext>
          </c:extLst>
        </c:ser>
        <c:ser>
          <c:idx val="16"/>
          <c:order val="16"/>
          <c:tx>
            <c:strRef>
              <c:f>'نمودار توزیع نیرو ب'!$A$25</c:f>
              <c:strCache>
                <c:ptCount val="1"/>
                <c:pt idx="0">
                  <c:v>تجهیزات اتوماسیون، كنترل و حفاظت</c:v>
                </c:pt>
              </c:strCache>
            </c:strRef>
          </c:tx>
          <c:spPr>
            <a:ln w="47520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ب'!$B$25:$BM$25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D60-4283-AE3A-C5F8B7AF4D04}"/>
            </c:ext>
          </c:extLst>
        </c:ser>
        <c:ser>
          <c:idx val="17"/>
          <c:order val="17"/>
          <c:tx>
            <c:strRef>
              <c:f>'نمودار توزیع نیرو ب'!$A$26</c:f>
              <c:strCache>
                <c:ptCount val="1"/>
                <c:pt idx="0">
                  <c:v>قطعات بتنی و متعلقات</c:v>
                </c:pt>
              </c:strCache>
            </c:strRef>
          </c:tx>
          <c:spPr>
            <a:ln w="47520">
              <a:solidFill>
                <a:srgbClr val="F5924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ب'!$B$26:$BM$26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D60-4283-AE3A-C5F8B7AF4D04}"/>
            </c:ext>
          </c:extLst>
        </c:ser>
        <c:ser>
          <c:idx val="18"/>
          <c:order val="18"/>
          <c:tx>
            <c:strRef>
              <c:f>'نمودار توزیع نیرو ب'!$A$27</c:f>
              <c:strCache>
                <c:ptCount val="1"/>
                <c:pt idx="0">
                  <c:v>مقره هاي سراميكي</c:v>
                </c:pt>
              </c:strCache>
            </c:strRef>
          </c:tx>
          <c:spPr>
            <a:ln w="47520">
              <a:solidFill>
                <a:srgbClr val="8EA5C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ب'!$B$27:$BM$27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D60-4283-AE3A-C5F8B7AF4D04}"/>
            </c:ext>
          </c:extLst>
        </c:ser>
        <c:ser>
          <c:idx val="19"/>
          <c:order val="19"/>
          <c:tx>
            <c:strRef>
              <c:f>'نمودار توزیع نیرو ب'!$A$28</c:f>
              <c:strCache>
                <c:ptCount val="1"/>
                <c:pt idx="0">
                  <c:v>فیوزها و كليد فیوزهاي فشار ضعیف و متوسط</c:v>
                </c:pt>
              </c:strCache>
            </c:strRef>
          </c:tx>
          <c:spPr>
            <a:ln w="47520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ب'!$B$28:$BM$28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D60-4283-AE3A-C5F8B7AF4D04}"/>
            </c:ext>
          </c:extLst>
        </c:ser>
        <c:ser>
          <c:idx val="20"/>
          <c:order val="20"/>
          <c:tx>
            <c:strRef>
              <c:f>'نمودار توزیع نیرو ب'!$A$29</c:f>
              <c:strCache>
                <c:ptCount val="1"/>
                <c:pt idx="0">
                  <c:v>برقگیرها</c:v>
                </c:pt>
              </c:strCache>
            </c:strRef>
          </c:tx>
          <c:spPr>
            <a:ln w="47520">
              <a:solidFill>
                <a:srgbClr val="B3C99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ب'!$B$29:$BM$29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D60-4283-AE3A-C5F8B7AF4D04}"/>
            </c:ext>
          </c:extLst>
        </c:ser>
        <c:ser>
          <c:idx val="21"/>
          <c:order val="21"/>
          <c:tx>
            <c:strRef>
              <c:f>'نمودار توزیع نیرو ب'!$A$30</c:f>
              <c:strCache>
                <c:ptCount val="1"/>
                <c:pt idx="0">
                  <c:v>تجهیزات كامپوزيت</c:v>
                </c:pt>
              </c:strCache>
            </c:strRef>
          </c:tx>
          <c:spPr>
            <a:ln w="47520">
              <a:solidFill>
                <a:srgbClr val="A596B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ب'!$B$30:$BM$30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D60-4283-AE3A-C5F8B7AF4D04}"/>
            </c:ext>
          </c:extLst>
        </c:ser>
        <c:ser>
          <c:idx val="22"/>
          <c:order val="22"/>
          <c:tx>
            <c:strRef>
              <c:f>'نمودار توزیع نیرو ب'!$A$31</c:f>
              <c:strCache>
                <c:ptCount val="1"/>
                <c:pt idx="0">
                  <c:v>بدنه فلزي تابلوها</c:v>
                </c:pt>
              </c:strCache>
            </c:strRef>
          </c:tx>
          <c:spPr>
            <a:ln w="47520">
              <a:solidFill>
                <a:srgbClr val="8CBFD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ب'!$B$31:$BM$31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D60-4283-AE3A-C5F8B7AF4D04}"/>
            </c:ext>
          </c:extLst>
        </c:ser>
        <c:ser>
          <c:idx val="23"/>
          <c:order val="23"/>
          <c:tx>
            <c:strRef>
              <c:f>'نمودار توزیع نیرو ب'!$A$32</c:f>
              <c:strCache>
                <c:ptCount val="1"/>
                <c:pt idx="0">
                  <c:v>تابلوهاي كمپكت و قطع كننده هاي تابلویی فشار متوسط</c:v>
                </c:pt>
              </c:strCache>
            </c:strRef>
          </c:tx>
          <c:spPr>
            <a:ln w="47520">
              <a:solidFill>
                <a:srgbClr val="F5B08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ب'!$B$32:$BM$32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D60-4283-AE3A-C5F8B7AF4D04}"/>
            </c:ext>
          </c:extLst>
        </c:ser>
        <c:ser>
          <c:idx val="24"/>
          <c:order val="24"/>
          <c:tx>
            <c:strRef>
              <c:f>'نمودار توزیع نیرو ب'!$A$33</c:f>
              <c:strCache>
                <c:ptCount val="1"/>
                <c:pt idx="0">
                  <c:v>تجهیزات مسی</c:v>
                </c:pt>
              </c:strCache>
            </c:strRef>
          </c:tx>
          <c:spPr>
            <a:ln w="47520">
              <a:solidFill>
                <a:srgbClr val="B7C3D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ب'!$B$33:$BM$33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D60-4283-AE3A-C5F8B7AF4D04}"/>
            </c:ext>
          </c:extLst>
        </c:ser>
        <c:ser>
          <c:idx val="25"/>
          <c:order val="25"/>
          <c:tx>
            <c:strRef>
              <c:f>'نمودار توزیع نیرو ب'!$A$34</c:f>
              <c:strCache>
                <c:ptCount val="1"/>
                <c:pt idx="0">
                  <c:v>یراق آلات آلومینیومی</c:v>
                </c:pt>
              </c:strCache>
            </c:strRef>
          </c:tx>
          <c:spPr>
            <a:ln w="47520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ب'!$B$34:$BM$34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D60-4283-AE3A-C5F8B7AF4D04}"/>
            </c:ext>
          </c:extLst>
        </c:ser>
        <c:ser>
          <c:idx val="26"/>
          <c:order val="26"/>
          <c:tx>
            <c:strRef>
              <c:f>'نمودار توزیع نیرو ب'!$A$35</c:f>
              <c:strCache>
                <c:ptCount val="1"/>
                <c:pt idx="0">
                  <c:v>خازنهاي فشار ضعیف</c:v>
                </c:pt>
              </c:strCache>
            </c:strRef>
          </c:tx>
          <c:spPr>
            <a:ln w="47520">
              <a:solidFill>
                <a:srgbClr val="CCDAB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ب'!$B$35:$BM$35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D60-4283-AE3A-C5F8B7AF4D04}"/>
            </c:ext>
          </c:extLst>
        </c:ser>
        <c:ser>
          <c:idx val="27"/>
          <c:order val="27"/>
          <c:tx>
            <c:strRef>
              <c:f>'نمودار توزیع نیرو ب'!$A$36</c:f>
              <c:strCache>
                <c:ptCount val="1"/>
                <c:pt idx="0">
                  <c:v>عملیات خط گرم</c:v>
                </c:pt>
              </c:strCache>
            </c:strRef>
          </c:tx>
          <c:spPr>
            <a:ln w="47520">
              <a:solidFill>
                <a:srgbClr val="C3BCC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ب'!$B$36:$BM$36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D60-4283-AE3A-C5F8B7AF4D04}"/>
            </c:ext>
          </c:extLst>
        </c:ser>
        <c:ser>
          <c:idx val="28"/>
          <c:order val="28"/>
          <c:tx>
            <c:strRef>
              <c:f>'نمودار توزیع نیرو ب'!$A$37</c:f>
              <c:strCache>
                <c:ptCount val="1"/>
                <c:pt idx="0">
                  <c:v>نصب تجهيزات به صورت خط سرد</c:v>
                </c:pt>
              </c:strCache>
            </c:strRef>
          </c:tx>
          <c:spPr>
            <a:ln w="47520">
              <a:solidFill>
                <a:srgbClr val="B6D2D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ب'!$B$37:$BM$37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D60-4283-AE3A-C5F8B7AF4D04}"/>
            </c:ext>
          </c:extLst>
        </c:ser>
        <c:ser>
          <c:idx val="29"/>
          <c:order val="29"/>
          <c:tx>
            <c:strRef>
              <c:f>'نمودار توزیع نیرو ب'!$A$38</c:f>
              <c:strCache>
                <c:ptCount val="1"/>
                <c:pt idx="0">
                  <c:v>حمل</c:v>
                </c:pt>
              </c:strCache>
            </c:strRef>
          </c:tx>
          <c:spPr>
            <a:ln w="47520">
              <a:solidFill>
                <a:srgbClr val="F6C9B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a-I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'نمودار توزیع نیرو ب'!$B$8:$BM$8</c:f>
              <c:strCache>
                <c:ptCount val="64"/>
                <c:pt idx="0">
                  <c:v>1390-اول</c:v>
                </c:pt>
                <c:pt idx="1">
                  <c:v>1390-دوم</c:v>
                </c:pt>
                <c:pt idx="2">
                  <c:v>1390-سوم</c:v>
                </c:pt>
                <c:pt idx="3">
                  <c:v>1390-چهارم</c:v>
                </c:pt>
                <c:pt idx="4">
                  <c:v>1391-اول</c:v>
                </c:pt>
                <c:pt idx="5">
                  <c:v>1391-دوم</c:v>
                </c:pt>
                <c:pt idx="6">
                  <c:v>1391-سوم</c:v>
                </c:pt>
                <c:pt idx="7">
                  <c:v>1391-چهارم</c:v>
                </c:pt>
                <c:pt idx="8">
                  <c:v>1392-اول</c:v>
                </c:pt>
                <c:pt idx="9">
                  <c:v>1392-دوم</c:v>
                </c:pt>
                <c:pt idx="10">
                  <c:v>1392-سوم</c:v>
                </c:pt>
                <c:pt idx="11">
                  <c:v>1392-چهارم</c:v>
                </c:pt>
                <c:pt idx="12">
                  <c:v>1393-اول</c:v>
                </c:pt>
                <c:pt idx="13">
                  <c:v>1393-دوم</c:v>
                </c:pt>
                <c:pt idx="14">
                  <c:v>1393-سوم</c:v>
                </c:pt>
                <c:pt idx="15">
                  <c:v>1393-چهارم</c:v>
                </c:pt>
                <c:pt idx="16">
                  <c:v>1394-اول</c:v>
                </c:pt>
                <c:pt idx="17">
                  <c:v>1394-دوم</c:v>
                </c:pt>
                <c:pt idx="18">
                  <c:v>1394-سوم</c:v>
                </c:pt>
                <c:pt idx="19">
                  <c:v>1394-چهارم</c:v>
                </c:pt>
                <c:pt idx="20">
                  <c:v>1395-اول</c:v>
                </c:pt>
                <c:pt idx="21">
                  <c:v>1395-دوم</c:v>
                </c:pt>
                <c:pt idx="22">
                  <c:v>1395-سوم</c:v>
                </c:pt>
                <c:pt idx="23">
                  <c:v>1395-چهارم</c:v>
                </c:pt>
                <c:pt idx="24">
                  <c:v>1396-اول</c:v>
                </c:pt>
                <c:pt idx="25">
                  <c:v>1396-دوم</c:v>
                </c:pt>
                <c:pt idx="26">
                  <c:v>1396-سوم</c:v>
                </c:pt>
                <c:pt idx="27">
                  <c:v>1396-چهارم</c:v>
                </c:pt>
                <c:pt idx="28">
                  <c:v>1397-اول</c:v>
                </c:pt>
                <c:pt idx="29">
                  <c:v>1397-تیر</c:v>
                </c:pt>
                <c:pt idx="30">
                  <c:v>1397-مرداد</c:v>
                </c:pt>
                <c:pt idx="31">
                  <c:v>1397-شهریور</c:v>
                </c:pt>
                <c:pt idx="32">
                  <c:v>1397-سوم</c:v>
                </c:pt>
                <c:pt idx="33">
                  <c:v>1397-چهارم</c:v>
                </c:pt>
                <c:pt idx="34">
                  <c:v>1398-اول</c:v>
                </c:pt>
                <c:pt idx="35">
                  <c:v>1398-دوم</c:v>
                </c:pt>
                <c:pt idx="36">
                  <c:v>1398-سوم</c:v>
                </c:pt>
                <c:pt idx="37">
                  <c:v>1398-چهارم</c:v>
                </c:pt>
                <c:pt idx="38">
                  <c:v>1399-اول</c:v>
                </c:pt>
                <c:pt idx="39">
                  <c:v>1399-تیر</c:v>
                </c:pt>
                <c:pt idx="40">
                  <c:v>1399-مرداد</c:v>
                </c:pt>
                <c:pt idx="41">
                  <c:v>1399-شهریور</c:v>
                </c:pt>
                <c:pt idx="42">
                  <c:v>1399-سوم</c:v>
                </c:pt>
                <c:pt idx="43">
                  <c:v>1399-چهارم</c:v>
                </c:pt>
                <c:pt idx="44">
                  <c:v>1400-اول</c:v>
                </c:pt>
                <c:pt idx="45">
                  <c:v>1400-دوم</c:v>
                </c:pt>
                <c:pt idx="46">
                  <c:v>1400-سوم</c:v>
                </c:pt>
                <c:pt idx="47">
                  <c:v>1400-چهارم</c:v>
                </c:pt>
                <c:pt idx="48">
                  <c:v>1401-اول</c:v>
                </c:pt>
                <c:pt idx="49">
                  <c:v>1401-دوم</c:v>
                </c:pt>
                <c:pt idx="50">
                  <c:v>1401-سوم</c:v>
                </c:pt>
                <c:pt idx="51">
                  <c:v>1401-دی</c:v>
                </c:pt>
                <c:pt idx="52">
                  <c:v>1401-بهمن</c:v>
                </c:pt>
                <c:pt idx="53">
                  <c:v>1401-اسفند</c:v>
                </c:pt>
                <c:pt idx="54">
                  <c:v>1402-اول</c:v>
                </c:pt>
                <c:pt idx="55">
                  <c:v>1402-دوم</c:v>
                </c:pt>
                <c:pt idx="56">
                  <c:v>1402-سوم</c:v>
                </c:pt>
                <c:pt idx="57">
                  <c:v>1402-چهارم</c:v>
                </c:pt>
                <c:pt idx="58">
                  <c:v>1403-اول</c:v>
                </c:pt>
                <c:pt idx="59">
                  <c:v>1403-دوم</c:v>
                </c:pt>
                <c:pt idx="60">
                  <c:v>1403-سوم</c:v>
                </c:pt>
                <c:pt idx="61">
                  <c:v>1403-دی</c:v>
                </c:pt>
                <c:pt idx="62">
                  <c:v>1403-بهمن</c:v>
                </c:pt>
                <c:pt idx="63">
                  <c:v>1403-اسفند</c:v>
                </c:pt>
              </c:strCache>
            </c:strRef>
          </c:cat>
          <c:val>
            <c:numRef>
              <c:f>'نمودار توزیع نیرو ب'!$B$38:$BM$38</c:f>
              <c:numCache>
                <c:formatCode>General</c:formatCode>
                <c:ptCount val="64"/>
                <c:pt idx="43" formatCode="#,##0.00">
                  <c:v>0</c:v>
                </c:pt>
                <c:pt idx="44" formatCode="#,##0.00">
                  <c:v>0</c:v>
                </c:pt>
                <c:pt idx="45" formatCode="#,##0.00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1" formatCode="#,##0.00">
                  <c:v>0</c:v>
                </c:pt>
                <c:pt idx="52" formatCode="#,##0.00">
                  <c:v>0</c:v>
                </c:pt>
                <c:pt idx="53" formatCode="#,##0.00">
                  <c:v>0</c:v>
                </c:pt>
                <c:pt idx="54" formatCode="#,##0.00">
                  <c:v>0</c:v>
                </c:pt>
                <c:pt idx="55" formatCode="#,##0.00">
                  <c:v>0</c:v>
                </c:pt>
                <c:pt idx="56" formatCode="#,##0.00">
                  <c:v>0</c:v>
                </c:pt>
                <c:pt idx="57" formatCode="#,##0.00">
                  <c:v>0</c:v>
                </c:pt>
                <c:pt idx="58" formatCode="#,##0.00">
                  <c:v>0</c:v>
                </c:pt>
                <c:pt idx="59" formatCode="#,##0.00">
                  <c:v>0</c:v>
                </c:pt>
                <c:pt idx="60" formatCode="#,##0.00">
                  <c:v>0</c:v>
                </c:pt>
                <c:pt idx="61" formatCode="#,##0.00">
                  <c:v>0</c:v>
                </c:pt>
                <c:pt idx="62" formatCode="#,##0.00">
                  <c:v>0</c:v>
                </c:pt>
                <c:pt idx="63" formatCode="#,##0.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D60-4283-AE3A-C5F8B7AF4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9682338"/>
        <c:axId val="89190940"/>
      </c:lineChart>
      <c:catAx>
        <c:axId val="29682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دوره زمانی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89190940"/>
        <c:crosses val="autoZero"/>
        <c:auto val="1"/>
        <c:lblAlgn val="ctr"/>
        <c:lblOffset val="100"/>
        <c:noMultiLvlLbl val="0"/>
      </c:catAx>
      <c:valAx>
        <c:axId val="89190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a-IR" sz="1000" b="1" strike="noStrike" spc="-1">
                    <a:solidFill>
                      <a:srgbClr val="000000"/>
                    </a:solidFill>
                    <a:latin typeface="Calibri"/>
                  </a:rPr>
                  <a:t>شاخص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a-IR"/>
          </a:p>
        </c:txPr>
        <c:crossAx val="2968233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a-I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15</xdr:col>
      <xdr:colOff>278946</xdr:colOff>
      <xdr:row>57</xdr:row>
      <xdr:rowOff>61232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214313</xdr:colOff>
      <xdr:row>44</xdr:row>
      <xdr:rowOff>130969</xdr:rowOff>
    </xdr:from>
    <xdr:to>
      <xdr:col>44</xdr:col>
      <xdr:colOff>107156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-230040</xdr:colOff>
      <xdr:row>43</xdr:row>
      <xdr:rowOff>22680</xdr:rowOff>
    </xdr:from>
    <xdr:to>
      <xdr:col>39</xdr:col>
      <xdr:colOff>0</xdr:colOff>
      <xdr:row>77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-559440</xdr:colOff>
      <xdr:row>44</xdr:row>
      <xdr:rowOff>22680</xdr:rowOff>
    </xdr:from>
    <xdr:to>
      <xdr:col>39</xdr:col>
      <xdr:colOff>0</xdr:colOff>
      <xdr:row>78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-130680</xdr:colOff>
      <xdr:row>26</xdr:row>
      <xdr:rowOff>22680</xdr:rowOff>
    </xdr:from>
    <xdr:to>
      <xdr:col>30</xdr:col>
      <xdr:colOff>0</xdr:colOff>
      <xdr:row>60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-35640</xdr:colOff>
      <xdr:row>22</xdr:row>
      <xdr:rowOff>23040</xdr:rowOff>
    </xdr:from>
    <xdr:to>
      <xdr:col>28</xdr:col>
      <xdr:colOff>0</xdr:colOff>
      <xdr:row>56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-365040</xdr:colOff>
      <xdr:row>23</xdr:row>
      <xdr:rowOff>23040</xdr:rowOff>
    </xdr:from>
    <xdr:to>
      <xdr:col>28</xdr:col>
      <xdr:colOff>0</xdr:colOff>
      <xdr:row>57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-130680</xdr:colOff>
      <xdr:row>26</xdr:row>
      <xdr:rowOff>22680</xdr:rowOff>
    </xdr:from>
    <xdr:to>
      <xdr:col>30</xdr:col>
      <xdr:colOff>0</xdr:colOff>
      <xdr:row>60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-511920</xdr:colOff>
      <xdr:row>42</xdr:row>
      <xdr:rowOff>23040</xdr:rowOff>
    </xdr:from>
    <xdr:to>
      <xdr:col>38</xdr:col>
      <xdr:colOff>0</xdr:colOff>
      <xdr:row>76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-182160</xdr:colOff>
      <xdr:row>41</xdr:row>
      <xdr:rowOff>23040</xdr:rowOff>
    </xdr:from>
    <xdr:to>
      <xdr:col>38</xdr:col>
      <xdr:colOff>0</xdr:colOff>
      <xdr:row>75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-416520</xdr:colOff>
      <xdr:row>38</xdr:row>
      <xdr:rowOff>22680</xdr:rowOff>
    </xdr:from>
    <xdr:to>
      <xdr:col>36</xdr:col>
      <xdr:colOff>0</xdr:colOff>
      <xdr:row>72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Professional Modern">
    <a:dk1>
      <a:sysClr val="windowText" lastClr="000000"/>
    </a:dk1>
    <a:lt1>
      <a:sysClr val="window" lastClr="FFFFFF"/>
    </a:lt1>
    <a:dk2>
      <a:srgbClr val="2C3E50"/>
    </a:dk2>
    <a:lt2>
      <a:srgbClr val="F5F6FA"/>
    </a:lt2>
    <a:accent1>
      <a:srgbClr val="3498DB"/>
    </a:accent1>
    <a:accent2>
      <a:srgbClr val="E74C3C"/>
    </a:accent2>
    <a:accent3>
      <a:srgbClr val="2ECC71"/>
    </a:accent3>
    <a:accent4>
      <a:srgbClr val="F39C12"/>
    </a:accent4>
    <a:accent5>
      <a:srgbClr val="9B59B6"/>
    </a:accent5>
    <a:accent6>
      <a:srgbClr val="1ABC9C"/>
    </a:accent6>
    <a:hlink>
      <a:srgbClr val="2980B9"/>
    </a:hlink>
    <a:folHlink>
      <a:srgbClr val="8E44AD"/>
    </a:folHlink>
  </a:clrScheme>
  <a:fontScheme name="Modern Professional">
    <a:majorFont>
      <a:latin typeface="Segoe UI Semibold"/>
      <a:ea typeface=""/>
      <a:cs typeface=""/>
      <a:font script="Jpan" typeface="Yu Gothic UI Semibold"/>
      <a:font script="Hang" typeface="맑은 고딕"/>
      <a:font script="Hans" typeface="Microsoft YaHei UI"/>
      <a:font script="Hant" typeface="Microsoft JhengHei UI"/>
      <a:font script="Arab" typeface="Segoe UI Semibold"/>
      <a:font script="Hebr" typeface="Segoe UI Semibold"/>
      <a:font script="Thai" typeface="Leelawadee UI Semibold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Segoe UI Semibold"/>
      <a:font script="Uigh" typeface="Microsoft Uighur"/>
      <a:font script="Geor" typeface="Sylfaen"/>
    </a:majorFont>
    <a:minorFont>
      <a:latin typeface="Segoe UI"/>
      <a:ea typeface=""/>
      <a:cs typeface=""/>
      <a:font script="Jpan" typeface="Yu Gothic UI"/>
      <a:font script="Hang" typeface="맑은 고딕"/>
      <a:font script="Hans" typeface="Microsoft YaHei UI"/>
      <a:font script="Hant" typeface="Microsoft JhengHei UI"/>
      <a:font script="Arab" typeface="Segoe UI"/>
      <a:font script="Hebr" typeface="Segoe UI"/>
      <a:font script="Thai" typeface="Leelawadee UI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Segoe UI"/>
      <a:font script="Uigh" typeface="Microsoft Uighur"/>
      <a:font script="Geor" typeface="Sylfaen"/>
    </a:minorFont>
  </a:fontScheme>
  <a:fmtScheme name="Professional Modern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40000" dist="23000" dir="5400000" algn="ctr" rotWithShape="0">
            <a:srgbClr val="000000">
              <a:alpha val="35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61"/>
  <sheetViews>
    <sheetView zoomScale="70" zoomScaleNormal="70" workbookViewId="0">
      <pane xSplit="5" ySplit="5" topLeftCell="F73" activePane="bottomRight" state="frozen"/>
      <selection pane="topRight"/>
      <selection pane="bottomLeft"/>
      <selection pane="bottomRight" sqref="A1:E1"/>
    </sheetView>
  </sheetViews>
  <sheetFormatPr defaultRowHeight="14.25"/>
  <cols>
    <col min="1" max="1" width="5.46484375" customWidth="1"/>
    <col min="2" max="2" width="20" customWidth="1"/>
    <col min="3" max="3" width="8" hidden="1" customWidth="1"/>
    <col min="4" max="4" width="32" customWidth="1"/>
    <col min="5" max="5" width="2" hidden="1" customWidth="1"/>
    <col min="6" max="6" width="22" customWidth="1"/>
    <col min="7" max="64" width="12" customWidth="1"/>
  </cols>
  <sheetData>
    <row r="1" spans="1:64" ht="42" customHeight="1">
      <c r="A1" s="77" t="s">
        <v>0</v>
      </c>
      <c r="B1" s="78"/>
      <c r="C1" s="78"/>
      <c r="D1" s="78"/>
      <c r="E1" s="79"/>
    </row>
    <row r="2" spans="1:64" ht="26" customHeight="1">
      <c r="A2" s="74" t="s">
        <v>1</v>
      </c>
      <c r="B2" s="75"/>
      <c r="C2" s="75"/>
      <c r="D2" s="75"/>
      <c r="E2" s="76"/>
    </row>
    <row r="3" spans="1:64" ht="4.0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</row>
    <row r="4" spans="1:64" ht="34.049999999999997" customHeight="1">
      <c r="A4" s="33" t="s">
        <v>2</v>
      </c>
      <c r="B4" s="33" t="s">
        <v>3</v>
      </c>
      <c r="C4" s="33" t="s">
        <v>4</v>
      </c>
      <c r="D4" s="33" t="s">
        <v>5</v>
      </c>
      <c r="F4" s="34" t="s">
        <v>6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</row>
    <row r="5" spans="1:64" ht="28.05" customHeight="1">
      <c r="A5" s="17">
        <v>1</v>
      </c>
      <c r="B5" s="18" t="s">
        <v>7</v>
      </c>
      <c r="C5" s="17" t="b">
        <f t="array" ref="C5">_xlfn.SWITCH(LEFT(B5,FIND("|",B5)-1),"ابنیه",HLOOKUP(D5,'نمودار ابنیه'!$B$5:$AD$6,2,FALSE),"مکانیکی",HLOOKUP(D5,'نمودار مکانیکی'!$B$5:$AJ$6,2,FALSE),"برقی",HLOOKUP(D5,'نمودار تاسیسات برقی'!$B$5:$AK$6,2,FALSE),"خطوط",HLOOKUP(D5,'نمودار خطوط انتقال '!$B$5:$R$6,2,FALSE),"شبکه",HLOOKUP(D5,'نمودار شبکه توزیع آ'!$B$5:$O$6,2,FALSE),"سد",HLOOKUP(D5,'نمودار سدسازی'!$B$5:$P$6,2,FALSE),"فاضلاب",HLOOKUP(D5,'نمودار جمع‌آوری و ا'!$B$5:$S$6,2,FALSE),"تجهیزات",HLOOKUP(D5,'نمودار تجهیزات آب و'!$B$5:$AG$6,2,FALSE),"پست",HLOOKUP(D5,'نمودار پست های انتق'!$B$5:$AH$6,2,FALSE),"نیرو",HLOOKUP(D5,'نمودار توزیع نیرو ب'!$B$5:$AE$6,2,FALSE),FALSE)</f>
        <v>0</v>
      </c>
      <c r="D5" s="17" t="s">
        <v>8</v>
      </c>
      <c r="E5" s="30" t="s">
        <v>9</v>
      </c>
      <c r="F5" s="19" t="s">
        <v>10</v>
      </c>
      <c r="G5" s="36" t="s">
        <v>11</v>
      </c>
      <c r="H5" s="37" t="s">
        <v>12</v>
      </c>
      <c r="I5" s="37" t="s">
        <v>13</v>
      </c>
      <c r="J5" s="37" t="s">
        <v>14</v>
      </c>
      <c r="K5" s="38" t="s">
        <v>15</v>
      </c>
      <c r="L5" s="39" t="s">
        <v>16</v>
      </c>
      <c r="M5" s="39" t="s">
        <v>17</v>
      </c>
      <c r="N5" s="39" t="s">
        <v>18</v>
      </c>
      <c r="O5" s="40" t="s">
        <v>19</v>
      </c>
      <c r="P5" s="41" t="s">
        <v>20</v>
      </c>
      <c r="Q5" s="41" t="s">
        <v>21</v>
      </c>
      <c r="R5" s="41" t="s">
        <v>22</v>
      </c>
      <c r="S5" s="42" t="s">
        <v>23</v>
      </c>
      <c r="T5" s="43" t="s">
        <v>24</v>
      </c>
      <c r="U5" s="43" t="s">
        <v>25</v>
      </c>
      <c r="V5" s="43" t="s">
        <v>26</v>
      </c>
      <c r="W5" s="44" t="s">
        <v>27</v>
      </c>
      <c r="X5" s="45" t="s">
        <v>28</v>
      </c>
      <c r="Y5" s="45" t="s">
        <v>29</v>
      </c>
      <c r="Z5" s="45" t="s">
        <v>30</v>
      </c>
      <c r="AA5" s="46" t="s">
        <v>31</v>
      </c>
      <c r="AB5" s="47" t="s">
        <v>32</v>
      </c>
      <c r="AC5" s="47" t="s">
        <v>33</v>
      </c>
      <c r="AD5" s="47" t="s">
        <v>34</v>
      </c>
      <c r="AE5" s="48" t="s">
        <v>35</v>
      </c>
      <c r="AF5" s="49" t="s">
        <v>36</v>
      </c>
      <c r="AG5" s="49" t="s">
        <v>37</v>
      </c>
      <c r="AH5" s="49" t="s">
        <v>38</v>
      </c>
      <c r="AI5" s="50" t="s">
        <v>39</v>
      </c>
      <c r="AJ5" s="51" t="s">
        <v>40</v>
      </c>
      <c r="AK5" s="51" t="s">
        <v>41</v>
      </c>
      <c r="AL5" s="51" t="s">
        <v>42</v>
      </c>
      <c r="AM5" s="51" t="s">
        <v>43</v>
      </c>
      <c r="AN5" s="51" t="s">
        <v>44</v>
      </c>
      <c r="AO5" s="52" t="s">
        <v>45</v>
      </c>
      <c r="AP5" s="53" t="s">
        <v>46</v>
      </c>
      <c r="AQ5" s="53" t="s">
        <v>47</v>
      </c>
      <c r="AR5" s="53" t="s">
        <v>48</v>
      </c>
      <c r="AS5" s="54" t="s">
        <v>49</v>
      </c>
      <c r="AT5" s="55" t="s">
        <v>50</v>
      </c>
      <c r="AU5" s="55" t="s">
        <v>51</v>
      </c>
      <c r="AV5" s="55" t="s">
        <v>52</v>
      </c>
      <c r="AW5" s="55" t="s">
        <v>53</v>
      </c>
      <c r="AX5" s="55" t="s">
        <v>54</v>
      </c>
      <c r="AY5" s="56" t="s">
        <v>55</v>
      </c>
      <c r="AZ5" s="57" t="s">
        <v>56</v>
      </c>
      <c r="BA5" s="57" t="s">
        <v>57</v>
      </c>
      <c r="BB5" s="57" t="s">
        <v>58</v>
      </c>
      <c r="BC5" s="58" t="s">
        <v>59</v>
      </c>
      <c r="BD5" s="59" t="s">
        <v>60</v>
      </c>
      <c r="BE5" s="59" t="s">
        <v>61</v>
      </c>
      <c r="BF5" s="59" t="s">
        <v>62</v>
      </c>
      <c r="BG5" s="59" t="s">
        <v>63</v>
      </c>
      <c r="BH5" s="59" t="s">
        <v>64</v>
      </c>
      <c r="BI5" s="60" t="s">
        <v>65</v>
      </c>
      <c r="BJ5" s="61" t="s">
        <v>66</v>
      </c>
      <c r="BK5" s="61" t="s">
        <v>67</v>
      </c>
      <c r="BL5" s="61" t="s">
        <v>68</v>
      </c>
    </row>
    <row r="6" spans="1:64" ht="20" customHeight="1">
      <c r="A6" s="62">
        <v>2</v>
      </c>
      <c r="B6" s="63" t="s">
        <v>7</v>
      </c>
      <c r="C6" s="64" t="b">
        <f t="array" ref="C6">_xlfn.SWITCH(LEFT(B6,FIND("|",B6)-1),"ابنیه",HLOOKUP(D6,'نمودار ابنیه'!$B$5:$AD$6,2,FALSE),"مکانیکی",HLOOKUP(D6,'نمودار مکانیکی'!$B$5:$AJ$6,2,FALSE),"برقی",HLOOKUP(D6,'نمودار تاسیسات برقی'!$B$5:$AK$6,2,FALSE),"خطوط",HLOOKUP(D6,'نمودار خطوط انتقال '!$B$5:$R$6,2,FALSE),"شبکه",HLOOKUP(D6,'نمودار شبکه توزیع آ'!$B$5:$O$6,2,FALSE),"سد",HLOOKUP(D6,'نمودار سدسازی'!$B$5:$P$6,2,FALSE),"فاضلاب",HLOOKUP(D6,'نمودار جمع‌آوری و ا'!$B$5:$S$6,2,FALSE),"تجهیزات",HLOOKUP(D6,'نمودار تجهیزات آب و'!$B$5:$AG$6,2,FALSE),"پست",HLOOKUP(D6,'نمودار پست های انتق'!$B$5:$AH$6,2,FALSE),"نیرو",HLOOKUP(D6,'نمودار توزیع نیرو ب'!$B$5:$AE$6,2,FALSE),FALSE)</f>
        <v>0</v>
      </c>
      <c r="D6" s="65" t="s">
        <v>69</v>
      </c>
      <c r="E6" s="15">
        <f t="array" ref="E6">IFERROR(_xlfn.AGGREGATE(15,6,ROW($C$5:$C$261)/($C$5:$C$261=TRUE),1)-4,"")</f>
        <v>9</v>
      </c>
      <c r="F6" s="66" t="str">
        <f t="array" ref="F6">IF($E6="","",LEFT(INDEX($B$5:$B$261,$E6),FIND("|",INDEX($B$5:$B$261,$E6))-1)&amp;":"&amp;LEFT(INDEX($D$5:$D$261,$E6),20))</f>
        <v>ابنیه:کارهای فولادی سنگین</v>
      </c>
      <c r="G6" s="67">
        <f t="array" ref="G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275.2</v>
      </c>
      <c r="H6" s="67">
        <f t="array" ref="H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302.3</v>
      </c>
      <c r="I6" s="67">
        <f t="array" ref="I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318.89999999999998</v>
      </c>
      <c r="J6" s="67">
        <f t="array" ref="J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335.8</v>
      </c>
      <c r="K6" s="67">
        <f t="array" ref="K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352.4</v>
      </c>
      <c r="L6" s="67">
        <f t="array" ref="L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404.1</v>
      </c>
      <c r="M6" s="67">
        <f t="array" ref="M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498.1</v>
      </c>
      <c r="N6" s="67">
        <f t="array" ref="N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546.79999999999995</v>
      </c>
      <c r="O6" s="67">
        <f t="array" ref="O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577</v>
      </c>
      <c r="P6" s="67">
        <f t="array" ref="P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572.4</v>
      </c>
      <c r="Q6" s="67">
        <f t="array" ref="Q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568.29999999999995</v>
      </c>
      <c r="R6" s="67">
        <f t="array" ref="R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561.70000000000005</v>
      </c>
      <c r="S6" s="67">
        <f t="array" ref="S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594.79999999999995</v>
      </c>
      <c r="T6" s="67">
        <f t="array" ref="T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588.4</v>
      </c>
      <c r="U6" s="67">
        <f t="array" ref="U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588.6</v>
      </c>
      <c r="V6" s="67">
        <f t="array" ref="V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580.1</v>
      </c>
      <c r="W6" s="67">
        <f t="array" ref="W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583.79999999999995</v>
      </c>
      <c r="X6" s="67">
        <f t="array" ref="X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570</v>
      </c>
      <c r="Y6" s="67">
        <f t="array" ref="Y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550.5</v>
      </c>
      <c r="Z6" s="67">
        <f t="array" ref="Z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528.9</v>
      </c>
      <c r="AA6" s="67">
        <f t="array" ref="AA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580.70000000000005</v>
      </c>
      <c r="AB6" s="67">
        <f t="array" ref="AB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584</v>
      </c>
      <c r="AC6" s="67">
        <f t="array" ref="AC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626.9</v>
      </c>
      <c r="AD6" s="67">
        <f t="array" ref="AD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656</v>
      </c>
      <c r="AE6" s="67">
        <f t="array" ref="AE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671.3</v>
      </c>
      <c r="AF6" s="67">
        <f t="array" ref="AF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725.8</v>
      </c>
      <c r="AG6" s="67">
        <f t="array" ref="AG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761.7</v>
      </c>
      <c r="AH6" s="67">
        <f t="array" ref="AH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794.1</v>
      </c>
      <c r="AI6" s="67">
        <f t="array" ref="AI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901.1</v>
      </c>
      <c r="AJ6" s="67">
        <f t="array" ref="AJ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1009.4</v>
      </c>
      <c r="AK6" s="67">
        <f t="array" ref="AK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1187.4000000000001</v>
      </c>
      <c r="AL6" s="67">
        <f t="array" ref="AL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1220.4000000000001</v>
      </c>
      <c r="AM6" s="67">
        <f t="array" ref="AM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1239.2</v>
      </c>
      <c r="AN6" s="67">
        <f t="array" ref="AN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1309.8</v>
      </c>
      <c r="AO6" s="67">
        <f t="array" ref="AO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1578.8</v>
      </c>
      <c r="AP6" s="67">
        <f t="array" ref="AP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1502.9</v>
      </c>
      <c r="AQ6" s="67">
        <f t="array" ref="AQ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1568.6</v>
      </c>
      <c r="AR6" s="67">
        <f t="array" ref="AR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1994.5</v>
      </c>
      <c r="AS6" s="67">
        <f t="array" ref="AS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2274.9</v>
      </c>
      <c r="AT6" s="67">
        <f t="array" ref="AT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3027.9</v>
      </c>
      <c r="AU6" s="67">
        <f t="array" ref="AU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3328.4</v>
      </c>
      <c r="AV6" s="67">
        <f t="array" ref="AV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3443.4</v>
      </c>
      <c r="AW6" s="67">
        <f t="array" ref="AW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3812.4</v>
      </c>
      <c r="AX6" s="67">
        <f t="array" ref="AX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4157.5</v>
      </c>
      <c r="AY6" s="67">
        <f t="array" ref="AY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4941.6000000000004</v>
      </c>
      <c r="AZ6" s="67">
        <f t="array" ref="AZ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5521.4</v>
      </c>
      <c r="BA6" s="67">
        <f t="array" ref="BA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5466</v>
      </c>
      <c r="BB6" s="67">
        <f t="array" ref="BB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5272.7</v>
      </c>
      <c r="BC6" s="67">
        <f t="array" ref="BC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5873.6</v>
      </c>
      <c r="BD6" s="67">
        <f t="array" ref="BD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5567</v>
      </c>
      <c r="BE6" s="67">
        <f t="array" ref="BE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5780.9</v>
      </c>
      <c r="BF6" s="67">
        <f t="array" ref="BF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6830.6</v>
      </c>
      <c r="BG6" s="67">
        <f t="array" ref="BG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7459.1</v>
      </c>
      <c r="BH6" s="67">
        <f t="array" ref="BH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8307.6</v>
      </c>
      <c r="BI6" s="67">
        <f t="array" ref="BI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8243.1</v>
      </c>
      <c r="BJ6" s="67">
        <f t="array" ref="BJ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7906.6</v>
      </c>
      <c r="BK6" s="67">
        <f t="array" ref="BK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7044</v>
      </c>
      <c r="BL6" s="67">
        <f t="array" ref="BL6">IF($E6="","",_xlfn.SWITCH(LEFT(INDEX($B$5:$B$261,$E6),FIND("|",INDEX($B$5:$B$261,$E6))-1),"ابنیه",VLOOKUP(INDEX($D$5:$D$261,$E6),'نمودار ابنیه'!$A$9:$BG$37,COLUMN()-5,FALSE),"مکانیکی",VLOOKUP(INDEX($D$5:$D$261,$E6),'نمودار مکانیکی'!$A$9:$BG$43,COLUMN()-5,FALSE),"برقی",VLOOKUP(INDEX($D$5:$D$261,$E6),'نمودار تاسیسات برقی'!$A$9:$BG$44,COLUMN()-5,FALSE),"خطوط",VLOOKUP(INDEX($D$5:$D$261,$E6),'نمودار خطوط انتقال '!$A$9:$BG$26,COLUMN()-5,FALSE),"شبکه",VLOOKUP(INDEX($D$5:$D$261,$E6),'نمودار شبکه توزیع آ'!$A$9:$BG$22,COLUMN()-5,FALSE),"سد",VLOOKUP(INDEX($D$5:$D$261,$E6),'نمودار سدسازی'!$A$9:$BG$23,COLUMN()-5,FALSE),"فاضلاب",VLOOKUP(INDEX($D$5:$D$261,$E6),'نمودار جمع‌آوری و ا'!$A$9:$BG$26,COLUMN()-5,FALSE),"تجهیزات",VLOOKUP(INDEX($D$5:$D$261,$E6),'نمودار تجهیزات آب و'!$A$9:$BG$42,COLUMN()-5,FALSE),"پست",VLOOKUP(INDEX($D$5:$D$261,$E6),'نمودار پست های انتق'!$A$9:$BG$41,COLUMN()-5,FALSE),"نیرو",VLOOKUP(INDEX($D$5:$D$261,$E6),'نمودار توزیع نیرو ب'!$A$9:$BG$38,COLUMN()-5,FALSE),""))</f>
        <v>8776.9</v>
      </c>
    </row>
    <row r="7" spans="1:64" ht="20" customHeight="1">
      <c r="A7" s="25">
        <v>3</v>
      </c>
      <c r="B7" s="26" t="s">
        <v>7</v>
      </c>
      <c r="C7" s="27" t="b">
        <f t="array" ref="C7">_xlfn.SWITCH(LEFT(B7,FIND("|",B7)-1),"ابنیه",HLOOKUP(D7,'نمودار ابنیه'!$B$5:$AD$6,2,FALSE),"مکانیکی",HLOOKUP(D7,'نمودار مکانیکی'!$B$5:$AJ$6,2,FALSE),"برقی",HLOOKUP(D7,'نمودار تاسیسات برقی'!$B$5:$AK$6,2,FALSE),"خطوط",HLOOKUP(D7,'نمودار خطوط انتقال '!$B$5:$R$6,2,FALSE),"شبکه",HLOOKUP(D7,'نمودار شبکه توزیع آ'!$B$5:$O$6,2,FALSE),"سد",HLOOKUP(D7,'نمودار سدسازی'!$B$5:$P$6,2,FALSE),"فاضلاب",HLOOKUP(D7,'نمودار جمع‌آوری و ا'!$B$5:$S$6,2,FALSE),"تجهیزات",HLOOKUP(D7,'نمودار تجهیزات آب و'!$B$5:$AG$6,2,FALSE),"پست",HLOOKUP(D7,'نمودار پست های انتق'!$B$5:$AH$6,2,FALSE),"نیرو",HLOOKUP(D7,'نمودار توزیع نیرو ب'!$B$5:$AE$6,2,FALSE),FALSE)</f>
        <v>0</v>
      </c>
      <c r="D7" s="28" t="s">
        <v>70</v>
      </c>
      <c r="E7" s="15">
        <f t="array" ref="E7">IFERROR(_xlfn.AGGREGATE(15,6,ROW($C$5:$C$261)/($C$5:$C$261=TRUE),2)-4,"")</f>
        <v>30</v>
      </c>
      <c r="F7" s="29" t="str">
        <f t="array" ref="F7">IF($E7="","",LEFT(INDEX($B$5:$B$261,$E7),FIND("|",INDEX($B$5:$B$261,$E7))-1)&amp;":"&amp;LEFT(INDEX($D$5:$D$261,$E7),20))</f>
        <v>مکانیکی:لوله های فولادی</v>
      </c>
      <c r="G7" s="32">
        <f t="array" ref="G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269.89999999999998</v>
      </c>
      <c r="H7" s="32">
        <f t="array" ref="H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283.3</v>
      </c>
      <c r="I7" s="32">
        <f t="array" ref="I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296.5</v>
      </c>
      <c r="J7" s="32">
        <f t="array" ref="J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305.2</v>
      </c>
      <c r="K7" s="32">
        <f t="array" ref="K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339.7</v>
      </c>
      <c r="L7" s="32">
        <f t="array" ref="L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379.3</v>
      </c>
      <c r="M7" s="32">
        <f t="array" ref="M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424.9</v>
      </c>
      <c r="N7" s="32">
        <f t="array" ref="N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533.70000000000005</v>
      </c>
      <c r="O7" s="32">
        <f t="array" ref="O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543.29999999999995</v>
      </c>
      <c r="P7" s="32">
        <f t="array" ref="P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532.9</v>
      </c>
      <c r="Q7" s="32">
        <f t="array" ref="Q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533.4</v>
      </c>
      <c r="R7" s="32">
        <f t="array" ref="R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537.20000000000005</v>
      </c>
      <c r="S7" s="32">
        <f t="array" ref="S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584.29999999999995</v>
      </c>
      <c r="T7" s="32">
        <f t="array" ref="T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588.9</v>
      </c>
      <c r="U7" s="32">
        <f t="array" ref="U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592.20000000000005</v>
      </c>
      <c r="V7" s="32">
        <f t="array" ref="V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594.79999999999995</v>
      </c>
      <c r="W7" s="32">
        <f t="array" ref="W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598.4</v>
      </c>
      <c r="X7" s="32">
        <f t="array" ref="X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597.79999999999995</v>
      </c>
      <c r="Y7" s="32">
        <f t="array" ref="Y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586.1</v>
      </c>
      <c r="Z7" s="32">
        <f t="array" ref="Z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586.1</v>
      </c>
      <c r="AA7" s="32">
        <f t="array" ref="AA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626.5</v>
      </c>
      <c r="AB7" s="32">
        <f t="array" ref="AB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631.70000000000005</v>
      </c>
      <c r="AC7" s="32">
        <f t="array" ref="AC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669.9</v>
      </c>
      <c r="AD7" s="32">
        <f t="array" ref="AD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692.7</v>
      </c>
      <c r="AE7" s="32">
        <f t="array" ref="AE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724.9</v>
      </c>
      <c r="AF7" s="32">
        <f t="array" ref="AF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780.5</v>
      </c>
      <c r="AG7" s="32">
        <f t="array" ref="AG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833.4</v>
      </c>
      <c r="AH7" s="32">
        <f t="array" ref="AH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850.3</v>
      </c>
      <c r="AI7" s="32">
        <f t="array" ref="AI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973.3</v>
      </c>
      <c r="AJ7" s="32">
        <f t="array" ref="AJ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1058.4000000000001</v>
      </c>
      <c r="AK7" s="32">
        <f t="array" ref="AK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1208.2</v>
      </c>
      <c r="AL7" s="32">
        <f t="array" ref="AL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1331.9</v>
      </c>
      <c r="AM7" s="32">
        <f t="array" ref="AM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1532.1</v>
      </c>
      <c r="AN7" s="32">
        <f t="array" ref="AN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1520.4</v>
      </c>
      <c r="AO7" s="32">
        <f t="array" ref="AO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1784.6</v>
      </c>
      <c r="AP7" s="32">
        <f t="array" ref="AP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1730.5</v>
      </c>
      <c r="AQ7" s="32">
        <f t="array" ref="AQ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1740.3</v>
      </c>
      <c r="AR7" s="32">
        <f t="array" ref="AR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1982</v>
      </c>
      <c r="AS7" s="32">
        <f t="array" ref="AS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2307.8000000000002</v>
      </c>
      <c r="AT7" s="32">
        <f t="array" ref="AT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2791.7</v>
      </c>
      <c r="AU7" s="32">
        <f t="array" ref="AU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3093.4</v>
      </c>
      <c r="AV7" s="32">
        <f t="array" ref="AV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3356.8</v>
      </c>
      <c r="AW7" s="32">
        <f t="array" ref="AW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3582.4</v>
      </c>
      <c r="AX7" s="32">
        <f t="array" ref="AX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3757</v>
      </c>
      <c r="AY7" s="32">
        <f t="array" ref="AY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4306.3</v>
      </c>
      <c r="AZ7" s="32">
        <f t="array" ref="AZ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4535</v>
      </c>
      <c r="BA7" s="32">
        <f t="array" ref="BA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4424.1000000000004</v>
      </c>
      <c r="BB7" s="32">
        <f t="array" ref="BB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4321.8999999999996</v>
      </c>
      <c r="BC7" s="32">
        <f t="array" ref="BC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4896.3999999999996</v>
      </c>
      <c r="BD7" s="32">
        <f t="array" ref="BD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4813.8999999999996</v>
      </c>
      <c r="BE7" s="32">
        <f t="array" ref="BE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4990.6000000000004</v>
      </c>
      <c r="BF7" s="32">
        <f t="array" ref="BF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5527.3</v>
      </c>
      <c r="BG7" s="32">
        <f t="array" ref="BG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5727</v>
      </c>
      <c r="BH7" s="32">
        <f t="array" ref="BH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6041.1</v>
      </c>
      <c r="BI7" s="32">
        <f t="array" ref="BI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6652.6</v>
      </c>
      <c r="BJ7" s="32">
        <f t="array" ref="BJ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6598.7</v>
      </c>
      <c r="BK7" s="32">
        <f t="array" ref="BK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6906.1</v>
      </c>
      <c r="BL7" s="32">
        <f t="array" ref="BL7">IF($E7="","",_xlfn.SWITCH(LEFT(INDEX($B$5:$B$261,$E7),FIND("|",INDEX($B$5:$B$261,$E7))-1),"ابنیه",VLOOKUP(INDEX($D$5:$D$261,$E7),'نمودار ابنیه'!$A$9:$BG$37,COLUMN()-5,FALSE),"مکانیکی",VLOOKUP(INDEX($D$5:$D$261,$E7),'نمودار مکانیکی'!$A$9:$BG$43,COLUMN()-5,FALSE),"برقی",VLOOKUP(INDEX($D$5:$D$261,$E7),'نمودار تاسیسات برقی'!$A$9:$BG$44,COLUMN()-5,FALSE),"خطوط",VLOOKUP(INDEX($D$5:$D$261,$E7),'نمودار خطوط انتقال '!$A$9:$BG$26,COLUMN()-5,FALSE),"شبکه",VLOOKUP(INDEX($D$5:$D$261,$E7),'نمودار شبکه توزیع آ'!$A$9:$BG$22,COLUMN()-5,FALSE),"سد",VLOOKUP(INDEX($D$5:$D$261,$E7),'نمودار سدسازی'!$A$9:$BG$23,COLUMN()-5,FALSE),"فاضلاب",VLOOKUP(INDEX($D$5:$D$261,$E7),'نمودار جمع‌آوری و ا'!$A$9:$BG$26,COLUMN()-5,FALSE),"تجهیزات",VLOOKUP(INDEX($D$5:$D$261,$E7),'نمودار تجهیزات آب و'!$A$9:$BG$42,COLUMN()-5,FALSE),"پست",VLOOKUP(INDEX($D$5:$D$261,$E7),'نمودار پست های انتق'!$A$9:$BG$41,COLUMN()-5,FALSE),"نیرو",VLOOKUP(INDEX($D$5:$D$261,$E7),'نمودار توزیع نیرو ب'!$A$9:$BG$38,COLUMN()-5,FALSE),""))</f>
        <v>7274.2</v>
      </c>
    </row>
    <row r="8" spans="1:64" ht="20" customHeight="1">
      <c r="A8" s="68">
        <v>4</v>
      </c>
      <c r="B8" s="69" t="s">
        <v>7</v>
      </c>
      <c r="C8" s="70" t="b">
        <f t="array" ref="C8">_xlfn.SWITCH(LEFT(B8,FIND("|",B8)-1),"ابنیه",HLOOKUP(D8,'نمودار ابنیه'!$B$5:$AD$6,2,FALSE),"مکانیکی",HLOOKUP(D8,'نمودار مکانیکی'!$B$5:$AJ$6,2,FALSE),"برقی",HLOOKUP(D8,'نمودار تاسیسات برقی'!$B$5:$AK$6,2,FALSE),"خطوط",HLOOKUP(D8,'نمودار خطوط انتقال '!$B$5:$R$6,2,FALSE),"شبکه",HLOOKUP(D8,'نمودار شبکه توزیع آ'!$B$5:$O$6,2,FALSE),"سد",HLOOKUP(D8,'نمودار سدسازی'!$B$5:$P$6,2,FALSE),"فاضلاب",HLOOKUP(D8,'نمودار جمع‌آوری و ا'!$B$5:$S$6,2,FALSE),"تجهیزات",HLOOKUP(D8,'نمودار تجهیزات آب و'!$B$5:$AG$6,2,FALSE),"پست",HLOOKUP(D8,'نمودار پست های انتق'!$B$5:$AH$6,2,FALSE),"نیرو",HLOOKUP(D8,'نمودار توزیع نیرو ب'!$B$5:$AE$6,2,FALSE),FALSE)</f>
        <v>0</v>
      </c>
      <c r="D8" s="71" t="s">
        <v>71</v>
      </c>
      <c r="E8" s="15">
        <f t="array" ref="E8">IFERROR(_xlfn.AGGREGATE(15,6,ROW($C$5:$C$261)/($C$5:$C$261=TRUE),3)-4,"")</f>
        <v>31</v>
      </c>
      <c r="F8" s="72" t="str">
        <f t="array" ref="F8">IF($E8="","",LEFT(INDEX($B$5:$B$261,$E8),FIND("|",INDEX($B$5:$B$261,$E8))-1)&amp;":"&amp;LEFT(INDEX($D$5:$D$261,$E8),20))</f>
        <v>مکانیکی:لوله های چدنی</v>
      </c>
      <c r="G8" s="73">
        <f t="array" ref="G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559</v>
      </c>
      <c r="H8" s="73">
        <f t="array" ref="H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560.4</v>
      </c>
      <c r="I8" s="73">
        <f t="array" ref="I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581.79999999999995</v>
      </c>
      <c r="J8" s="73">
        <f t="array" ref="J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582.9</v>
      </c>
      <c r="K8" s="73">
        <f t="array" ref="K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588.70000000000005</v>
      </c>
      <c r="L8" s="73">
        <f t="array" ref="L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594</v>
      </c>
      <c r="M8" s="73">
        <f t="array" ref="M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626.20000000000005</v>
      </c>
      <c r="N8" s="73">
        <f t="array" ref="N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715.9</v>
      </c>
      <c r="O8" s="73">
        <f t="array" ref="O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727.8</v>
      </c>
      <c r="P8" s="73">
        <f t="array" ref="P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729.5</v>
      </c>
      <c r="Q8" s="73">
        <f t="array" ref="Q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762.4</v>
      </c>
      <c r="R8" s="73">
        <f t="array" ref="R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764.3</v>
      </c>
      <c r="S8" s="73">
        <f t="array" ref="S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798.7</v>
      </c>
      <c r="T8" s="73">
        <f t="array" ref="T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800.2</v>
      </c>
      <c r="U8" s="73">
        <f t="array" ref="U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851</v>
      </c>
      <c r="V8" s="73">
        <f t="array" ref="V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852.4</v>
      </c>
      <c r="W8" s="73">
        <f t="array" ref="W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862.1</v>
      </c>
      <c r="X8" s="73">
        <f t="array" ref="X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863</v>
      </c>
      <c r="Y8" s="73">
        <f t="array" ref="Y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870.7</v>
      </c>
      <c r="Z8" s="73">
        <f t="array" ref="Z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871.4</v>
      </c>
      <c r="AA8" s="73">
        <f t="array" ref="AA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880.1</v>
      </c>
      <c r="AB8" s="73">
        <f t="array" ref="AB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881.3</v>
      </c>
      <c r="AC8" s="73">
        <f t="array" ref="AC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882.8</v>
      </c>
      <c r="AD8" s="73">
        <f t="array" ref="AD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883.9</v>
      </c>
      <c r="AE8" s="73">
        <f t="array" ref="AE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897.1</v>
      </c>
      <c r="AF8" s="73">
        <f t="array" ref="AF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897.9</v>
      </c>
      <c r="AG8" s="73">
        <f t="array" ref="AG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962.4</v>
      </c>
      <c r="AH8" s="73">
        <f t="array" ref="AH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983.3</v>
      </c>
      <c r="AI8" s="73">
        <f t="array" ref="AI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1049.9000000000001</v>
      </c>
      <c r="AJ8" s="73">
        <f t="array" ref="AJ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1164.4000000000001</v>
      </c>
      <c r="AK8" s="73">
        <f t="array" ref="AK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1188</v>
      </c>
      <c r="AL8" s="73">
        <f t="array" ref="AL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1224.7</v>
      </c>
      <c r="AM8" s="73">
        <f t="array" ref="AM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1243</v>
      </c>
      <c r="AN8" s="73">
        <f t="array" ref="AN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1252.5</v>
      </c>
      <c r="AO8" s="73">
        <f t="array" ref="AO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1418.2</v>
      </c>
      <c r="AP8" s="73">
        <f t="array" ref="AP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1431.5</v>
      </c>
      <c r="AQ8" s="73">
        <f t="array" ref="AQ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1518.7</v>
      </c>
      <c r="AR8" s="73">
        <f t="array" ref="AR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1547.5</v>
      </c>
      <c r="AS8" s="73">
        <f t="array" ref="AS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1916.3</v>
      </c>
      <c r="AT8" s="73">
        <f t="array" ref="AT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2310.1</v>
      </c>
      <c r="AU8" s="73">
        <f t="array" ref="AU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2392.3000000000002</v>
      </c>
      <c r="AV8" s="73">
        <f t="array" ref="AV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2478.5</v>
      </c>
      <c r="AW8" s="73">
        <f t="array" ref="AW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2525.1999999999998</v>
      </c>
      <c r="AX8" s="73">
        <f t="array" ref="AX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2665.3</v>
      </c>
      <c r="AY8" s="73">
        <f t="array" ref="AY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2929.9</v>
      </c>
      <c r="AZ8" s="73">
        <f t="array" ref="AZ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3171.3</v>
      </c>
      <c r="BA8" s="73">
        <f t="array" ref="BA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3641.9</v>
      </c>
      <c r="BB8" s="73">
        <f t="array" ref="BB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3875.3</v>
      </c>
      <c r="BC8" s="73">
        <f t="array" ref="BC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4424.5</v>
      </c>
      <c r="BD8" s="73">
        <f t="array" ref="BD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4436.8999999999996</v>
      </c>
      <c r="BE8" s="73">
        <f t="array" ref="BE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5060.1000000000004</v>
      </c>
      <c r="BF8" s="73">
        <f t="array" ref="BF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5216.5</v>
      </c>
      <c r="BG8" s="73">
        <f t="array" ref="BG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5207.8</v>
      </c>
      <c r="BH8" s="73">
        <f t="array" ref="BH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5362.9</v>
      </c>
      <c r="BI8" s="73">
        <f t="array" ref="BI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5860.1</v>
      </c>
      <c r="BJ8" s="73">
        <f t="array" ref="BJ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6144.7</v>
      </c>
      <c r="BK8" s="73">
        <f t="array" ref="BK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6250.7</v>
      </c>
      <c r="BL8" s="73">
        <f t="array" ref="BL8">IF($E8="","",_xlfn.SWITCH(LEFT(INDEX($B$5:$B$261,$E8),FIND("|",INDEX($B$5:$B$261,$E8))-1),"ابنیه",VLOOKUP(INDEX($D$5:$D$261,$E8),'نمودار ابنیه'!$A$9:$BG$37,COLUMN()-5,FALSE),"مکانیکی",VLOOKUP(INDEX($D$5:$D$261,$E8),'نمودار مکانیکی'!$A$9:$BG$43,COLUMN()-5,FALSE),"برقی",VLOOKUP(INDEX($D$5:$D$261,$E8),'نمودار تاسیسات برقی'!$A$9:$BG$44,COLUMN()-5,FALSE),"خطوط",VLOOKUP(INDEX($D$5:$D$261,$E8),'نمودار خطوط انتقال '!$A$9:$BG$26,COLUMN()-5,FALSE),"شبکه",VLOOKUP(INDEX($D$5:$D$261,$E8),'نمودار شبکه توزیع آ'!$A$9:$BG$22,COLUMN()-5,FALSE),"سد",VLOOKUP(INDEX($D$5:$D$261,$E8),'نمودار سدسازی'!$A$9:$BG$23,COLUMN()-5,FALSE),"فاضلاب",VLOOKUP(INDEX($D$5:$D$261,$E8),'نمودار جمع‌آوری و ا'!$A$9:$BG$26,COLUMN()-5,FALSE),"تجهیزات",VLOOKUP(INDEX($D$5:$D$261,$E8),'نمودار تجهیزات آب و'!$A$9:$BG$42,COLUMN()-5,FALSE),"پست",VLOOKUP(INDEX($D$5:$D$261,$E8),'نمودار پست های انتق'!$A$9:$BG$41,COLUMN()-5,FALSE),"نیرو",VLOOKUP(INDEX($D$5:$D$261,$E8),'نمودار توزیع نیرو ب'!$A$9:$BG$38,COLUMN()-5,FALSE),""))</f>
        <v>6279.9</v>
      </c>
    </row>
    <row r="9" spans="1:64" ht="20" customHeight="1">
      <c r="A9" s="25">
        <v>5</v>
      </c>
      <c r="B9" s="26" t="s">
        <v>7</v>
      </c>
      <c r="C9" s="27" t="b">
        <f t="array" ref="C9">_xlfn.SWITCH(LEFT(B9,FIND("|",B9)-1),"ابنیه",HLOOKUP(D9,'نمودار ابنیه'!$B$5:$AD$6,2,FALSE),"مکانیکی",HLOOKUP(D9,'نمودار مکانیکی'!$B$5:$AJ$6,2,FALSE),"برقی",HLOOKUP(D9,'نمودار تاسیسات برقی'!$B$5:$AK$6,2,FALSE),"خطوط",HLOOKUP(D9,'نمودار خطوط انتقال '!$B$5:$R$6,2,FALSE),"شبکه",HLOOKUP(D9,'نمودار شبکه توزیع آ'!$B$5:$O$6,2,FALSE),"سد",HLOOKUP(D9,'نمودار سدسازی'!$B$5:$P$6,2,FALSE),"فاضلاب",HLOOKUP(D9,'نمودار جمع‌آوری و ا'!$B$5:$S$6,2,FALSE),"تجهیزات",HLOOKUP(D9,'نمودار تجهیزات آب و'!$B$5:$AG$6,2,FALSE),"پست",HLOOKUP(D9,'نمودار پست های انتق'!$B$5:$AH$6,2,FALSE),"نیرو",HLOOKUP(D9,'نمودار توزیع نیرو ب'!$B$5:$AE$6,2,FALSE),FALSE)</f>
        <v>0</v>
      </c>
      <c r="D9" s="28" t="s">
        <v>72</v>
      </c>
      <c r="E9" s="15">
        <f t="array" ref="E9">IFERROR(_xlfn.AGGREGATE(15,6,ROW($C$5:$C$261)/($C$5:$C$261=TRUE),4)-4,"")</f>
        <v>32</v>
      </c>
      <c r="F9" s="29" t="str">
        <f t="array" ref="F9">IF($E9="","",LEFT(INDEX($B$5:$B$261,$E9),FIND("|",INDEX($B$5:$B$261,$E9))-1)&amp;":"&amp;LEFT(INDEX($D$5:$D$261,$E9),20))</f>
        <v>مکانیکی:لوله های پی.وی.سی</v>
      </c>
      <c r="G9" s="32">
        <f t="array" ref="G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346.5</v>
      </c>
      <c r="H9" s="32">
        <f t="array" ref="H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248.1</v>
      </c>
      <c r="I9" s="32">
        <f t="array" ref="I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263.7</v>
      </c>
      <c r="J9" s="32">
        <f t="array" ref="J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265.3</v>
      </c>
      <c r="K9" s="32">
        <f t="array" ref="K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302.60000000000002</v>
      </c>
      <c r="L9" s="32">
        <f t="array" ref="L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360.8</v>
      </c>
      <c r="M9" s="32">
        <f t="array" ref="M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505.6</v>
      </c>
      <c r="N9" s="32">
        <f t="array" ref="N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534.79999999999995</v>
      </c>
      <c r="O9" s="32">
        <f t="array" ref="O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490.4</v>
      </c>
      <c r="P9" s="32">
        <f t="array" ref="P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492.6</v>
      </c>
      <c r="Q9" s="32">
        <f t="array" ref="Q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495.9</v>
      </c>
      <c r="R9" s="32">
        <f t="array" ref="R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498.9</v>
      </c>
      <c r="S9" s="32">
        <f t="array" ref="S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587.20000000000005</v>
      </c>
      <c r="T9" s="32">
        <f t="array" ref="T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589.6</v>
      </c>
      <c r="U9" s="32">
        <f t="array" ref="U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616.5</v>
      </c>
      <c r="V9" s="32">
        <f t="array" ref="V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618.5</v>
      </c>
      <c r="W9" s="32">
        <f t="array" ref="W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662.3</v>
      </c>
      <c r="X9" s="32">
        <f t="array" ref="X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663.6</v>
      </c>
      <c r="Y9" s="32">
        <f t="array" ref="Y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634.29999999999995</v>
      </c>
      <c r="Z9" s="32">
        <f t="array" ref="Z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635.4</v>
      </c>
      <c r="AA9" s="32">
        <f t="array" ref="AA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665.4</v>
      </c>
      <c r="AB9" s="32">
        <f t="array" ref="AB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677.7</v>
      </c>
      <c r="AC9" s="32">
        <f t="array" ref="AC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756.6</v>
      </c>
      <c r="AD9" s="32">
        <f t="array" ref="AD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759.3</v>
      </c>
      <c r="AE9" s="32">
        <f t="array" ref="AE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782.9</v>
      </c>
      <c r="AF9" s="32">
        <f t="array" ref="AF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803.5</v>
      </c>
      <c r="AG9" s="32">
        <f t="array" ref="AG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837.9</v>
      </c>
      <c r="AH9" s="32">
        <f t="array" ref="AH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870.8</v>
      </c>
      <c r="AI9" s="32">
        <f t="array" ref="AI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988.5</v>
      </c>
      <c r="AJ9" s="32">
        <f t="array" ref="AJ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1027.7</v>
      </c>
      <c r="AK9" s="32">
        <f t="array" ref="AK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1180.8</v>
      </c>
      <c r="AL9" s="32">
        <f t="array" ref="AL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1355</v>
      </c>
      <c r="AM9" s="32">
        <f t="array" ref="AM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1351.6</v>
      </c>
      <c r="AN9" s="32">
        <f t="array" ref="AN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1361.2</v>
      </c>
      <c r="AO9" s="32">
        <f t="array" ref="AO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1590.5</v>
      </c>
      <c r="AP9" s="32">
        <f t="array" ref="AP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1565.4</v>
      </c>
      <c r="AQ9" s="32">
        <f t="array" ref="AQ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1594.5</v>
      </c>
      <c r="AR9" s="32">
        <f t="array" ref="AR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1625.3</v>
      </c>
      <c r="AS9" s="32">
        <f t="array" ref="AS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1823.4</v>
      </c>
      <c r="AT9" s="32">
        <f t="array" ref="AT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1994</v>
      </c>
      <c r="AU9" s="32">
        <f t="array" ref="AU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2124.1</v>
      </c>
      <c r="AV9" s="32">
        <f t="array" ref="AV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2396.1</v>
      </c>
      <c r="AW9" s="32">
        <f t="array" ref="AW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3008.9</v>
      </c>
      <c r="AX9" s="32">
        <f t="array" ref="AX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3336</v>
      </c>
      <c r="AY9" s="32">
        <f t="array" ref="AY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3691.1</v>
      </c>
      <c r="AZ9" s="32">
        <f t="array" ref="AZ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3977.4</v>
      </c>
      <c r="BA9" s="32">
        <f t="array" ref="BA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4212.7</v>
      </c>
      <c r="BB9" s="32">
        <f t="array" ref="BB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4371.2</v>
      </c>
      <c r="BC9" s="32">
        <f t="array" ref="BC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4832.5</v>
      </c>
      <c r="BD9" s="32">
        <f t="array" ref="BD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4560.8999999999996</v>
      </c>
      <c r="BE9" s="32">
        <f t="array" ref="BE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4444.6000000000004</v>
      </c>
      <c r="BF9" s="32">
        <f t="array" ref="BF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4668.6000000000004</v>
      </c>
      <c r="BG9" s="32">
        <f t="array" ref="BG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4668.8</v>
      </c>
      <c r="BH9" s="32">
        <f t="array" ref="BH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4943.5</v>
      </c>
      <c r="BI9" s="32">
        <f t="array" ref="BI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5303.2</v>
      </c>
      <c r="BJ9" s="32">
        <f t="array" ref="BJ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5380.5</v>
      </c>
      <c r="BK9" s="32">
        <f t="array" ref="BK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5456.2</v>
      </c>
      <c r="BL9" s="32">
        <f t="array" ref="BL9">IF($E9="","",_xlfn.SWITCH(LEFT(INDEX($B$5:$B$261,$E9),FIND("|",INDEX($B$5:$B$261,$E9))-1),"ابنیه",VLOOKUP(INDEX($D$5:$D$261,$E9),'نمودار ابنیه'!$A$9:$BG$37,COLUMN()-5,FALSE),"مکانیکی",VLOOKUP(INDEX($D$5:$D$261,$E9),'نمودار مکانیکی'!$A$9:$BG$43,COLUMN()-5,FALSE),"برقی",VLOOKUP(INDEX($D$5:$D$261,$E9),'نمودار تاسیسات برقی'!$A$9:$BG$44,COLUMN()-5,FALSE),"خطوط",VLOOKUP(INDEX($D$5:$D$261,$E9),'نمودار خطوط انتقال '!$A$9:$BG$26,COLUMN()-5,FALSE),"شبکه",VLOOKUP(INDEX($D$5:$D$261,$E9),'نمودار شبکه توزیع آ'!$A$9:$BG$22,COLUMN()-5,FALSE),"سد",VLOOKUP(INDEX($D$5:$D$261,$E9),'نمودار سدسازی'!$A$9:$BG$23,COLUMN()-5,FALSE),"فاضلاب",VLOOKUP(INDEX($D$5:$D$261,$E9),'نمودار جمع‌آوری و ا'!$A$9:$BG$26,COLUMN()-5,FALSE),"تجهیزات",VLOOKUP(INDEX($D$5:$D$261,$E9),'نمودار تجهیزات آب و'!$A$9:$BG$42,COLUMN()-5,FALSE),"پست",VLOOKUP(INDEX($D$5:$D$261,$E9),'نمودار پست های انتق'!$A$9:$BG$41,COLUMN()-5,FALSE),"نیرو",VLOOKUP(INDEX($D$5:$D$261,$E9),'نمودار توزیع نیرو ب'!$A$9:$BG$38,COLUMN()-5,FALSE),""))</f>
        <v>5504.8</v>
      </c>
    </row>
    <row r="10" spans="1:64" ht="20" customHeight="1">
      <c r="A10" s="68">
        <v>6</v>
      </c>
      <c r="B10" s="69" t="s">
        <v>7</v>
      </c>
      <c r="C10" s="70" t="b">
        <f t="array" ref="C10">_xlfn.SWITCH(LEFT(B10,FIND("|",B10)-1),"ابنیه",HLOOKUP(D10,'نمودار ابنیه'!$B$5:$AD$6,2,FALSE),"مکانیکی",HLOOKUP(D10,'نمودار مکانیکی'!$B$5:$AJ$6,2,FALSE),"برقی",HLOOKUP(D10,'نمودار تاسیسات برقی'!$B$5:$AK$6,2,FALSE),"خطوط",HLOOKUP(D10,'نمودار خطوط انتقال '!$B$5:$R$6,2,FALSE),"شبکه",HLOOKUP(D10,'نمودار شبکه توزیع آ'!$B$5:$O$6,2,FALSE),"سد",HLOOKUP(D10,'نمودار سدسازی'!$B$5:$P$6,2,FALSE),"فاضلاب",HLOOKUP(D10,'نمودار جمع‌آوری و ا'!$B$5:$S$6,2,FALSE),"تجهیزات",HLOOKUP(D10,'نمودار تجهیزات آب و'!$B$5:$AG$6,2,FALSE),"پست",HLOOKUP(D10,'نمودار پست های انتق'!$B$5:$AH$6,2,FALSE),"نیرو",HLOOKUP(D10,'نمودار توزیع نیرو ب'!$B$5:$AE$6,2,FALSE),FALSE)</f>
        <v>0</v>
      </c>
      <c r="D10" s="71" t="s">
        <v>73</v>
      </c>
      <c r="E10" s="15">
        <f t="array" ref="E10">IFERROR(_xlfn.AGGREGATE(15,6,ROW($C$5:$C$261)/($C$5:$C$261=TRUE),5)-4,"")</f>
        <v>33</v>
      </c>
      <c r="F10" s="72" t="str">
        <f t="array" ref="F10">IF($E10="","",LEFT(INDEX($B$5:$B$261,$E10),FIND("|",INDEX($B$5:$B$261,$E10))-1)&amp;":"&amp;LEFT(INDEX($D$5:$D$261,$E10),20))</f>
        <v>مکانیکی:لوله های پلی اتیلن</v>
      </c>
      <c r="G10" s="73">
        <f t="array" ref="G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153.80000000000001</v>
      </c>
      <c r="H10" s="73">
        <f t="array" ref="H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154.69999999999999</v>
      </c>
      <c r="I10" s="73">
        <f t="array" ref="I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144.5</v>
      </c>
      <c r="J10" s="73">
        <f t="array" ref="J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153.5</v>
      </c>
      <c r="K10" s="73">
        <f t="array" ref="K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175.2</v>
      </c>
      <c r="L10" s="73">
        <f t="array" ref="L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181.8</v>
      </c>
      <c r="M10" s="73">
        <f t="array" ref="M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244.6</v>
      </c>
      <c r="N10" s="73">
        <f t="array" ref="N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270.5</v>
      </c>
      <c r="O10" s="73">
        <f t="array" ref="O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277.5</v>
      </c>
      <c r="P10" s="73">
        <f t="array" ref="P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279</v>
      </c>
      <c r="Q10" s="73">
        <f t="array" ref="Q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281.2</v>
      </c>
      <c r="R10" s="73">
        <f t="array" ref="R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283.2</v>
      </c>
      <c r="S10" s="73">
        <f t="array" ref="S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293.5</v>
      </c>
      <c r="T10" s="73">
        <f t="array" ref="T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295.10000000000002</v>
      </c>
      <c r="U10" s="73">
        <f t="array" ref="U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313</v>
      </c>
      <c r="V10" s="73">
        <f t="array" ref="V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314.2</v>
      </c>
      <c r="W10" s="73">
        <f t="array" ref="W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322.60000000000002</v>
      </c>
      <c r="X10" s="73">
        <f t="array" ref="X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323.39999999999998</v>
      </c>
      <c r="Y10" s="73">
        <f t="array" ref="Y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324</v>
      </c>
      <c r="Z10" s="73">
        <f t="array" ref="Z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324.60000000000002</v>
      </c>
      <c r="AA10" s="73">
        <f t="array" ref="AA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332.2</v>
      </c>
      <c r="AB10" s="73">
        <f t="array" ref="AB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333.2</v>
      </c>
      <c r="AC10" s="73">
        <f t="array" ref="AC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334.2</v>
      </c>
      <c r="AD10" s="73">
        <f t="array" ref="AD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335.1</v>
      </c>
      <c r="AE10" s="73">
        <f t="array" ref="AE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344</v>
      </c>
      <c r="AF10" s="73">
        <f t="array" ref="AF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344.8</v>
      </c>
      <c r="AG10" s="73">
        <f t="array" ref="AG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384.2</v>
      </c>
      <c r="AH10" s="73">
        <f t="array" ref="AH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385.3</v>
      </c>
      <c r="AI10" s="73">
        <f t="array" ref="AI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451.7</v>
      </c>
      <c r="AJ10" s="73">
        <f t="array" ref="AJ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516.4</v>
      </c>
      <c r="AK10" s="73">
        <f t="array" ref="AK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544.5</v>
      </c>
      <c r="AL10" s="73">
        <f t="array" ref="AL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574.20000000000005</v>
      </c>
      <c r="AM10" s="73">
        <f t="array" ref="AM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693</v>
      </c>
      <c r="AN10" s="73">
        <f t="array" ref="AN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644.20000000000005</v>
      </c>
      <c r="AO10" s="73">
        <f t="array" ref="AO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675.5</v>
      </c>
      <c r="AP10" s="73">
        <f t="array" ref="AP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685.1</v>
      </c>
      <c r="AQ10" s="73">
        <f t="array" ref="AQ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690</v>
      </c>
      <c r="AR10" s="73">
        <f t="array" ref="AR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696.4</v>
      </c>
      <c r="AS10" s="73">
        <f t="array" ref="AS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767.7</v>
      </c>
      <c r="AT10" s="73">
        <f t="array" ref="AT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930.7</v>
      </c>
      <c r="AU10" s="73">
        <f t="array" ref="AU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935.4</v>
      </c>
      <c r="AV10" s="73">
        <f t="array" ref="AV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998.5</v>
      </c>
      <c r="AW10" s="73">
        <f t="array" ref="AW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1246.7</v>
      </c>
      <c r="AX10" s="73">
        <f t="array" ref="AX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1263.7</v>
      </c>
      <c r="AY10" s="73">
        <f t="array" ref="AY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1409.9</v>
      </c>
      <c r="AZ10" s="73">
        <f t="array" ref="AZ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1440</v>
      </c>
      <c r="BA10" s="73">
        <f t="array" ref="BA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1546.4</v>
      </c>
      <c r="BB10" s="73">
        <f t="array" ref="BB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1553.3</v>
      </c>
      <c r="BC10" s="73">
        <f t="array" ref="BC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1811.7</v>
      </c>
      <c r="BD10" s="73">
        <f t="array" ref="BD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1826.8</v>
      </c>
      <c r="BE10" s="73">
        <f t="array" ref="BE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2000.1</v>
      </c>
      <c r="BF10" s="73">
        <f t="array" ref="BF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2145.1999999999998</v>
      </c>
      <c r="BG10" s="73">
        <f t="array" ref="BG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2305.8000000000002</v>
      </c>
      <c r="BH10" s="73">
        <f t="array" ref="BH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2466.4</v>
      </c>
      <c r="BI10" s="73">
        <f t="array" ref="BI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2918.8</v>
      </c>
      <c r="BJ10" s="73">
        <f t="array" ref="BJ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2989.2</v>
      </c>
      <c r="BK10" s="73">
        <f t="array" ref="BK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3168.8</v>
      </c>
      <c r="BL10" s="73">
        <f t="array" ref="BL10">IF($E10="","",_xlfn.SWITCH(LEFT(INDEX($B$5:$B$261,$E10),FIND("|",INDEX($B$5:$B$261,$E10))-1),"ابنیه",VLOOKUP(INDEX($D$5:$D$261,$E10),'نمودار ابنیه'!$A$9:$BG$37,COLUMN()-5,FALSE),"مکانیکی",VLOOKUP(INDEX($D$5:$D$261,$E10),'نمودار مکانیکی'!$A$9:$BG$43,COLUMN()-5,FALSE),"برقی",VLOOKUP(INDEX($D$5:$D$261,$E10),'نمودار تاسیسات برقی'!$A$9:$BG$44,COLUMN()-5,FALSE),"خطوط",VLOOKUP(INDEX($D$5:$D$261,$E10),'نمودار خطوط انتقال '!$A$9:$BG$26,COLUMN()-5,FALSE),"شبکه",VLOOKUP(INDEX($D$5:$D$261,$E10),'نمودار شبکه توزیع آ'!$A$9:$BG$22,COLUMN()-5,FALSE),"سد",VLOOKUP(INDEX($D$5:$D$261,$E10),'نمودار سدسازی'!$A$9:$BG$23,COLUMN()-5,FALSE),"فاضلاب",VLOOKUP(INDEX($D$5:$D$261,$E10),'نمودار جمع‌آوری و ا'!$A$9:$BG$26,COLUMN()-5,FALSE),"تجهیزات",VLOOKUP(INDEX($D$5:$D$261,$E10),'نمودار تجهیزات آب و'!$A$9:$BG$42,COLUMN()-5,FALSE),"پست",VLOOKUP(INDEX($D$5:$D$261,$E10),'نمودار پست های انتق'!$A$9:$BG$41,COLUMN()-5,FALSE),"نیرو",VLOOKUP(INDEX($D$5:$D$261,$E10),'نمودار توزیع نیرو ب'!$A$9:$BG$38,COLUMN()-5,FALSE),""))</f>
        <v>3195.5</v>
      </c>
    </row>
    <row r="11" spans="1:64" ht="20" customHeight="1">
      <c r="A11" s="25">
        <v>7</v>
      </c>
      <c r="B11" s="26" t="s">
        <v>7</v>
      </c>
      <c r="C11" s="27" t="b">
        <f t="array" ref="C11">_xlfn.SWITCH(LEFT(B11,FIND("|",B11)-1),"ابنیه",HLOOKUP(D11,'نمودار ابنیه'!$B$5:$AD$6,2,FALSE),"مکانیکی",HLOOKUP(D11,'نمودار مکانیکی'!$B$5:$AJ$6,2,FALSE),"برقی",HLOOKUP(D11,'نمودار تاسیسات برقی'!$B$5:$AK$6,2,FALSE),"خطوط",HLOOKUP(D11,'نمودار خطوط انتقال '!$B$5:$R$6,2,FALSE),"شبکه",HLOOKUP(D11,'نمودار شبکه توزیع آ'!$B$5:$O$6,2,FALSE),"سد",HLOOKUP(D11,'نمودار سدسازی'!$B$5:$P$6,2,FALSE),"فاضلاب",HLOOKUP(D11,'نمودار جمع‌آوری و ا'!$B$5:$S$6,2,FALSE),"تجهیزات",HLOOKUP(D11,'نمودار تجهیزات آب و'!$B$5:$AG$6,2,FALSE),"پست",HLOOKUP(D11,'نمودار پست های انتق'!$B$5:$AH$6,2,FALSE),"نیرو",HLOOKUP(D11,'نمودار توزیع نیرو ب'!$B$5:$AE$6,2,FALSE),FALSE)</f>
        <v>0</v>
      </c>
      <c r="D11" s="28" t="s">
        <v>74</v>
      </c>
      <c r="E11" s="15">
        <f t="array" ref="E11">IFERROR(_xlfn.AGGREGATE(15,6,ROW($C$5:$C$261)/($C$5:$C$261=TRUE),6)-4,"")</f>
        <v>34</v>
      </c>
      <c r="F11" s="29" t="str">
        <f t="array" ref="F11">IF($E11="","",LEFT(INDEX($B$5:$B$261,$E11),FIND("|",INDEX($B$5:$B$261,$E11))-1)&amp;":"&amp;LEFT(INDEX($D$5:$D$261,$E11),20))</f>
        <v>مکانیکی:لوله های آزبست سیمان</v>
      </c>
      <c r="G11" s="32">
        <f t="array" ref="G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317.2</v>
      </c>
      <c r="H11" s="32">
        <f t="array" ref="H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319.39999999999998</v>
      </c>
      <c r="I11" s="32">
        <f t="array" ref="I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321.8</v>
      </c>
      <c r="J11" s="32">
        <f t="array" ref="J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324.2</v>
      </c>
      <c r="K11" s="32">
        <f t="array" ref="K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332.6</v>
      </c>
      <c r="L11" s="32">
        <f t="array" ref="L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336.9</v>
      </c>
      <c r="M11" s="32">
        <f t="array" ref="M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344</v>
      </c>
      <c r="N11" s="32">
        <f t="array" ref="N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347.2</v>
      </c>
      <c r="O11" s="32">
        <f t="array" ref="O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359.3</v>
      </c>
      <c r="P11" s="32">
        <f t="array" ref="P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361.8</v>
      </c>
      <c r="Q11" s="32">
        <f t="array" ref="Q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364.9</v>
      </c>
      <c r="R11" s="32">
        <f t="array" ref="R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367.6</v>
      </c>
      <c r="S11" s="32">
        <f t="array" ref="S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385.3</v>
      </c>
      <c r="T11" s="32">
        <f t="array" ref="T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388</v>
      </c>
      <c r="U11" s="32">
        <f t="array" ref="U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389</v>
      </c>
      <c r="V11" s="32">
        <f t="array" ref="V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390</v>
      </c>
      <c r="W11" s="32">
        <f t="array" ref="W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391</v>
      </c>
      <c r="X11" s="32">
        <f t="array" ref="X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392</v>
      </c>
      <c r="Y11" s="32">
        <f t="array" ref="Y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393</v>
      </c>
      <c r="Z11" s="32">
        <f t="array" ref="Z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394</v>
      </c>
      <c r="AA11" s="32">
        <f t="array" ref="AA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395</v>
      </c>
      <c r="AB11" s="32">
        <f t="array" ref="AB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396</v>
      </c>
      <c r="AC11" s="32">
        <f t="array" ref="AC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397</v>
      </c>
      <c r="AD11" s="32">
        <f t="array" ref="AD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398</v>
      </c>
      <c r="AE11" s="32">
        <f t="array" ref="AE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399</v>
      </c>
      <c r="AF11" s="32">
        <f t="array" ref="AF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400</v>
      </c>
      <c r="AG11" s="32">
        <f t="array" ref="AG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401</v>
      </c>
      <c r="AH11" s="32">
        <f t="array" ref="AH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402</v>
      </c>
      <c r="AI11" s="32">
        <f t="array" ref="AI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403</v>
      </c>
      <c r="AJ11" s="32">
        <f t="array" ref="AJ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404</v>
      </c>
      <c r="AK11" s="32">
        <f t="array" ref="AK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405</v>
      </c>
      <c r="AL11" s="32">
        <f t="array" ref="AL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406</v>
      </c>
      <c r="AM11" s="32">
        <f t="array" ref="AM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406</v>
      </c>
      <c r="AN11" s="32">
        <f t="array" ref="AN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407</v>
      </c>
      <c r="AO11" s="32">
        <f t="array" ref="AO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408</v>
      </c>
      <c r="AP11" s="32">
        <f t="array" ref="AP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409</v>
      </c>
      <c r="AQ11" s="32">
        <f t="array" ref="AQ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410</v>
      </c>
      <c r="AR11" s="32">
        <f t="array" ref="AR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411</v>
      </c>
      <c r="AS11" s="32">
        <f t="array" ref="AS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412</v>
      </c>
      <c r="AT11" s="32">
        <f t="array" ref="AT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413</v>
      </c>
      <c r="AU11" s="32">
        <f t="array" ref="AU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114</v>
      </c>
      <c r="AV11" s="32">
        <f t="array" ref="AV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115</v>
      </c>
      <c r="AW11" s="32">
        <f t="array" ref="AW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416</v>
      </c>
      <c r="AX11" s="32">
        <f t="array" ref="AX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417</v>
      </c>
      <c r="AY11" s="32">
        <f t="array" ref="AY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418</v>
      </c>
      <c r="AZ11" s="32">
        <f t="array" ref="AZ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419</v>
      </c>
      <c r="BA11" s="32">
        <f t="array" ref="BA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420</v>
      </c>
      <c r="BB11" s="32">
        <f t="array" ref="BB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421</v>
      </c>
      <c r="BC11" s="32">
        <f t="array" ref="BC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422</v>
      </c>
      <c r="BD11" s="32">
        <f t="array" ref="BD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423</v>
      </c>
      <c r="BE11" s="32">
        <f t="array" ref="BE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424</v>
      </c>
      <c r="BF11" s="32">
        <f t="array" ref="BF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425</v>
      </c>
      <c r="BG11" s="32">
        <f t="array" ref="BG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425</v>
      </c>
      <c r="BH11" s="32">
        <f t="array" ref="BH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425</v>
      </c>
      <c r="BI11" s="32">
        <f t="array" ref="BI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426</v>
      </c>
      <c r="BJ11" s="32">
        <f t="array" ref="BJ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427</v>
      </c>
      <c r="BK11" s="32">
        <f t="array" ref="BK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428</v>
      </c>
      <c r="BL11" s="32">
        <f t="array" ref="BL11">IF($E11="","",_xlfn.SWITCH(LEFT(INDEX($B$5:$B$261,$E11),FIND("|",INDEX($B$5:$B$261,$E11))-1),"ابنیه",VLOOKUP(INDEX($D$5:$D$261,$E11),'نمودار ابنیه'!$A$9:$BG$37,COLUMN()-5,FALSE),"مکانیکی",VLOOKUP(INDEX($D$5:$D$261,$E11),'نمودار مکانیکی'!$A$9:$BG$43,COLUMN()-5,FALSE),"برقی",VLOOKUP(INDEX($D$5:$D$261,$E11),'نمودار تاسیسات برقی'!$A$9:$BG$44,COLUMN()-5,FALSE),"خطوط",VLOOKUP(INDEX($D$5:$D$261,$E11),'نمودار خطوط انتقال '!$A$9:$BG$26,COLUMN()-5,FALSE),"شبکه",VLOOKUP(INDEX($D$5:$D$261,$E11),'نمودار شبکه توزیع آ'!$A$9:$BG$22,COLUMN()-5,FALSE),"سد",VLOOKUP(INDEX($D$5:$D$261,$E11),'نمودار سدسازی'!$A$9:$BG$23,COLUMN()-5,FALSE),"فاضلاب",VLOOKUP(INDEX($D$5:$D$261,$E11),'نمودار جمع‌آوری و ا'!$A$9:$BG$26,COLUMN()-5,FALSE),"تجهیزات",VLOOKUP(INDEX($D$5:$D$261,$E11),'نمودار تجهیزات آب و'!$A$9:$BG$42,COLUMN()-5,FALSE),"پست",VLOOKUP(INDEX($D$5:$D$261,$E11),'نمودار پست های انتق'!$A$9:$BG$41,COLUMN()-5,FALSE),"نیرو",VLOOKUP(INDEX($D$5:$D$261,$E11),'نمودار توزیع نیرو ب'!$A$9:$BG$38,COLUMN()-5,FALSE),""))</f>
        <v>429</v>
      </c>
    </row>
    <row r="12" spans="1:64" ht="20" customHeight="1">
      <c r="A12" s="68">
        <v>8</v>
      </c>
      <c r="B12" s="69" t="s">
        <v>7</v>
      </c>
      <c r="C12" s="70" t="b">
        <f t="array" ref="C12">_xlfn.SWITCH(LEFT(B12,FIND("|",B12)-1),"ابنیه",HLOOKUP(D12,'نمودار ابنیه'!$B$5:$AD$6,2,FALSE),"مکانیکی",HLOOKUP(D12,'نمودار مکانیکی'!$B$5:$AJ$6,2,FALSE),"برقی",HLOOKUP(D12,'نمودار تاسیسات برقی'!$B$5:$AK$6,2,FALSE),"خطوط",HLOOKUP(D12,'نمودار خطوط انتقال '!$B$5:$R$6,2,FALSE),"شبکه",HLOOKUP(D12,'نمودار شبکه توزیع آ'!$B$5:$O$6,2,FALSE),"سد",HLOOKUP(D12,'نمودار سدسازی'!$B$5:$P$6,2,FALSE),"فاضلاب",HLOOKUP(D12,'نمودار جمع‌آوری و ا'!$B$5:$S$6,2,FALSE),"تجهیزات",HLOOKUP(D12,'نمودار تجهیزات آب و'!$B$5:$AG$6,2,FALSE),"پست",HLOOKUP(D12,'نمودار پست های انتق'!$B$5:$AH$6,2,FALSE),"نیرو",HLOOKUP(D12,'نمودار توزیع نیرو ب'!$B$5:$AE$6,2,FALSE),FALSE)</f>
        <v>0</v>
      </c>
      <c r="D12" s="71" t="s">
        <v>75</v>
      </c>
      <c r="E12" s="15">
        <f t="array" ref="E12">IFERROR(_xlfn.AGGREGATE(15,6,ROW($C$5:$C$261)/($C$5:$C$261=TRUE),7)-4,"")</f>
        <v>35</v>
      </c>
      <c r="F12" s="72" t="str">
        <f t="array" ref="F12">IF($E12="","",LEFT(INDEX($B$5:$B$261,$E12),FIND("|",INDEX($B$5:$B$261,$E12))-1)&amp;":"&amp;LEFT(INDEX($D$5:$D$261,$E12),20))</f>
        <v>مکانیکی:لوله های مسی</v>
      </c>
      <c r="G12" s="73">
        <f t="array" ref="G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417.5</v>
      </c>
      <c r="H12" s="73">
        <f t="array" ref="H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422.8</v>
      </c>
      <c r="I12" s="73">
        <f t="array" ref="I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511.9</v>
      </c>
      <c r="J12" s="73">
        <f t="array" ref="J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513.29999999999995</v>
      </c>
      <c r="K12" s="73">
        <f t="array" ref="K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526.6</v>
      </c>
      <c r="L12" s="73">
        <f t="array" ref="L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587.9</v>
      </c>
      <c r="M12" s="73">
        <f t="array" ref="M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771</v>
      </c>
      <c r="N12" s="73">
        <f t="array" ref="N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787.8</v>
      </c>
      <c r="O12" s="73">
        <f t="array" ref="O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796.3</v>
      </c>
      <c r="P12" s="73">
        <f t="array" ref="P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756.8</v>
      </c>
      <c r="Q12" s="73">
        <f t="array" ref="Q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745.1</v>
      </c>
      <c r="R12" s="73">
        <f t="array" ref="R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748</v>
      </c>
      <c r="S12" s="73">
        <f t="array" ref="S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821.4</v>
      </c>
      <c r="T12" s="73">
        <f t="array" ref="T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844.9</v>
      </c>
      <c r="U12" s="73">
        <f t="array" ref="U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811.8</v>
      </c>
      <c r="V12" s="73">
        <f t="array" ref="V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779.1</v>
      </c>
      <c r="W12" s="73">
        <f t="array" ref="W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785.8</v>
      </c>
      <c r="X12" s="73">
        <f t="array" ref="X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731.6</v>
      </c>
      <c r="Y12" s="73">
        <f t="array" ref="Y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697.7</v>
      </c>
      <c r="Z12" s="73">
        <f t="array" ref="Z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690.4</v>
      </c>
      <c r="AA12" s="73">
        <f t="array" ref="AA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684.4</v>
      </c>
      <c r="AB12" s="73">
        <f t="array" ref="AB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698.9</v>
      </c>
      <c r="AC12" s="73">
        <f t="array" ref="AC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769.6</v>
      </c>
      <c r="AD12" s="73">
        <f t="array" ref="AD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824.6</v>
      </c>
      <c r="AE12" s="73">
        <f t="array" ref="AE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852.7</v>
      </c>
      <c r="AF12" s="73">
        <f t="array" ref="AF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923.6</v>
      </c>
      <c r="AG12" s="73">
        <f t="array" ref="AG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1032.4000000000001</v>
      </c>
      <c r="AH12" s="73">
        <f t="array" ref="AH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1073.0999999999999</v>
      </c>
      <c r="AI12" s="73">
        <f t="array" ref="AI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1131.2</v>
      </c>
      <c r="AJ12" s="73">
        <f t="array" ref="AJ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1270.0999999999999</v>
      </c>
      <c r="AK12" s="73">
        <f t="array" ref="AK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1360.1</v>
      </c>
      <c r="AL12" s="73">
        <f t="array" ref="AL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1449.9</v>
      </c>
      <c r="AM12" s="73">
        <f t="array" ref="AM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1874.1</v>
      </c>
      <c r="AN12" s="73">
        <f t="array" ref="AN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1768.7</v>
      </c>
      <c r="AO12" s="73">
        <f t="array" ref="AO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2242.1</v>
      </c>
      <c r="AP12" s="73">
        <f t="array" ref="AP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2273.1</v>
      </c>
      <c r="AQ12" s="73">
        <f t="array" ref="AQ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2112.1</v>
      </c>
      <c r="AR12" s="73">
        <f t="array" ref="AR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2197.8000000000002</v>
      </c>
      <c r="AS12" s="73">
        <f t="array" ref="AS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2516.6999999999998</v>
      </c>
      <c r="AT12" s="73">
        <f t="array" ref="AT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2793.2</v>
      </c>
      <c r="AU12" s="73">
        <f t="array" ref="AU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3164.7</v>
      </c>
      <c r="AV12" s="73">
        <f t="array" ref="AV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3735.3</v>
      </c>
      <c r="AW12" s="73">
        <f t="array" ref="AW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4798.2</v>
      </c>
      <c r="AX12" s="73">
        <f t="array" ref="AX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5559.2</v>
      </c>
      <c r="AY12" s="73">
        <f t="array" ref="AY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6073.9</v>
      </c>
      <c r="AZ12" s="73">
        <f t="array" ref="AZ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6200</v>
      </c>
      <c r="BA12" s="73">
        <f t="array" ref="BA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6521.4</v>
      </c>
      <c r="BB12" s="73">
        <f t="array" ref="BB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6809.8</v>
      </c>
      <c r="BC12" s="73">
        <f t="array" ref="BC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7388.8</v>
      </c>
      <c r="BD12" s="73">
        <f t="array" ref="BD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7247.4</v>
      </c>
      <c r="BE12" s="73">
        <f t="array" ref="BE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8068.4</v>
      </c>
      <c r="BF12" s="73">
        <f t="array" ref="BF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9094.7000000000007</v>
      </c>
      <c r="BG12" s="73">
        <f t="array" ref="BG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10244.1</v>
      </c>
      <c r="BH12" s="73">
        <f t="array" ref="BH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11244</v>
      </c>
      <c r="BI12" s="73">
        <f t="array" ref="BI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10801.1</v>
      </c>
      <c r="BJ12" s="73">
        <f t="array" ref="BJ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10580.8</v>
      </c>
      <c r="BK12" s="73">
        <f t="array" ref="BK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10446.700000000001</v>
      </c>
      <c r="BL12" s="73">
        <f t="array" ref="BL12">IF($E12="","",_xlfn.SWITCH(LEFT(INDEX($B$5:$B$261,$E12),FIND("|",INDEX($B$5:$B$261,$E12))-1),"ابنیه",VLOOKUP(INDEX($D$5:$D$261,$E12),'نمودار ابنیه'!$A$9:$BG$37,COLUMN()-5,FALSE),"مکانیکی",VLOOKUP(INDEX($D$5:$D$261,$E12),'نمودار مکانیکی'!$A$9:$BG$43,COLUMN()-5,FALSE),"برقی",VLOOKUP(INDEX($D$5:$D$261,$E12),'نمودار تاسیسات برقی'!$A$9:$BG$44,COLUMN()-5,FALSE),"خطوط",VLOOKUP(INDEX($D$5:$D$261,$E12),'نمودار خطوط انتقال '!$A$9:$BG$26,COLUMN()-5,FALSE),"شبکه",VLOOKUP(INDEX($D$5:$D$261,$E12),'نمودار شبکه توزیع آ'!$A$9:$BG$22,COLUMN()-5,FALSE),"سد",VLOOKUP(INDEX($D$5:$D$261,$E12),'نمودار سدسازی'!$A$9:$BG$23,COLUMN()-5,FALSE),"فاضلاب",VLOOKUP(INDEX($D$5:$D$261,$E12),'نمودار جمع‌آوری و ا'!$A$9:$BG$26,COLUMN()-5,FALSE),"تجهیزات",VLOOKUP(INDEX($D$5:$D$261,$E12),'نمودار تجهیزات آب و'!$A$9:$BG$42,COLUMN()-5,FALSE),"پست",VLOOKUP(INDEX($D$5:$D$261,$E12),'نمودار پست های انتق'!$A$9:$BG$41,COLUMN()-5,FALSE),"نیرو",VLOOKUP(INDEX($D$5:$D$261,$E12),'نمودار توزیع نیرو ب'!$A$9:$BG$38,COLUMN()-5,FALSE),""))</f>
        <v>10657.7</v>
      </c>
    </row>
    <row r="13" spans="1:64" ht="20" customHeight="1">
      <c r="A13" s="25">
        <v>9</v>
      </c>
      <c r="B13" s="26" t="s">
        <v>7</v>
      </c>
      <c r="C13" s="27" t="b">
        <f t="array" ref="C13">_xlfn.SWITCH(LEFT(B13,FIND("|",B13)-1),"ابنیه",HLOOKUP(D13,'نمودار ابنیه'!$B$5:$AD$6,2,FALSE),"مکانیکی",HLOOKUP(D13,'نمودار مکانیکی'!$B$5:$AJ$6,2,FALSE),"برقی",HLOOKUP(D13,'نمودار تاسیسات برقی'!$B$5:$AK$6,2,FALSE),"خطوط",HLOOKUP(D13,'نمودار خطوط انتقال '!$B$5:$R$6,2,FALSE),"شبکه",HLOOKUP(D13,'نمودار شبکه توزیع آ'!$B$5:$O$6,2,FALSE),"سد",HLOOKUP(D13,'نمودار سدسازی'!$B$5:$P$6,2,FALSE),"فاضلاب",HLOOKUP(D13,'نمودار جمع‌آوری و ا'!$B$5:$S$6,2,FALSE),"تجهیزات",HLOOKUP(D13,'نمودار تجهیزات آب و'!$B$5:$AG$6,2,FALSE),"پست",HLOOKUP(D13,'نمودار پست های انتق'!$B$5:$AH$6,2,FALSE),"نیرو",HLOOKUP(D13,'نمودار توزیع نیرو ب'!$B$5:$AE$6,2,FALSE),FALSE)</f>
        <v>1</v>
      </c>
      <c r="D13" s="28" t="s">
        <v>76</v>
      </c>
      <c r="E13" s="15">
        <f t="array" ref="E13">IFERROR(_xlfn.AGGREGATE(15,6,ROW($C$5:$C$261)/($C$5:$C$261=TRUE),8)-4,"")</f>
        <v>36</v>
      </c>
      <c r="F13" s="29" t="str">
        <f t="array" ref="F13">IF($E13="","",LEFT(INDEX($B$5:$B$261,$E13),FIND("|",INDEX($B$5:$B$261,$E13))-1)&amp;":"&amp;LEFT(INDEX($D$5:$D$261,$E13),20))</f>
        <v>مکانیکی:شیرها</v>
      </c>
      <c r="G13" s="32">
        <f t="array" ref="G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316.10000000000002</v>
      </c>
      <c r="H13" s="32">
        <f t="array" ref="H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316.8</v>
      </c>
      <c r="I13" s="32">
        <f t="array" ref="I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342.3</v>
      </c>
      <c r="J13" s="32">
        <f t="array" ref="J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365</v>
      </c>
      <c r="K13" s="32">
        <f t="array" ref="K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393</v>
      </c>
      <c r="L13" s="32">
        <f t="array" ref="L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432.5</v>
      </c>
      <c r="M13" s="32">
        <f t="array" ref="M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652.79999999999995</v>
      </c>
      <c r="N13" s="32">
        <f t="array" ref="N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660.2</v>
      </c>
      <c r="O13" s="32">
        <f t="array" ref="O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666.4</v>
      </c>
      <c r="P13" s="32">
        <f t="array" ref="P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667.2</v>
      </c>
      <c r="Q13" s="32">
        <f t="array" ref="Q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709.2</v>
      </c>
      <c r="R13" s="32">
        <f t="array" ref="R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710.5</v>
      </c>
      <c r="S13" s="32">
        <f t="array" ref="S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719</v>
      </c>
      <c r="T13" s="32">
        <f t="array" ref="T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720.1</v>
      </c>
      <c r="U13" s="32">
        <f t="array" ref="U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713.8</v>
      </c>
      <c r="V13" s="32">
        <f t="array" ref="V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714.6</v>
      </c>
      <c r="W13" s="32">
        <f t="array" ref="W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775.6</v>
      </c>
      <c r="X13" s="32">
        <f t="array" ref="X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776.1</v>
      </c>
      <c r="Y13" s="32">
        <f t="array" ref="Y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776.4</v>
      </c>
      <c r="Z13" s="32">
        <f t="array" ref="Z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776.8</v>
      </c>
      <c r="AA13" s="32">
        <f t="array" ref="AA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787.5</v>
      </c>
      <c r="AB13" s="32">
        <f t="array" ref="AB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788.3</v>
      </c>
      <c r="AC13" s="32">
        <f t="array" ref="AC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750.7</v>
      </c>
      <c r="AD13" s="32">
        <f t="array" ref="AD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806.2</v>
      </c>
      <c r="AE13" s="32">
        <f t="array" ref="AE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831.8</v>
      </c>
      <c r="AF13" s="32">
        <f t="array" ref="AF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832</v>
      </c>
      <c r="AG13" s="32">
        <f t="array" ref="AG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906.5</v>
      </c>
      <c r="AH13" s="32">
        <f t="array" ref="AH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911.9</v>
      </c>
      <c r="AI13" s="32">
        <f t="array" ref="AI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1159.8</v>
      </c>
      <c r="AJ13" s="32">
        <f t="array" ref="AJ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1466.6</v>
      </c>
      <c r="AK13" s="32">
        <f t="array" ref="AK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1700.4</v>
      </c>
      <c r="AL13" s="32">
        <f t="array" ref="AL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1825.5</v>
      </c>
      <c r="AM13" s="32">
        <f t="array" ref="AM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1913.4</v>
      </c>
      <c r="AN13" s="32">
        <f t="array" ref="AN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1917.4</v>
      </c>
      <c r="AO13" s="32">
        <f t="array" ref="AO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2158.1</v>
      </c>
      <c r="AP13" s="32">
        <f t="array" ref="AP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2163.6999999999998</v>
      </c>
      <c r="AQ13" s="32">
        <f t="array" ref="AQ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2325.8000000000002</v>
      </c>
      <c r="AR13" s="32">
        <f t="array" ref="AR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2334.6999999999998</v>
      </c>
      <c r="AS13" s="32">
        <f t="array" ref="AS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2685.2</v>
      </c>
      <c r="AT13" s="32">
        <f t="array" ref="AT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2772.8</v>
      </c>
      <c r="AU13" s="32">
        <f t="array" ref="AU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3274</v>
      </c>
      <c r="AV13" s="32">
        <f t="array" ref="AV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3303.4</v>
      </c>
      <c r="AW13" s="32">
        <f t="array" ref="AW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3654</v>
      </c>
      <c r="AX13" s="32">
        <f t="array" ref="AX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3666.1</v>
      </c>
      <c r="AY13" s="32">
        <f t="array" ref="AY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4384.3999999999996</v>
      </c>
      <c r="AZ13" s="32">
        <f t="array" ref="AZ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4512</v>
      </c>
      <c r="BA13" s="32">
        <f t="array" ref="BA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4540.3</v>
      </c>
      <c r="BB13" s="32">
        <f t="array" ref="BB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5066.3999999999996</v>
      </c>
      <c r="BC13" s="32">
        <f t="array" ref="BC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5855.5</v>
      </c>
      <c r="BD13" s="32">
        <f t="array" ref="BD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5962.3</v>
      </c>
      <c r="BE13" s="32">
        <f t="array" ref="BE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6252.1</v>
      </c>
      <c r="BF13" s="32">
        <f t="array" ref="BF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6970.6</v>
      </c>
      <c r="BG13" s="32">
        <f t="array" ref="BG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6973.3</v>
      </c>
      <c r="BH13" s="32">
        <f t="array" ref="BH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6976.7</v>
      </c>
      <c r="BI13" s="32">
        <f t="array" ref="BI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7087.5</v>
      </c>
      <c r="BJ13" s="32">
        <f t="array" ref="BJ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7111.4</v>
      </c>
      <c r="BK13" s="32">
        <f t="array" ref="BK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7945</v>
      </c>
      <c r="BL13" s="32">
        <f t="array" ref="BL13">IF($E13="","",_xlfn.SWITCH(LEFT(INDEX($B$5:$B$261,$E13),FIND("|",INDEX($B$5:$B$261,$E13))-1),"ابنیه",VLOOKUP(INDEX($D$5:$D$261,$E13),'نمودار ابنیه'!$A$9:$BG$37,COLUMN()-5,FALSE),"مکانیکی",VLOOKUP(INDEX($D$5:$D$261,$E13),'نمودار مکانیکی'!$A$9:$BG$43,COLUMN()-5,FALSE),"برقی",VLOOKUP(INDEX($D$5:$D$261,$E13),'نمودار تاسیسات برقی'!$A$9:$BG$44,COLUMN()-5,FALSE),"خطوط",VLOOKUP(INDEX($D$5:$D$261,$E13),'نمودار خطوط انتقال '!$A$9:$BG$26,COLUMN()-5,FALSE),"شبکه",VLOOKUP(INDEX($D$5:$D$261,$E13),'نمودار شبکه توزیع آ'!$A$9:$BG$22,COLUMN()-5,FALSE),"سد",VLOOKUP(INDEX($D$5:$D$261,$E13),'نمودار سدسازی'!$A$9:$BG$23,COLUMN()-5,FALSE),"فاضلاب",VLOOKUP(INDEX($D$5:$D$261,$E13),'نمودار جمع‌آوری و ا'!$A$9:$BG$26,COLUMN()-5,FALSE),"تجهیزات",VLOOKUP(INDEX($D$5:$D$261,$E13),'نمودار تجهیزات آب و'!$A$9:$BG$42,COLUMN()-5,FALSE),"پست",VLOOKUP(INDEX($D$5:$D$261,$E13),'نمودار پست های انتق'!$A$9:$BG$41,COLUMN()-5,FALSE),"نیرو",VLOOKUP(INDEX($D$5:$D$261,$E13),'نمودار توزیع نیرو ب'!$A$9:$BG$38,COLUMN()-5,FALSE),""))</f>
        <v>7958.2</v>
      </c>
    </row>
    <row r="14" spans="1:64" ht="20" customHeight="1">
      <c r="A14" s="68">
        <v>10</v>
      </c>
      <c r="B14" s="69" t="s">
        <v>7</v>
      </c>
      <c r="C14" s="70" t="b">
        <f t="array" ref="C14">_xlfn.SWITCH(LEFT(B14,FIND("|",B14)-1),"ابنیه",HLOOKUP(D14,'نمودار ابنیه'!$B$5:$AD$6,2,FALSE),"مکانیکی",HLOOKUP(D14,'نمودار مکانیکی'!$B$5:$AJ$6,2,FALSE),"برقی",HLOOKUP(D14,'نمودار تاسیسات برقی'!$B$5:$AK$6,2,FALSE),"خطوط",HLOOKUP(D14,'نمودار خطوط انتقال '!$B$5:$R$6,2,FALSE),"شبکه",HLOOKUP(D14,'نمودار شبکه توزیع آ'!$B$5:$O$6,2,FALSE),"سد",HLOOKUP(D14,'نمودار سدسازی'!$B$5:$P$6,2,FALSE),"فاضلاب",HLOOKUP(D14,'نمودار جمع‌آوری و ا'!$B$5:$S$6,2,FALSE),"تجهیزات",HLOOKUP(D14,'نمودار تجهیزات آب و'!$B$5:$AG$6,2,FALSE),"پست",HLOOKUP(D14,'نمودار پست های انتق'!$B$5:$AH$6,2,FALSE),"نیرو",HLOOKUP(D14,'نمودار توزیع نیرو ب'!$B$5:$AE$6,2,FALSE),FALSE)</f>
        <v>0</v>
      </c>
      <c r="D14" s="71" t="s">
        <v>77</v>
      </c>
      <c r="E14" s="15">
        <f t="array" ref="E14">IFERROR(_xlfn.AGGREGATE(15,6,ROW($C$5:$C$261)/($C$5:$C$261=TRUE),9)-4,"")</f>
        <v>63</v>
      </c>
      <c r="F14" s="72" t="str">
        <f t="array" ref="F14">IF($E14="","",LEFT(INDEX($B$5:$B$261,$E14),FIND("|",INDEX($B$5:$B$261,$E14))-1)&amp;":"&amp;LEFT(INDEX($D$5:$D$261,$E14),20))</f>
        <v>برقی:چراغ های فلورسنت</v>
      </c>
      <c r="G14" s="73">
        <f t="array" ref="G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219</v>
      </c>
      <c r="H14" s="73">
        <f t="array" ref="H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219.3</v>
      </c>
      <c r="I14" s="73">
        <f t="array" ref="I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219.8</v>
      </c>
      <c r="J14" s="73">
        <f t="array" ref="J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249.5</v>
      </c>
      <c r="K14" s="73">
        <f t="array" ref="K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287.89999999999998</v>
      </c>
      <c r="L14" s="73">
        <f t="array" ref="L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334.4</v>
      </c>
      <c r="M14" s="73">
        <f t="array" ref="M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348.6</v>
      </c>
      <c r="N14" s="73">
        <f t="array" ref="N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349.3</v>
      </c>
      <c r="O14" s="73">
        <f t="array" ref="O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385.2</v>
      </c>
      <c r="P14" s="73">
        <f t="array" ref="P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385.9</v>
      </c>
      <c r="Q14" s="73">
        <f t="array" ref="Q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387.3</v>
      </c>
      <c r="R14" s="73">
        <f t="array" ref="R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388.5</v>
      </c>
      <c r="S14" s="73">
        <f t="array" ref="S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429.3</v>
      </c>
      <c r="T14" s="73">
        <f t="array" ref="T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430.2</v>
      </c>
      <c r="U14" s="73">
        <f t="array" ref="U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431.4</v>
      </c>
      <c r="V14" s="73">
        <f t="array" ref="V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432</v>
      </c>
      <c r="W14" s="73">
        <f t="array" ref="W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449.9</v>
      </c>
      <c r="X14" s="73">
        <f t="array" ref="X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450.5</v>
      </c>
      <c r="Y14" s="73">
        <f t="array" ref="Y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457</v>
      </c>
      <c r="Z14" s="73">
        <f t="array" ref="Z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457.5</v>
      </c>
      <c r="AA14" s="73">
        <f t="array" ref="AA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461.9</v>
      </c>
      <c r="AB14" s="73">
        <f t="array" ref="AB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462.6</v>
      </c>
      <c r="AC14" s="73">
        <f t="array" ref="AC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508.4</v>
      </c>
      <c r="AD14" s="73">
        <f t="array" ref="AD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508.9</v>
      </c>
      <c r="AE14" s="73">
        <f t="array" ref="AE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563.29999999999995</v>
      </c>
      <c r="AF14" s="73">
        <f t="array" ref="AF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559.5</v>
      </c>
      <c r="AG14" s="73">
        <f t="array" ref="AG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560.20000000000005</v>
      </c>
      <c r="AH14" s="73">
        <f t="array" ref="AH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601</v>
      </c>
      <c r="AI14" s="73">
        <f t="array" ref="AI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733.7</v>
      </c>
      <c r="AJ14" s="73">
        <f t="array" ref="AJ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760.6</v>
      </c>
      <c r="AK14" s="73">
        <f t="array" ref="AK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887.1</v>
      </c>
      <c r="AL14" s="73">
        <f t="array" ref="AL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924.4</v>
      </c>
      <c r="AM14" s="73">
        <f t="array" ref="AM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936.9</v>
      </c>
      <c r="AN14" s="73">
        <f t="array" ref="AN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992.5</v>
      </c>
      <c r="AO14" s="73">
        <f t="array" ref="AO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1082.5</v>
      </c>
      <c r="AP14" s="73">
        <f t="array" ref="AP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1150.0999999999999</v>
      </c>
      <c r="AQ14" s="73">
        <f t="array" ref="AQ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1163</v>
      </c>
      <c r="AR14" s="73">
        <f t="array" ref="AR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1192.3</v>
      </c>
      <c r="AS14" s="73">
        <f t="array" ref="AS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1400.6</v>
      </c>
      <c r="AT14" s="73">
        <f t="array" ref="AT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1604.3</v>
      </c>
      <c r="AU14" s="73">
        <f t="array" ref="AU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1668.2</v>
      </c>
      <c r="AV14" s="73">
        <f t="array" ref="AV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1849.3</v>
      </c>
      <c r="AW14" s="73">
        <f t="array" ref="AW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1998</v>
      </c>
      <c r="AX14" s="73">
        <f t="array" ref="AX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2108.9</v>
      </c>
      <c r="AY14" s="73">
        <f t="array" ref="AY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2392.6999999999998</v>
      </c>
      <c r="AZ14" s="73">
        <f t="array" ref="AZ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2505</v>
      </c>
      <c r="BA14" s="73">
        <f t="array" ref="BA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2526.8000000000002</v>
      </c>
      <c r="BB14" s="73">
        <f t="array" ref="BB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2607.9</v>
      </c>
      <c r="BC14" s="73">
        <f t="array" ref="BC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2812.4</v>
      </c>
      <c r="BD14" s="73">
        <f t="array" ref="BD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2951.3</v>
      </c>
      <c r="BE14" s="73">
        <f t="array" ref="BE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3292.7</v>
      </c>
      <c r="BF14" s="73">
        <f t="array" ref="BF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3546.4</v>
      </c>
      <c r="BG14" s="73">
        <f t="array" ref="BG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3781.8</v>
      </c>
      <c r="BH14" s="73">
        <f t="array" ref="BH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4017.1</v>
      </c>
      <c r="BI14" s="73">
        <f t="array" ref="BI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4336.3</v>
      </c>
      <c r="BJ14" s="73">
        <f t="array" ref="BJ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4356.5</v>
      </c>
      <c r="BK14" s="73">
        <f t="array" ref="BK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4571.7</v>
      </c>
      <c r="BL14" s="73">
        <f t="array" ref="BL14">IF($E14="","",_xlfn.SWITCH(LEFT(INDEX($B$5:$B$261,$E14),FIND("|",INDEX($B$5:$B$261,$E14))-1),"ابنیه",VLOOKUP(INDEX($D$5:$D$261,$E14),'نمودار ابنیه'!$A$9:$BG$37,COLUMN()-5,FALSE),"مکانیکی",VLOOKUP(INDEX($D$5:$D$261,$E14),'نمودار مکانیکی'!$A$9:$BG$43,COLUMN()-5,FALSE),"برقی",VLOOKUP(INDEX($D$5:$D$261,$E14),'نمودار تاسیسات برقی'!$A$9:$BG$44,COLUMN()-5,FALSE),"خطوط",VLOOKUP(INDEX($D$5:$D$261,$E14),'نمودار خطوط انتقال '!$A$9:$BG$26,COLUMN()-5,FALSE),"شبکه",VLOOKUP(INDEX($D$5:$D$261,$E14),'نمودار شبکه توزیع آ'!$A$9:$BG$22,COLUMN()-5,FALSE),"سد",VLOOKUP(INDEX($D$5:$D$261,$E14),'نمودار سدسازی'!$A$9:$BG$23,COLUMN()-5,FALSE),"فاضلاب",VLOOKUP(INDEX($D$5:$D$261,$E14),'نمودار جمع‌آوری و ا'!$A$9:$BG$26,COLUMN()-5,FALSE),"تجهیزات",VLOOKUP(INDEX($D$5:$D$261,$E14),'نمودار تجهیزات آب و'!$A$9:$BG$42,COLUMN()-5,FALSE),"پست",VLOOKUP(INDEX($D$5:$D$261,$E14),'نمودار پست های انتق'!$A$9:$BG$41,COLUMN()-5,FALSE),"نیرو",VLOOKUP(INDEX($D$5:$D$261,$E14),'نمودار توزیع نیرو ب'!$A$9:$BG$38,COLUMN()-5,FALSE),""))</f>
        <v>4582.8</v>
      </c>
    </row>
    <row r="15" spans="1:64" ht="20" customHeight="1">
      <c r="A15" s="25">
        <v>11</v>
      </c>
      <c r="B15" s="26" t="s">
        <v>7</v>
      </c>
      <c r="C15" s="27" t="b">
        <f t="array" ref="C15">_xlfn.SWITCH(LEFT(B15,FIND("|",B15)-1),"ابنیه",HLOOKUP(D15,'نمودار ابنیه'!$B$5:$AD$6,2,FALSE),"مکانیکی",HLOOKUP(D15,'نمودار مکانیکی'!$B$5:$AJ$6,2,FALSE),"برقی",HLOOKUP(D15,'نمودار تاسیسات برقی'!$B$5:$AK$6,2,FALSE),"خطوط",HLOOKUP(D15,'نمودار خطوط انتقال '!$B$5:$R$6,2,FALSE),"شبکه",HLOOKUP(D15,'نمودار شبکه توزیع آ'!$B$5:$O$6,2,FALSE),"سد",HLOOKUP(D15,'نمودار سدسازی'!$B$5:$P$6,2,FALSE),"فاضلاب",HLOOKUP(D15,'نمودار جمع‌آوری و ا'!$B$5:$S$6,2,FALSE),"تجهیزات",HLOOKUP(D15,'نمودار تجهیزات آب و'!$B$5:$AG$6,2,FALSE),"پست",HLOOKUP(D15,'نمودار پست های انتق'!$B$5:$AH$6,2,FALSE),"نیرو",HLOOKUP(D15,'نمودار توزیع نیرو ب'!$B$5:$AE$6,2,FALSE),FALSE)</f>
        <v>0</v>
      </c>
      <c r="D15" s="28" t="s">
        <v>78</v>
      </c>
      <c r="E15" s="15">
        <f t="array" ref="E15">IFERROR(_xlfn.AGGREGATE(15,6,ROW($C$5:$C$261)/($C$5:$C$261=TRUE),10)-4,"")</f>
        <v>64</v>
      </c>
      <c r="F15" s="29" t="str">
        <f t="array" ref="F15">IF($E15="","",LEFT(INDEX($B$5:$B$261,$E15),FIND("|",INDEX($B$5:$B$261,$E15))-1)&amp;":"&amp;LEFT(INDEX($D$5:$D$261,$E15),20))</f>
        <v>برقی:چراغ ها با لامپهای ک</v>
      </c>
      <c r="G15" s="32">
        <f t="array" ref="G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268.3</v>
      </c>
      <c r="H15" s="32">
        <f t="array" ref="H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269.3</v>
      </c>
      <c r="I15" s="32">
        <f t="array" ref="I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271.10000000000002</v>
      </c>
      <c r="J15" s="32">
        <f t="array" ref="J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296.7</v>
      </c>
      <c r="K15" s="32">
        <f t="array" ref="K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358.4</v>
      </c>
      <c r="L15" s="32">
        <f t="array" ref="L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397.7</v>
      </c>
      <c r="M15" s="32">
        <f t="array" ref="M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469.7</v>
      </c>
      <c r="N15" s="32">
        <f t="array" ref="N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471.8</v>
      </c>
      <c r="O15" s="32">
        <f t="array" ref="O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522.1</v>
      </c>
      <c r="P15" s="32">
        <f t="array" ref="P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524.70000000000005</v>
      </c>
      <c r="Q15" s="32">
        <f t="array" ref="Q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530.20000000000005</v>
      </c>
      <c r="R15" s="32">
        <f t="array" ref="R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535.1</v>
      </c>
      <c r="S15" s="32">
        <f t="array" ref="S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597.70000000000005</v>
      </c>
      <c r="T15" s="32">
        <f t="array" ref="T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600.79999999999995</v>
      </c>
      <c r="U15" s="32">
        <f t="array" ref="U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604</v>
      </c>
      <c r="V15" s="32">
        <f t="array" ref="V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606.9</v>
      </c>
      <c r="W15" s="32">
        <f t="array" ref="W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642.20000000000005</v>
      </c>
      <c r="X15" s="32">
        <f t="array" ref="X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644.1</v>
      </c>
      <c r="Y15" s="32">
        <f t="array" ref="Y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646.1</v>
      </c>
      <c r="Z15" s="32">
        <f t="array" ref="Z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648</v>
      </c>
      <c r="AA15" s="32">
        <f t="array" ref="AA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666.9</v>
      </c>
      <c r="AB15" s="32">
        <f t="array" ref="AB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669.1</v>
      </c>
      <c r="AC15" s="32">
        <f t="array" ref="AC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701.1</v>
      </c>
      <c r="AD15" s="32">
        <f t="array" ref="AD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703.2</v>
      </c>
      <c r="AE15" s="32">
        <f t="array" ref="AE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747.6</v>
      </c>
      <c r="AF15" s="32">
        <f t="array" ref="AF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773.4</v>
      </c>
      <c r="AG15" s="32">
        <f t="array" ref="AG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771.2</v>
      </c>
      <c r="AH15" s="32">
        <f t="array" ref="AH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787.5</v>
      </c>
      <c r="AI15" s="32">
        <f t="array" ref="AI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948.3</v>
      </c>
      <c r="AJ15" s="32">
        <f t="array" ref="AJ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984.1</v>
      </c>
      <c r="AK15" s="32">
        <f t="array" ref="AK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1104.4000000000001</v>
      </c>
      <c r="AL15" s="32">
        <f t="array" ref="AL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1140.9000000000001</v>
      </c>
      <c r="AM15" s="32">
        <f t="array" ref="AM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1156.9000000000001</v>
      </c>
      <c r="AN15" s="32">
        <f t="array" ref="AN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1214.8</v>
      </c>
      <c r="AO15" s="32">
        <f t="array" ref="AO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1366.1</v>
      </c>
      <c r="AP15" s="32">
        <f t="array" ref="AP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1462.2</v>
      </c>
      <c r="AQ15" s="32">
        <f t="array" ref="AQ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1467.1</v>
      </c>
      <c r="AR15" s="32">
        <f t="array" ref="AR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1491.6</v>
      </c>
      <c r="AS15" s="32">
        <f t="array" ref="AS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1731.9</v>
      </c>
      <c r="AT15" s="32">
        <f t="array" ref="AT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2002.5</v>
      </c>
      <c r="AU15" s="32">
        <f t="array" ref="AU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2159.5</v>
      </c>
      <c r="AV15" s="32">
        <f t="array" ref="AV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2338.4</v>
      </c>
      <c r="AW15" s="32">
        <f t="array" ref="AW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2394.3000000000002</v>
      </c>
      <c r="AX15" s="32">
        <f t="array" ref="AX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2566</v>
      </c>
      <c r="AY15" s="32">
        <f t="array" ref="AY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2995.4</v>
      </c>
      <c r="AZ15" s="32">
        <f t="array" ref="AZ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3132.9</v>
      </c>
      <c r="BA15" s="32">
        <f t="array" ref="BA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3153.4</v>
      </c>
      <c r="BB15" s="32">
        <f t="array" ref="BB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3232.1</v>
      </c>
      <c r="BC15" s="32">
        <f t="array" ref="BC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3630.9</v>
      </c>
      <c r="BD15" s="32">
        <f t="array" ref="BD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3729.3</v>
      </c>
      <c r="BE15" s="32">
        <f t="array" ref="BE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4188.3</v>
      </c>
      <c r="BF15" s="32">
        <f t="array" ref="BF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4468.8</v>
      </c>
      <c r="BG15" s="32">
        <f t="array" ref="BG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4695.8</v>
      </c>
      <c r="BH15" s="32">
        <f t="array" ref="BH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4908.3</v>
      </c>
      <c r="BI15" s="32">
        <f t="array" ref="BI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5461</v>
      </c>
      <c r="BJ15" s="32">
        <f t="array" ref="BJ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5516.7</v>
      </c>
      <c r="BK15" s="32">
        <f t="array" ref="BK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5669.3</v>
      </c>
      <c r="BL15" s="32">
        <f t="array" ref="BL15">IF($E15="","",_xlfn.SWITCH(LEFT(INDEX($B$5:$B$261,$E15),FIND("|",INDEX($B$5:$B$261,$E15))-1),"ابنیه",VLOOKUP(INDEX($D$5:$D$261,$E15),'نمودار ابنیه'!$A$9:$BG$37,COLUMN()-5,FALSE),"مکانیکی",VLOOKUP(INDEX($D$5:$D$261,$E15),'نمودار مکانیکی'!$A$9:$BG$43,COLUMN()-5,FALSE),"برقی",VLOOKUP(INDEX($D$5:$D$261,$E15),'نمودار تاسیسات برقی'!$A$9:$BG$44,COLUMN()-5,FALSE),"خطوط",VLOOKUP(INDEX($D$5:$D$261,$E15),'نمودار خطوط انتقال '!$A$9:$BG$26,COLUMN()-5,FALSE),"شبکه",VLOOKUP(INDEX($D$5:$D$261,$E15),'نمودار شبکه توزیع آ'!$A$9:$BG$22,COLUMN()-5,FALSE),"سد",VLOOKUP(INDEX($D$5:$D$261,$E15),'نمودار سدسازی'!$A$9:$BG$23,COLUMN()-5,FALSE),"فاضلاب",VLOOKUP(INDEX($D$5:$D$261,$E15),'نمودار جمع‌آوری و ا'!$A$9:$BG$26,COLUMN()-5,FALSE),"تجهیزات",VLOOKUP(INDEX($D$5:$D$261,$E15),'نمودار تجهیزات آب و'!$A$9:$BG$42,COLUMN()-5,FALSE),"پست",VLOOKUP(INDEX($D$5:$D$261,$E15),'نمودار پست های انتق'!$A$9:$BG$41,COLUMN()-5,FALSE),"نیرو",VLOOKUP(INDEX($D$5:$D$261,$E15),'نمودار توزیع نیرو ب'!$A$9:$BG$38,COLUMN()-5,FALSE),""))</f>
        <v>5713.6</v>
      </c>
    </row>
    <row r="16" spans="1:64" ht="20" customHeight="1">
      <c r="A16" s="68">
        <v>12</v>
      </c>
      <c r="B16" s="69" t="s">
        <v>7</v>
      </c>
      <c r="C16" s="70" t="b">
        <f t="array" ref="C16">_xlfn.SWITCH(LEFT(B16,FIND("|",B16)-1),"ابنیه",HLOOKUP(D16,'نمودار ابنیه'!$B$5:$AD$6,2,FALSE),"مکانیکی",HLOOKUP(D16,'نمودار مکانیکی'!$B$5:$AJ$6,2,FALSE),"برقی",HLOOKUP(D16,'نمودار تاسیسات برقی'!$B$5:$AK$6,2,FALSE),"خطوط",HLOOKUP(D16,'نمودار خطوط انتقال '!$B$5:$R$6,2,FALSE),"شبکه",HLOOKUP(D16,'نمودار شبکه توزیع آ'!$B$5:$O$6,2,FALSE),"سد",HLOOKUP(D16,'نمودار سدسازی'!$B$5:$P$6,2,FALSE),"فاضلاب",HLOOKUP(D16,'نمودار جمع‌آوری و ا'!$B$5:$S$6,2,FALSE),"تجهیزات",HLOOKUP(D16,'نمودار تجهیزات آب و'!$B$5:$AG$6,2,FALSE),"پست",HLOOKUP(D16,'نمودار پست های انتق'!$B$5:$AH$6,2,FALSE),"نیرو",HLOOKUP(D16,'نمودار توزیع نیرو ب'!$B$5:$AE$6,2,FALSE),FALSE)</f>
        <v>0</v>
      </c>
      <c r="D16" s="71" t="s">
        <v>79</v>
      </c>
      <c r="E16" s="15">
        <f t="array" ref="E16">IFERROR(_xlfn.AGGREGATE(15,6,ROW($C$5:$C$261)/($C$5:$C$261=TRUE),11)-4,"")</f>
        <v>65</v>
      </c>
      <c r="F16" s="72" t="str">
        <f t="array" ref="F16">IF($E16="","",LEFT(INDEX($B$5:$B$261,$E16),FIND("|",INDEX($B$5:$B$261,$E16))-1)&amp;":"&amp;LEFT(INDEX($D$5:$D$261,$E16),20))</f>
        <v>برقی:چراغ های صنعتی</v>
      </c>
      <c r="G16" s="73">
        <f t="array" ref="G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253.6</v>
      </c>
      <c r="H16" s="73">
        <f t="array" ref="H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254.1</v>
      </c>
      <c r="I16" s="73">
        <f t="array" ref="I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254.7</v>
      </c>
      <c r="J16" s="73">
        <f t="array" ref="J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288.10000000000002</v>
      </c>
      <c r="K16" s="73">
        <f t="array" ref="K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350</v>
      </c>
      <c r="L16" s="73">
        <f t="array" ref="L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398.3</v>
      </c>
      <c r="M16" s="73">
        <f t="array" ref="M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411.6</v>
      </c>
      <c r="N16" s="73">
        <f t="array" ref="N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412.5</v>
      </c>
      <c r="O16" s="73">
        <f t="array" ref="O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455.3</v>
      </c>
      <c r="P16" s="73">
        <f t="array" ref="P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456.4</v>
      </c>
      <c r="Q16" s="73">
        <f t="array" ref="Q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458.4</v>
      </c>
      <c r="R16" s="73">
        <f t="array" ref="R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460.3</v>
      </c>
      <c r="S16" s="73">
        <f t="array" ref="S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525.1</v>
      </c>
      <c r="T16" s="73">
        <f t="array" ref="T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526.4</v>
      </c>
      <c r="U16" s="73">
        <f t="array" ref="U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512.20000000000005</v>
      </c>
      <c r="V16" s="73">
        <f t="array" ref="V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513.20000000000005</v>
      </c>
      <c r="W16" s="73">
        <f t="array" ref="W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536.6</v>
      </c>
      <c r="X16" s="73">
        <f t="array" ref="X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537.5</v>
      </c>
      <c r="Y16" s="73">
        <f t="array" ref="Y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539.79999999999995</v>
      </c>
      <c r="Z16" s="73">
        <f t="array" ref="Z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540.4</v>
      </c>
      <c r="AA16" s="73">
        <f t="array" ref="AA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561</v>
      </c>
      <c r="AB16" s="73">
        <f t="array" ref="AB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561.9</v>
      </c>
      <c r="AC16" s="73">
        <f t="array" ref="AC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591.6</v>
      </c>
      <c r="AD16" s="73">
        <f t="array" ref="AD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592.29999999999995</v>
      </c>
      <c r="AE16" s="73">
        <f t="array" ref="AE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625.1</v>
      </c>
      <c r="AF16" s="73">
        <f t="array" ref="AF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651.4</v>
      </c>
      <c r="AG16" s="73">
        <f t="array" ref="AG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652.29999999999995</v>
      </c>
      <c r="AH16" s="73">
        <f t="array" ref="AH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678.2</v>
      </c>
      <c r="AI16" s="73">
        <f t="array" ref="AI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849.3</v>
      </c>
      <c r="AJ16" s="73">
        <f t="array" ref="AJ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934.2</v>
      </c>
      <c r="AK16" s="73">
        <f t="array" ref="AK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1044.8</v>
      </c>
      <c r="AL16" s="73">
        <f t="array" ref="AL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1091</v>
      </c>
      <c r="AM16" s="73">
        <f t="array" ref="AM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1162.5999999999999</v>
      </c>
      <c r="AN16" s="73">
        <f t="array" ref="AN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1280.8</v>
      </c>
      <c r="AO16" s="73">
        <f t="array" ref="AO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1376.6</v>
      </c>
      <c r="AP16" s="73">
        <f t="array" ref="AP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1486.7</v>
      </c>
      <c r="AQ16" s="73">
        <f t="array" ref="AQ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1490.6</v>
      </c>
      <c r="AR16" s="73">
        <f t="array" ref="AR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1516.5</v>
      </c>
      <c r="AS16" s="73">
        <f t="array" ref="AS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1753.4</v>
      </c>
      <c r="AT16" s="73">
        <f t="array" ref="AT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1965.9</v>
      </c>
      <c r="AU16" s="73">
        <f t="array" ref="AU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2044.2</v>
      </c>
      <c r="AV16" s="73">
        <f t="array" ref="AV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2304.9</v>
      </c>
      <c r="AW16" s="73">
        <f t="array" ref="AW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2544.1999999999998</v>
      </c>
      <c r="AX16" s="73">
        <f t="array" ref="AX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2335.1999999999998</v>
      </c>
      <c r="AY16" s="73">
        <f t="array" ref="AY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2702.7</v>
      </c>
      <c r="AZ16" s="73">
        <f t="array" ref="AZ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2826.5</v>
      </c>
      <c r="BA16" s="73">
        <f t="array" ref="BA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2828.7</v>
      </c>
      <c r="BB16" s="73">
        <f t="array" ref="BB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2977.4</v>
      </c>
      <c r="BC16" s="73">
        <f t="array" ref="BC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3208.4</v>
      </c>
      <c r="BD16" s="73">
        <f t="array" ref="BD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3377.1</v>
      </c>
      <c r="BE16" s="73">
        <f t="array" ref="BE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3766.6</v>
      </c>
      <c r="BF16" s="73">
        <f t="array" ref="BF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4055.2</v>
      </c>
      <c r="BG16" s="73">
        <f t="array" ref="BG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4317.1000000000004</v>
      </c>
      <c r="BH16" s="73">
        <f t="array" ref="BH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4585.6000000000004</v>
      </c>
      <c r="BI16" s="73">
        <f t="array" ref="BI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5155.7</v>
      </c>
      <c r="BJ16" s="73">
        <f t="array" ref="BJ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5184.8</v>
      </c>
      <c r="BK16" s="73">
        <f t="array" ref="BK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5368.5</v>
      </c>
      <c r="BL16" s="73">
        <f t="array" ref="BL16">IF($E16="","",_xlfn.SWITCH(LEFT(INDEX($B$5:$B$261,$E16),FIND("|",INDEX($B$5:$B$261,$E16))-1),"ابنیه",VLOOKUP(INDEX($D$5:$D$261,$E16),'نمودار ابنیه'!$A$9:$BG$37,COLUMN()-5,FALSE),"مکانیکی",VLOOKUP(INDEX($D$5:$D$261,$E16),'نمودار مکانیکی'!$A$9:$BG$43,COLUMN()-5,FALSE),"برقی",VLOOKUP(INDEX($D$5:$D$261,$E16),'نمودار تاسیسات برقی'!$A$9:$BG$44,COLUMN()-5,FALSE),"خطوط",VLOOKUP(INDEX($D$5:$D$261,$E16),'نمودار خطوط انتقال '!$A$9:$BG$26,COLUMN()-5,FALSE),"شبکه",VLOOKUP(INDEX($D$5:$D$261,$E16),'نمودار شبکه توزیع آ'!$A$9:$BG$22,COLUMN()-5,FALSE),"سد",VLOOKUP(INDEX($D$5:$D$261,$E16),'نمودار سدسازی'!$A$9:$BG$23,COLUMN()-5,FALSE),"فاضلاب",VLOOKUP(INDEX($D$5:$D$261,$E16),'نمودار جمع‌آوری و ا'!$A$9:$BG$26,COLUMN()-5,FALSE),"تجهیزات",VLOOKUP(INDEX($D$5:$D$261,$E16),'نمودار تجهیزات آب و'!$A$9:$BG$42,COLUMN()-5,FALSE),"پست",VLOOKUP(INDEX($D$5:$D$261,$E16),'نمودار پست های انتق'!$A$9:$BG$41,COLUMN()-5,FALSE),"نیرو",VLOOKUP(INDEX($D$5:$D$261,$E16),'نمودار توزیع نیرو ب'!$A$9:$BG$38,COLUMN()-5,FALSE),""))</f>
        <v>5385.2</v>
      </c>
    </row>
    <row r="17" spans="1:64" ht="20" customHeight="1">
      <c r="A17" s="25">
        <v>13</v>
      </c>
      <c r="B17" s="26" t="s">
        <v>7</v>
      </c>
      <c r="C17" s="27" t="b">
        <f t="array" ref="C17">_xlfn.SWITCH(LEFT(B17,FIND("|",B17)-1),"ابنیه",HLOOKUP(D17,'نمودار ابنیه'!$B$5:$AD$6,2,FALSE),"مکانیکی",HLOOKUP(D17,'نمودار مکانیکی'!$B$5:$AJ$6,2,FALSE),"برقی",HLOOKUP(D17,'نمودار تاسیسات برقی'!$B$5:$AK$6,2,FALSE),"خطوط",HLOOKUP(D17,'نمودار خطوط انتقال '!$B$5:$R$6,2,FALSE),"شبکه",HLOOKUP(D17,'نمودار شبکه توزیع آ'!$B$5:$O$6,2,FALSE),"سد",HLOOKUP(D17,'نمودار سدسازی'!$B$5:$P$6,2,FALSE),"فاضلاب",HLOOKUP(D17,'نمودار جمع‌آوری و ا'!$B$5:$S$6,2,FALSE),"تجهیزات",HLOOKUP(D17,'نمودار تجهیزات آب و'!$B$5:$AG$6,2,FALSE),"پست",HLOOKUP(D17,'نمودار پست های انتق'!$B$5:$AH$6,2,FALSE),"نیرو",HLOOKUP(D17,'نمودار توزیع نیرو ب'!$B$5:$AE$6,2,FALSE),FALSE)</f>
        <v>0</v>
      </c>
      <c r="D17" s="28" t="s">
        <v>80</v>
      </c>
      <c r="E17" s="15">
        <f t="array" ref="E17">IFERROR(_xlfn.AGGREGATE(15,6,ROW($C$5:$C$261)/($C$5:$C$261=TRUE),12)-4,"")</f>
        <v>66</v>
      </c>
      <c r="F17" s="29" t="str">
        <f t="array" ref="F17">IF($E17="","",LEFT(INDEX($B$5:$B$261,$E17),FIND("|",INDEX($B$5:$B$261,$E17))-1)&amp;":"&amp;LEFT(INDEX($D$5:$D$261,$E17),20))</f>
        <v>برقی:چراغ های فضای ازاد</v>
      </c>
      <c r="G17" s="32">
        <f t="array" ref="G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230.8</v>
      </c>
      <c r="H17" s="32">
        <f t="array" ref="H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232.1</v>
      </c>
      <c r="I17" s="32">
        <f t="array" ref="I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233.8</v>
      </c>
      <c r="J17" s="32">
        <f t="array" ref="J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275</v>
      </c>
      <c r="K17" s="32">
        <f t="array" ref="K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325.8</v>
      </c>
      <c r="L17" s="32">
        <f t="array" ref="L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364.6</v>
      </c>
      <c r="M17" s="32">
        <f t="array" ref="M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394.2</v>
      </c>
      <c r="N17" s="32">
        <f t="array" ref="N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396.4</v>
      </c>
      <c r="O17" s="32">
        <f t="array" ref="O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436.3</v>
      </c>
      <c r="P17" s="32">
        <f t="array" ref="P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437.9</v>
      </c>
      <c r="Q17" s="32">
        <f t="array" ref="Q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439.7</v>
      </c>
      <c r="R17" s="32">
        <f t="array" ref="R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441.3</v>
      </c>
      <c r="S17" s="32">
        <f t="array" ref="S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505.7</v>
      </c>
      <c r="T17" s="32">
        <f t="array" ref="T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507.4</v>
      </c>
      <c r="U17" s="32">
        <f t="array" ref="U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490</v>
      </c>
      <c r="V17" s="32">
        <f t="array" ref="V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490.8</v>
      </c>
      <c r="W17" s="32">
        <f t="array" ref="W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512.20000000000005</v>
      </c>
      <c r="X17" s="32">
        <f t="array" ref="X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513</v>
      </c>
      <c r="Y17" s="32">
        <f t="array" ref="Y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519</v>
      </c>
      <c r="Z17" s="32">
        <f t="array" ref="Z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519.29999999999995</v>
      </c>
      <c r="AA17" s="32">
        <f t="array" ref="AA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537.9</v>
      </c>
      <c r="AB17" s="32">
        <f t="array" ref="AB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539</v>
      </c>
      <c r="AC17" s="32">
        <f t="array" ref="AC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578.70000000000005</v>
      </c>
      <c r="AD17" s="32">
        <f t="array" ref="AD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579.5</v>
      </c>
      <c r="AE17" s="32">
        <f t="array" ref="AE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610.4</v>
      </c>
      <c r="AF17" s="32">
        <f t="array" ref="AF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635.29999999999995</v>
      </c>
      <c r="AG17" s="32">
        <f t="array" ref="AG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661.2</v>
      </c>
      <c r="AH17" s="32">
        <f t="array" ref="AH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700.5</v>
      </c>
      <c r="AI17" s="32">
        <f t="array" ref="AI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862.2</v>
      </c>
      <c r="AJ17" s="32">
        <f t="array" ref="AJ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943.7</v>
      </c>
      <c r="AK17" s="32">
        <f t="array" ref="AK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1008</v>
      </c>
      <c r="AL17" s="32">
        <f t="array" ref="AL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1076.5999999999999</v>
      </c>
      <c r="AM17" s="32">
        <f t="array" ref="AM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1091.0999999999999</v>
      </c>
      <c r="AN17" s="32">
        <f t="array" ref="AN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1157.7</v>
      </c>
      <c r="AO17" s="32">
        <f t="array" ref="AO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1254.4000000000001</v>
      </c>
      <c r="AP17" s="32">
        <f t="array" ref="AP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1324.5</v>
      </c>
      <c r="AQ17" s="32">
        <f t="array" ref="AQ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1334.6</v>
      </c>
      <c r="AR17" s="32">
        <f t="array" ref="AR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1372.9</v>
      </c>
      <c r="AS17" s="32">
        <f t="array" ref="AS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1554.9</v>
      </c>
      <c r="AT17" s="32">
        <f t="array" ref="AT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1748.3</v>
      </c>
      <c r="AU17" s="32">
        <f t="array" ref="AU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1857.3</v>
      </c>
      <c r="AV17" s="32">
        <f t="array" ref="AV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2077.1</v>
      </c>
      <c r="AW17" s="32">
        <f t="array" ref="AW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2040.1</v>
      </c>
      <c r="AX17" s="32">
        <f t="array" ref="AX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2050.8000000000002</v>
      </c>
      <c r="AY17" s="32">
        <f t="array" ref="AY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2373.8000000000002</v>
      </c>
      <c r="AZ17" s="32">
        <f t="array" ref="AZ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2496.3000000000002</v>
      </c>
      <c r="BA17" s="32">
        <f t="array" ref="BA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2502.1999999999998</v>
      </c>
      <c r="BB17" s="32">
        <f t="array" ref="BB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2635.2</v>
      </c>
      <c r="BC17" s="32">
        <f t="array" ref="BC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2859.6</v>
      </c>
      <c r="BD17" s="32">
        <f t="array" ref="BD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3028.9</v>
      </c>
      <c r="BE17" s="32">
        <f t="array" ref="BE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3361.4</v>
      </c>
      <c r="BF17" s="32">
        <f t="array" ref="BF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3620.2</v>
      </c>
      <c r="BG17" s="32">
        <f t="array" ref="BG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3781.7</v>
      </c>
      <c r="BH17" s="32">
        <f t="array" ref="BH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4035.2</v>
      </c>
      <c r="BI17" s="32">
        <f t="array" ref="BI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4448.8999999999996</v>
      </c>
      <c r="BJ17" s="32">
        <f t="array" ref="BJ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4494.3</v>
      </c>
      <c r="BK17" s="32">
        <f t="array" ref="BK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4646.8999999999996</v>
      </c>
      <c r="BL17" s="32">
        <f t="array" ref="BL17">IF($E17="","",_xlfn.SWITCH(LEFT(INDEX($B$5:$B$261,$E17),FIND("|",INDEX($B$5:$B$261,$E17))-1),"ابنیه",VLOOKUP(INDEX($D$5:$D$261,$E17),'نمودار ابنیه'!$A$9:$BG$37,COLUMN()-5,FALSE),"مکانیکی",VLOOKUP(INDEX($D$5:$D$261,$E17),'نمودار مکانیکی'!$A$9:$BG$43,COLUMN()-5,FALSE),"برقی",VLOOKUP(INDEX($D$5:$D$261,$E17),'نمودار تاسیسات برقی'!$A$9:$BG$44,COLUMN()-5,FALSE),"خطوط",VLOOKUP(INDEX($D$5:$D$261,$E17),'نمودار خطوط انتقال '!$A$9:$BG$26,COLUMN()-5,FALSE),"شبکه",VLOOKUP(INDEX($D$5:$D$261,$E17),'نمودار شبکه توزیع آ'!$A$9:$BG$22,COLUMN()-5,FALSE),"سد",VLOOKUP(INDEX($D$5:$D$261,$E17),'نمودار سدسازی'!$A$9:$BG$23,COLUMN()-5,FALSE),"فاضلاب",VLOOKUP(INDEX($D$5:$D$261,$E17),'نمودار جمع‌آوری و ا'!$A$9:$BG$26,COLUMN()-5,FALSE),"تجهیزات",VLOOKUP(INDEX($D$5:$D$261,$E17),'نمودار تجهیزات آب و'!$A$9:$BG$42,COLUMN()-5,FALSE),"پست",VLOOKUP(INDEX($D$5:$D$261,$E17),'نمودار پست های انتق'!$A$9:$BG$41,COLUMN()-5,FALSE),"نیرو",VLOOKUP(INDEX($D$5:$D$261,$E17),'نمودار توزیع نیرو ب'!$A$9:$BG$38,COLUMN()-5,FALSE),""))</f>
        <v>4674.7</v>
      </c>
    </row>
    <row r="18" spans="1:64" ht="20" customHeight="1">
      <c r="A18" s="68">
        <v>14</v>
      </c>
      <c r="B18" s="69" t="s">
        <v>7</v>
      </c>
      <c r="C18" s="70" t="b">
        <f t="array" ref="C18">_xlfn.SWITCH(LEFT(B18,FIND("|",B18)-1),"ابنیه",HLOOKUP(D18,'نمودار ابنیه'!$B$5:$AD$6,2,FALSE),"مکانیکی",HLOOKUP(D18,'نمودار مکانیکی'!$B$5:$AJ$6,2,FALSE),"برقی",HLOOKUP(D18,'نمودار تاسیسات برقی'!$B$5:$AK$6,2,FALSE),"خطوط",HLOOKUP(D18,'نمودار خطوط انتقال '!$B$5:$R$6,2,FALSE),"شبکه",HLOOKUP(D18,'نمودار شبکه توزیع آ'!$B$5:$O$6,2,FALSE),"سد",HLOOKUP(D18,'نمودار سدسازی'!$B$5:$P$6,2,FALSE),"فاضلاب",HLOOKUP(D18,'نمودار جمع‌آوری و ا'!$B$5:$S$6,2,FALSE),"تجهیزات",HLOOKUP(D18,'نمودار تجهیزات آب و'!$B$5:$AG$6,2,FALSE),"پست",HLOOKUP(D18,'نمودار پست های انتق'!$B$5:$AH$6,2,FALSE),"نیرو",HLOOKUP(D18,'نمودار توزیع نیرو ب'!$B$5:$AE$6,2,FALSE),FALSE)</f>
        <v>0</v>
      </c>
      <c r="D18" s="71" t="s">
        <v>81</v>
      </c>
      <c r="E18" s="15">
        <f t="array" ref="E18">IFERROR(_xlfn.AGGREGATE(15,6,ROW($C$5:$C$261)/($C$5:$C$261=TRUE),13)-4,"")</f>
        <v>67</v>
      </c>
      <c r="F18" s="72" t="str">
        <f t="array" ref="F18">IF($E18="","",LEFT(INDEX($B$5:$B$261,$E18),FIND("|",INDEX($B$5:$B$261,$E18))-1)&amp;":"&amp;LEFT(INDEX($D$5:$D$261,$E18),20))</f>
        <v>برقی:چراغ های مخصوص</v>
      </c>
      <c r="G18" s="73">
        <f t="array" ref="G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238.1</v>
      </c>
      <c r="H18" s="73">
        <f t="array" ref="H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238.6</v>
      </c>
      <c r="I18" s="73">
        <f t="array" ref="I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239.1</v>
      </c>
      <c r="J18" s="73">
        <f t="array" ref="J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275.60000000000002</v>
      </c>
      <c r="K18" s="73">
        <f t="array" ref="K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330.8</v>
      </c>
      <c r="L18" s="73">
        <f t="array" ref="L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391.8</v>
      </c>
      <c r="M18" s="73">
        <f t="array" ref="M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396.3</v>
      </c>
      <c r="N18" s="73">
        <f t="array" ref="N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409.8</v>
      </c>
      <c r="O18" s="73">
        <f t="array" ref="O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451.2</v>
      </c>
      <c r="P18" s="73">
        <f t="array" ref="P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451.9</v>
      </c>
      <c r="Q18" s="73">
        <f t="array" ref="Q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453.2</v>
      </c>
      <c r="R18" s="73">
        <f t="array" ref="R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454.1</v>
      </c>
      <c r="S18" s="73">
        <f t="array" ref="S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521.70000000000005</v>
      </c>
      <c r="T18" s="73">
        <f t="array" ref="T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522.5</v>
      </c>
      <c r="U18" s="73">
        <f t="array" ref="U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502.3</v>
      </c>
      <c r="V18" s="73">
        <f t="array" ref="V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502.7</v>
      </c>
      <c r="W18" s="73">
        <f t="array" ref="W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522.4</v>
      </c>
      <c r="X18" s="73">
        <f t="array" ref="X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522.9</v>
      </c>
      <c r="Y18" s="73">
        <f t="array" ref="Y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525.70000000000005</v>
      </c>
      <c r="Z18" s="73">
        <f t="array" ref="Z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526</v>
      </c>
      <c r="AA18" s="73">
        <f t="array" ref="AA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553.29999999999995</v>
      </c>
      <c r="AB18" s="73">
        <f t="array" ref="AB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553.9</v>
      </c>
      <c r="AC18" s="73">
        <f t="array" ref="AC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556.70000000000005</v>
      </c>
      <c r="AD18" s="73">
        <f t="array" ref="AD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557</v>
      </c>
      <c r="AE18" s="73">
        <f t="array" ref="AE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586.20000000000005</v>
      </c>
      <c r="AF18" s="73">
        <f t="array" ref="AF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612.20000000000005</v>
      </c>
      <c r="AG18" s="73">
        <f t="array" ref="AG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643.20000000000005</v>
      </c>
      <c r="AH18" s="73">
        <f t="array" ref="AH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684.1</v>
      </c>
      <c r="AI18" s="73">
        <f t="array" ref="AI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886.3</v>
      </c>
      <c r="AJ18" s="73">
        <f t="array" ref="AJ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965.4</v>
      </c>
      <c r="AK18" s="73">
        <f t="array" ref="AK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1042.5</v>
      </c>
      <c r="AL18" s="73">
        <f t="array" ref="AL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1118.5</v>
      </c>
      <c r="AM18" s="73">
        <f t="array" ref="AM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1201.4000000000001</v>
      </c>
      <c r="AN18" s="73">
        <f t="array" ref="AN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1329.5</v>
      </c>
      <c r="AO18" s="73">
        <f t="array" ref="AO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1444</v>
      </c>
      <c r="AP18" s="73">
        <f t="array" ref="AP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1548.5</v>
      </c>
      <c r="AQ18" s="73">
        <f t="array" ref="AQ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1552.9</v>
      </c>
      <c r="AR18" s="73">
        <f t="array" ref="AR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1593.4</v>
      </c>
      <c r="AS18" s="73">
        <f t="array" ref="AS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1781.4</v>
      </c>
      <c r="AT18" s="73">
        <f t="array" ref="AT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2056.3000000000002</v>
      </c>
      <c r="AU18" s="73">
        <f t="array" ref="AU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2159.4</v>
      </c>
      <c r="AV18" s="73">
        <f t="array" ref="AV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2524.9</v>
      </c>
      <c r="AW18" s="73">
        <f t="array" ref="AW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2452.1</v>
      </c>
      <c r="AX18" s="73">
        <f t="array" ref="AX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2513.3000000000002</v>
      </c>
      <c r="AY18" s="73">
        <f t="array" ref="AY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2866.3</v>
      </c>
      <c r="AZ18" s="73">
        <f t="array" ref="AZ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2976.8</v>
      </c>
      <c r="BA18" s="73">
        <f t="array" ref="BA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3143.7</v>
      </c>
      <c r="BB18" s="73">
        <f t="array" ref="BB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3219.6</v>
      </c>
      <c r="BC18" s="73">
        <f t="array" ref="BC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3492.2</v>
      </c>
      <c r="BD18" s="73">
        <f t="array" ref="BD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3718.3</v>
      </c>
      <c r="BE18" s="73">
        <f t="array" ref="BE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4055.4</v>
      </c>
      <c r="BF18" s="73">
        <f t="array" ref="BF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4371.3</v>
      </c>
      <c r="BG18" s="73">
        <f t="array" ref="BG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4580</v>
      </c>
      <c r="BH18" s="73">
        <f t="array" ref="BH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4967.2</v>
      </c>
      <c r="BI18" s="73">
        <f t="array" ref="BI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5684.4</v>
      </c>
      <c r="BJ18" s="73">
        <f t="array" ref="BJ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5705</v>
      </c>
      <c r="BK18" s="73">
        <f t="array" ref="BK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5588.5</v>
      </c>
      <c r="BL18" s="73">
        <f t="array" ref="BL18">IF($E18="","",_xlfn.SWITCH(LEFT(INDEX($B$5:$B$261,$E18),FIND("|",INDEX($B$5:$B$261,$E18))-1),"ابنیه",VLOOKUP(INDEX($D$5:$D$261,$E18),'نمودار ابنیه'!$A$9:$BG$37,COLUMN()-5,FALSE),"مکانیکی",VLOOKUP(INDEX($D$5:$D$261,$E18),'نمودار مکانیکی'!$A$9:$BG$43,COLUMN()-5,FALSE),"برقی",VLOOKUP(INDEX($D$5:$D$261,$E18),'نمودار تاسیسات برقی'!$A$9:$BG$44,COLUMN()-5,FALSE),"خطوط",VLOOKUP(INDEX($D$5:$D$261,$E18),'نمودار خطوط انتقال '!$A$9:$BG$26,COLUMN()-5,FALSE),"شبکه",VLOOKUP(INDEX($D$5:$D$261,$E18),'نمودار شبکه توزیع آ'!$A$9:$BG$22,COLUMN()-5,FALSE),"سد",VLOOKUP(INDEX($D$5:$D$261,$E18),'نمودار سدسازی'!$A$9:$BG$23,COLUMN()-5,FALSE),"فاضلاب",VLOOKUP(INDEX($D$5:$D$261,$E18),'نمودار جمع‌آوری و ا'!$A$9:$BG$26,COLUMN()-5,FALSE),"تجهیزات",VLOOKUP(INDEX($D$5:$D$261,$E18),'نمودار تجهیزات آب و'!$A$9:$BG$42,COLUMN()-5,FALSE),"پست",VLOOKUP(INDEX($D$5:$D$261,$E18),'نمودار پست های انتق'!$A$9:$BG$41,COLUMN()-5,FALSE),"نیرو",VLOOKUP(INDEX($D$5:$D$261,$E18),'نمودار توزیع نیرو ب'!$A$9:$BG$38,COLUMN()-5,FALSE),""))</f>
        <v>5599.9</v>
      </c>
    </row>
    <row r="19" spans="1:64" ht="20" customHeight="1">
      <c r="A19" s="25">
        <v>15</v>
      </c>
      <c r="B19" s="26" t="s">
        <v>7</v>
      </c>
      <c r="C19" s="27" t="b">
        <f t="array" ref="C19">_xlfn.SWITCH(LEFT(B19,FIND("|",B19)-1),"ابنیه",HLOOKUP(D19,'نمودار ابنیه'!$B$5:$AD$6,2,FALSE),"مکانیکی",HLOOKUP(D19,'نمودار مکانیکی'!$B$5:$AJ$6,2,FALSE),"برقی",HLOOKUP(D19,'نمودار تاسیسات برقی'!$B$5:$AK$6,2,FALSE),"خطوط",HLOOKUP(D19,'نمودار خطوط انتقال '!$B$5:$R$6,2,FALSE),"شبکه",HLOOKUP(D19,'نمودار شبکه توزیع آ'!$B$5:$O$6,2,FALSE),"سد",HLOOKUP(D19,'نمودار سدسازی'!$B$5:$P$6,2,FALSE),"فاضلاب",HLOOKUP(D19,'نمودار جمع‌آوری و ا'!$B$5:$S$6,2,FALSE),"تجهیزات",HLOOKUP(D19,'نمودار تجهیزات آب و'!$B$5:$AG$6,2,FALSE),"پست",HLOOKUP(D19,'نمودار پست های انتق'!$B$5:$AH$6,2,FALSE),"نیرو",HLOOKUP(D19,'نمودار توزیع نیرو ب'!$B$5:$AE$6,2,FALSE),FALSE)</f>
        <v>0</v>
      </c>
      <c r="D19" s="28" t="s">
        <v>82</v>
      </c>
      <c r="E19" s="15">
        <f t="array" ref="E19">IFERROR(_xlfn.AGGREGATE(15,6,ROW($C$5:$C$261)/($C$5:$C$261=TRUE),14)-4,"")</f>
        <v>99</v>
      </c>
      <c r="F19" s="29" t="str">
        <f t="array" ref="F19">IF($E19="","",LEFT(INDEX($B$5:$B$261,$E19),FIND("|",INDEX($B$5:$B$261,$E19))-1)&amp;":"&amp;LEFT(INDEX($D$5:$D$261,$E19),20))</f>
        <v>خطوط:عملیات لوله گذاری با</v>
      </c>
      <c r="G19" s="32">
        <f t="array" ref="G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334.3</v>
      </c>
      <c r="H19" s="32">
        <f t="array" ref="H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345.9</v>
      </c>
      <c r="I19" s="32">
        <f t="array" ref="I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357.9</v>
      </c>
      <c r="J19" s="32">
        <f t="array" ref="J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369.8</v>
      </c>
      <c r="K19" s="32">
        <f t="array" ref="K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407</v>
      </c>
      <c r="L19" s="32">
        <f t="array" ref="L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428.4</v>
      </c>
      <c r="M19" s="32">
        <f t="array" ref="M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464.6</v>
      </c>
      <c r="N19" s="32">
        <f t="array" ref="N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481</v>
      </c>
      <c r="O19" s="32">
        <f t="array" ref="O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534.70000000000005</v>
      </c>
      <c r="P19" s="32">
        <f t="array" ref="P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546.20000000000005</v>
      </c>
      <c r="Q19" s="32">
        <f t="array" ref="Q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557</v>
      </c>
      <c r="R19" s="32">
        <f t="array" ref="R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567.9</v>
      </c>
      <c r="S19" s="32">
        <f t="array" ref="S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647.29999999999995</v>
      </c>
      <c r="T19" s="32">
        <f t="array" ref="T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659.8</v>
      </c>
      <c r="U19" s="32">
        <f t="array" ref="U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668</v>
      </c>
      <c r="V19" s="32">
        <f t="array" ref="V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675.9</v>
      </c>
      <c r="W19" s="32">
        <f t="array" ref="W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677</v>
      </c>
      <c r="X19" s="32">
        <f t="array" ref="X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678</v>
      </c>
      <c r="Y19" s="32">
        <f t="array" ref="Y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679</v>
      </c>
      <c r="Z19" s="32">
        <f t="array" ref="Z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680</v>
      </c>
      <c r="AA19" s="32">
        <f t="array" ref="AA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681</v>
      </c>
      <c r="AB19" s="32">
        <f t="array" ref="AB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682</v>
      </c>
      <c r="AC19" s="32">
        <f t="array" ref="AC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683</v>
      </c>
      <c r="AD19" s="32">
        <f t="array" ref="AD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684</v>
      </c>
      <c r="AE19" s="32">
        <f t="array" ref="AE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685</v>
      </c>
      <c r="AF19" s="32">
        <f t="array" ref="AF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686</v>
      </c>
      <c r="AG19" s="32">
        <f t="array" ref="AG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687</v>
      </c>
      <c r="AH19" s="32">
        <f t="array" ref="AH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688</v>
      </c>
      <c r="AI19" s="32">
        <f t="array" ref="AI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689</v>
      </c>
      <c r="AJ19" s="32">
        <f t="array" ref="AJ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690</v>
      </c>
      <c r="AK19" s="32">
        <f t="array" ref="AK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691</v>
      </c>
      <c r="AL19" s="32">
        <f t="array" ref="AL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692</v>
      </c>
      <c r="AM19" s="32">
        <f t="array" ref="AM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692</v>
      </c>
      <c r="AN19" s="32">
        <f t="array" ref="AN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693</v>
      </c>
      <c r="AO19" s="32">
        <f t="array" ref="AO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694</v>
      </c>
      <c r="AP19" s="32">
        <f t="array" ref="AP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695</v>
      </c>
      <c r="AQ19" s="32">
        <f t="array" ref="AQ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696</v>
      </c>
      <c r="AR19" s="32">
        <f t="array" ref="AR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697</v>
      </c>
      <c r="AS19" s="32">
        <f t="array" ref="AS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698</v>
      </c>
      <c r="AT19" s="32">
        <f t="array" ref="AT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699</v>
      </c>
      <c r="AU19" s="32">
        <f t="array" ref="AU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700</v>
      </c>
      <c r="AV19" s="32">
        <f t="array" ref="AV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701</v>
      </c>
      <c r="AW19" s="32">
        <f t="array" ref="AW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702</v>
      </c>
      <c r="AX19" s="32">
        <f t="array" ref="AX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703</v>
      </c>
      <c r="AY19" s="32">
        <f t="array" ref="AY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704</v>
      </c>
      <c r="AZ19" s="32">
        <f t="array" ref="AZ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705</v>
      </c>
      <c r="BA19" s="32">
        <f t="array" ref="BA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706</v>
      </c>
      <c r="BB19" s="32">
        <f t="array" ref="BB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707</v>
      </c>
      <c r="BC19" s="32">
        <f t="array" ref="BC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708</v>
      </c>
      <c r="BD19" s="32">
        <f t="array" ref="BD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709</v>
      </c>
      <c r="BE19" s="32">
        <f t="array" ref="BE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710</v>
      </c>
      <c r="BF19" s="32">
        <f t="array" ref="BF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711</v>
      </c>
      <c r="BG19" s="32">
        <f t="array" ref="BG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711</v>
      </c>
      <c r="BH19" s="32">
        <f t="array" ref="BH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711</v>
      </c>
      <c r="BI19" s="32">
        <f t="array" ref="BI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712</v>
      </c>
      <c r="BJ19" s="32">
        <f t="array" ref="BJ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713</v>
      </c>
      <c r="BK19" s="32">
        <f t="array" ref="BK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714</v>
      </c>
      <c r="BL19" s="32">
        <f t="array" ref="BL19">IF($E19="","",_xlfn.SWITCH(LEFT(INDEX($B$5:$B$261,$E19),FIND("|",INDEX($B$5:$B$261,$E19))-1),"ابنیه",VLOOKUP(INDEX($D$5:$D$261,$E19),'نمودار ابنیه'!$A$9:$BG$37,COLUMN()-5,FALSE),"مکانیکی",VLOOKUP(INDEX($D$5:$D$261,$E19),'نمودار مکانیکی'!$A$9:$BG$43,COLUMN()-5,FALSE),"برقی",VLOOKUP(INDEX($D$5:$D$261,$E19),'نمودار تاسیسات برقی'!$A$9:$BG$44,COLUMN()-5,FALSE),"خطوط",VLOOKUP(INDEX($D$5:$D$261,$E19),'نمودار خطوط انتقال '!$A$9:$BG$26,COLUMN()-5,FALSE),"شبکه",VLOOKUP(INDEX($D$5:$D$261,$E19),'نمودار شبکه توزیع آ'!$A$9:$BG$22,COLUMN()-5,FALSE),"سد",VLOOKUP(INDEX($D$5:$D$261,$E19),'نمودار سدسازی'!$A$9:$BG$23,COLUMN()-5,FALSE),"فاضلاب",VLOOKUP(INDEX($D$5:$D$261,$E19),'نمودار جمع‌آوری و ا'!$A$9:$BG$26,COLUMN()-5,FALSE),"تجهیزات",VLOOKUP(INDEX($D$5:$D$261,$E19),'نمودار تجهیزات آب و'!$A$9:$BG$42,COLUMN()-5,FALSE),"پست",VLOOKUP(INDEX($D$5:$D$261,$E19),'نمودار پست های انتق'!$A$9:$BG$41,COLUMN()-5,FALSE),"نیرو",VLOOKUP(INDEX($D$5:$D$261,$E19),'نمودار توزیع نیرو ب'!$A$9:$BG$38,COLUMN()-5,FALSE),""))</f>
        <v>715</v>
      </c>
    </row>
    <row r="20" spans="1:64" ht="20" customHeight="1">
      <c r="A20" s="68">
        <v>16</v>
      </c>
      <c r="B20" s="69" t="s">
        <v>7</v>
      </c>
      <c r="C20" s="70" t="b">
        <f t="array" ref="C20">_xlfn.SWITCH(LEFT(B20,FIND("|",B20)-1),"ابنیه",HLOOKUP(D20,'نمودار ابنیه'!$B$5:$AD$6,2,FALSE),"مکانیکی",HLOOKUP(D20,'نمودار مکانیکی'!$B$5:$AJ$6,2,FALSE),"برقی",HLOOKUP(D20,'نمودار تاسیسات برقی'!$B$5:$AK$6,2,FALSE),"خطوط",HLOOKUP(D20,'نمودار خطوط انتقال '!$B$5:$R$6,2,FALSE),"شبکه",HLOOKUP(D20,'نمودار شبکه توزیع آ'!$B$5:$O$6,2,FALSE),"سد",HLOOKUP(D20,'نمودار سدسازی'!$B$5:$P$6,2,FALSE),"فاضلاب",HLOOKUP(D20,'نمودار جمع‌آوری و ا'!$B$5:$S$6,2,FALSE),"تجهیزات",HLOOKUP(D20,'نمودار تجهیزات آب و'!$B$5:$AG$6,2,FALSE),"پست",HLOOKUP(D20,'نمودار پست های انتق'!$B$5:$AH$6,2,FALSE),"نیرو",HLOOKUP(D20,'نمودار توزیع نیرو ب'!$B$5:$AE$6,2,FALSE),FALSE)</f>
        <v>0</v>
      </c>
      <c r="D20" s="71" t="s">
        <v>83</v>
      </c>
      <c r="E20" s="15">
        <f t="array" ref="E20">IFERROR(_xlfn.AGGREGATE(15,6,ROW($C$5:$C$261)/($C$5:$C$261=TRUE),15)-4,"")</f>
        <v>100</v>
      </c>
      <c r="F20" s="72" t="str">
        <f t="array" ref="F20">IF($E20="","",LEFT(INDEX($B$5:$B$261,$E20),FIND("|",INDEX($B$5:$B$261,$E20))-1)&amp;":"&amp;LEFT(INDEX($D$5:$D$261,$E20),20))</f>
        <v>خطوط:عملیات لوله گذاری با</v>
      </c>
      <c r="G20" s="73">
        <f t="array" ref="G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333.1</v>
      </c>
      <c r="H20" s="73">
        <f t="array" ref="H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344.7</v>
      </c>
      <c r="I20" s="73">
        <f t="array" ref="I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357.2</v>
      </c>
      <c r="J20" s="73">
        <f t="array" ref="J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369.4</v>
      </c>
      <c r="K20" s="73">
        <f t="array" ref="K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406.1</v>
      </c>
      <c r="L20" s="73">
        <f t="array" ref="L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427.7</v>
      </c>
      <c r="M20" s="73">
        <f t="array" ref="M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464.5</v>
      </c>
      <c r="N20" s="73">
        <f t="array" ref="N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481.2</v>
      </c>
      <c r="O20" s="73">
        <f t="array" ref="O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534.20000000000005</v>
      </c>
      <c r="P20" s="73">
        <f t="array" ref="P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545.9</v>
      </c>
      <c r="Q20" s="73">
        <f t="array" ref="Q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556.9</v>
      </c>
      <c r="R20" s="73">
        <f t="array" ref="R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567.9</v>
      </c>
      <c r="S20" s="73">
        <f t="array" ref="S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646.1</v>
      </c>
      <c r="T20" s="73">
        <f t="array" ref="T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658.6</v>
      </c>
      <c r="U20" s="73">
        <f t="array" ref="U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666.7</v>
      </c>
      <c r="V20" s="73">
        <f t="array" ref="V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674.6</v>
      </c>
      <c r="W20" s="73">
        <f t="array" ref="W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731.6</v>
      </c>
      <c r="X20" s="73">
        <f t="array" ref="X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736.9</v>
      </c>
      <c r="Y20" s="73">
        <f t="array" ref="Y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740.8</v>
      </c>
      <c r="Z20" s="73">
        <f t="array" ref="Z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744</v>
      </c>
      <c r="AA20" s="73">
        <f t="array" ref="AA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792.9</v>
      </c>
      <c r="AB20" s="73">
        <f t="array" ref="AB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800.5</v>
      </c>
      <c r="AC20" s="73">
        <f t="array" ref="AC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808</v>
      </c>
      <c r="AD20" s="73">
        <f t="array" ref="AD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815.3</v>
      </c>
      <c r="AE20" s="73">
        <f t="array" ref="AE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879</v>
      </c>
      <c r="AF20" s="73">
        <f t="array" ref="AF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881.7</v>
      </c>
      <c r="AG20" s="73">
        <f t="array" ref="AG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900.4</v>
      </c>
      <c r="AH20" s="73">
        <f t="array" ref="AH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909</v>
      </c>
      <c r="AI20" s="73">
        <f t="array" ref="AI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1029.5</v>
      </c>
      <c r="AJ20" s="73">
        <f t="array" ref="AJ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1110.5999999999999</v>
      </c>
      <c r="AK20" s="73">
        <f t="array" ref="AK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1145</v>
      </c>
      <c r="AL20" s="73">
        <f t="array" ref="AL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1174.2</v>
      </c>
      <c r="AM20" s="73">
        <f t="array" ref="AM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1191.2</v>
      </c>
      <c r="AN20" s="73">
        <f t="array" ref="AN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1237.0999999999999</v>
      </c>
      <c r="AO20" s="73">
        <f t="array" ref="AO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1472.8</v>
      </c>
      <c r="AP20" s="73">
        <f t="array" ref="AP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1552.1</v>
      </c>
      <c r="AQ20" s="73">
        <f t="array" ref="AQ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1613.9</v>
      </c>
      <c r="AR20" s="73">
        <f t="array" ref="AR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1681.2</v>
      </c>
      <c r="AS20" s="73">
        <f t="array" ref="AS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2039.1</v>
      </c>
      <c r="AT20" s="73">
        <f t="array" ref="AT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2308.9</v>
      </c>
      <c r="AU20" s="73">
        <f t="array" ref="AU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2364.9</v>
      </c>
      <c r="AV20" s="73">
        <f t="array" ref="AV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2482.1</v>
      </c>
      <c r="AW20" s="73">
        <f t="array" ref="AW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2734.3</v>
      </c>
      <c r="AX20" s="73">
        <f t="array" ref="AX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2884.2</v>
      </c>
      <c r="AY20" s="73">
        <f t="array" ref="AY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3746.7</v>
      </c>
      <c r="AZ20" s="73">
        <f t="array" ref="AZ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3997.9</v>
      </c>
      <c r="BA20" s="73">
        <f t="array" ref="BA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4025.4</v>
      </c>
      <c r="BB20" s="73">
        <f t="array" ref="BB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4113.5</v>
      </c>
      <c r="BC20" s="73">
        <f t="array" ref="BC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5165.6000000000004</v>
      </c>
      <c r="BD20" s="73">
        <f t="array" ref="BD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5297.3</v>
      </c>
      <c r="BE20" s="73">
        <f t="array" ref="BE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5714.8</v>
      </c>
      <c r="BF20" s="73">
        <f t="array" ref="BF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6014.2</v>
      </c>
      <c r="BG20" s="73">
        <f t="array" ref="BG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6016.7</v>
      </c>
      <c r="BH20" s="73">
        <f t="array" ref="BH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6028.8</v>
      </c>
      <c r="BI20" s="73">
        <f t="array" ref="BI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7311.1</v>
      </c>
      <c r="BJ20" s="73">
        <f t="array" ref="BJ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7615.6</v>
      </c>
      <c r="BK20" s="73">
        <f t="array" ref="BK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7760.4</v>
      </c>
      <c r="BL20" s="73">
        <f t="array" ref="BL20">IF($E20="","",_xlfn.SWITCH(LEFT(INDEX($B$5:$B$261,$E20),FIND("|",INDEX($B$5:$B$261,$E20))-1),"ابنیه",VLOOKUP(INDEX($D$5:$D$261,$E20),'نمودار ابنیه'!$A$9:$BG$37,COLUMN()-5,FALSE),"مکانیکی",VLOOKUP(INDEX($D$5:$D$261,$E20),'نمودار مکانیکی'!$A$9:$BG$43,COLUMN()-5,FALSE),"برقی",VLOOKUP(INDEX($D$5:$D$261,$E20),'نمودار تاسیسات برقی'!$A$9:$BG$44,COLUMN()-5,FALSE),"خطوط",VLOOKUP(INDEX($D$5:$D$261,$E20),'نمودار خطوط انتقال '!$A$9:$BG$26,COLUMN()-5,FALSE),"شبکه",VLOOKUP(INDEX($D$5:$D$261,$E20),'نمودار شبکه توزیع آ'!$A$9:$BG$22,COLUMN()-5,FALSE),"سد",VLOOKUP(INDEX($D$5:$D$261,$E20),'نمودار سدسازی'!$A$9:$BG$23,COLUMN()-5,FALSE),"فاضلاب",VLOOKUP(INDEX($D$5:$D$261,$E20),'نمودار جمع‌آوری و ا'!$A$9:$BG$26,COLUMN()-5,FALSE),"تجهیزات",VLOOKUP(INDEX($D$5:$D$261,$E20),'نمودار تجهیزات آب و'!$A$9:$BG$42,COLUMN()-5,FALSE),"پست",VLOOKUP(INDEX($D$5:$D$261,$E20),'نمودار پست های انتق'!$A$9:$BG$41,COLUMN()-5,FALSE),"نیرو",VLOOKUP(INDEX($D$5:$D$261,$E20),'نمودار توزیع نیرو ب'!$A$9:$BG$38,COLUMN()-5,FALSE),""))</f>
        <v>7982</v>
      </c>
    </row>
    <row r="21" spans="1:64" ht="20" customHeight="1">
      <c r="A21" s="25">
        <v>17</v>
      </c>
      <c r="B21" s="26" t="s">
        <v>7</v>
      </c>
      <c r="C21" s="27" t="b">
        <f t="array" ref="C21">_xlfn.SWITCH(LEFT(B21,FIND("|",B21)-1),"ابنیه",HLOOKUP(D21,'نمودار ابنیه'!$B$5:$AD$6,2,FALSE),"مکانیکی",HLOOKUP(D21,'نمودار مکانیکی'!$B$5:$AJ$6,2,FALSE),"برقی",HLOOKUP(D21,'نمودار تاسیسات برقی'!$B$5:$AK$6,2,FALSE),"خطوط",HLOOKUP(D21,'نمودار خطوط انتقال '!$B$5:$R$6,2,FALSE),"شبکه",HLOOKUP(D21,'نمودار شبکه توزیع آ'!$B$5:$O$6,2,FALSE),"سد",HLOOKUP(D21,'نمودار سدسازی'!$B$5:$P$6,2,FALSE),"فاضلاب",HLOOKUP(D21,'نمودار جمع‌آوری و ا'!$B$5:$S$6,2,FALSE),"تجهیزات",HLOOKUP(D21,'نمودار تجهیزات آب و'!$B$5:$AG$6,2,FALSE),"پست",HLOOKUP(D21,'نمودار پست های انتق'!$B$5:$AH$6,2,FALSE),"نیرو",HLOOKUP(D21,'نمودار توزیع نیرو ب'!$B$5:$AE$6,2,FALSE),FALSE)</f>
        <v>0</v>
      </c>
      <c r="D21" s="28" t="s">
        <v>84</v>
      </c>
      <c r="E21" s="15">
        <f t="array" ref="E21">IFERROR(_xlfn.AGGREGATE(15,6,ROW($C$5:$C$261)/($C$5:$C$261=TRUE),16)-4,"")</f>
        <v>101</v>
      </c>
      <c r="F21" s="29" t="str">
        <f t="array" ref="F21">IF($E21="","",LEFT(INDEX($B$5:$B$261,$E21),FIND("|",INDEX($B$5:$B$261,$E21))-1)&amp;":"&amp;LEFT(INDEX($D$5:$D$261,$E21),20))</f>
        <v>خطوط:عملیات لوله گذاری با</v>
      </c>
      <c r="G21" s="32">
        <f t="array" ref="G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334.6</v>
      </c>
      <c r="H21" s="32">
        <f t="array" ref="H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347.1</v>
      </c>
      <c r="I21" s="32">
        <f t="array" ref="I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360.6</v>
      </c>
      <c r="J21" s="32">
        <f t="array" ref="J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374.5</v>
      </c>
      <c r="K21" s="32">
        <f t="array" ref="K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410.8</v>
      </c>
      <c r="L21" s="32">
        <f t="array" ref="L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433.2</v>
      </c>
      <c r="M21" s="32">
        <f t="array" ref="M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473.4</v>
      </c>
      <c r="N21" s="32">
        <f t="array" ref="N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491.8</v>
      </c>
      <c r="O21" s="32">
        <f t="array" ref="O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543.6</v>
      </c>
      <c r="P21" s="32">
        <f t="array" ref="P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555.6</v>
      </c>
      <c r="Q21" s="32">
        <f t="array" ref="Q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565.9</v>
      </c>
      <c r="R21" s="32">
        <f t="array" ref="R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576.5</v>
      </c>
      <c r="S21" s="32">
        <f t="array" ref="S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652.4</v>
      </c>
      <c r="T21" s="32">
        <f t="array" ref="T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665.5</v>
      </c>
      <c r="U21" s="32">
        <f t="array" ref="U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673.4</v>
      </c>
      <c r="V21" s="32">
        <f t="array" ref="V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680.6</v>
      </c>
      <c r="W21" s="32">
        <f t="array" ref="W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734.2</v>
      </c>
      <c r="X21" s="32">
        <f t="array" ref="X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739.6</v>
      </c>
      <c r="Y21" s="32">
        <f t="array" ref="Y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743.3</v>
      </c>
      <c r="Z21" s="32">
        <f t="array" ref="Z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745.9</v>
      </c>
      <c r="AA21" s="32">
        <f t="array" ref="AA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792.1</v>
      </c>
      <c r="AB21" s="32">
        <f t="array" ref="AB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799.8</v>
      </c>
      <c r="AC21" s="32">
        <f t="array" ref="AC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807.4</v>
      </c>
      <c r="AD21" s="32">
        <f t="array" ref="AD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814.6</v>
      </c>
      <c r="AE21" s="32">
        <f t="array" ref="AE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875.3</v>
      </c>
      <c r="AF21" s="32">
        <f t="array" ref="AF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878.7</v>
      </c>
      <c r="AG21" s="32">
        <f t="array" ref="AG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898.2</v>
      </c>
      <c r="AH21" s="32">
        <f t="array" ref="AH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907.2</v>
      </c>
      <c r="AI21" s="32">
        <f t="array" ref="AI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1023.8</v>
      </c>
      <c r="AJ21" s="32">
        <f t="array" ref="AJ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1112.7</v>
      </c>
      <c r="AK21" s="32">
        <f t="array" ref="AK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1154.4000000000001</v>
      </c>
      <c r="AL21" s="32">
        <f t="array" ref="AL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1188</v>
      </c>
      <c r="AM21" s="32">
        <f t="array" ref="AM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1205.9000000000001</v>
      </c>
      <c r="AN21" s="32">
        <f t="array" ref="AN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1258.3</v>
      </c>
      <c r="AO21" s="32">
        <f t="array" ref="AO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1488.2</v>
      </c>
      <c r="AP21" s="32">
        <f t="array" ref="AP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1570.5</v>
      </c>
      <c r="AQ21" s="32">
        <f t="array" ref="AQ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1644.1</v>
      </c>
      <c r="AR21" s="32">
        <f t="array" ref="AR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1718.2</v>
      </c>
      <c r="AS21" s="32">
        <f t="array" ref="AS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2078.5</v>
      </c>
      <c r="AT21" s="32">
        <f t="array" ref="AT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2374.1999999999998</v>
      </c>
      <c r="AU21" s="32">
        <f t="array" ref="AU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2440.6</v>
      </c>
      <c r="AV21" s="32">
        <f t="array" ref="AV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2578.4</v>
      </c>
      <c r="AW21" s="32">
        <f t="array" ref="AW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2842.6</v>
      </c>
      <c r="AX21" s="32">
        <f t="array" ref="AX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3004.1</v>
      </c>
      <c r="AY21" s="32">
        <f t="array" ref="AY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3885.1</v>
      </c>
      <c r="AZ21" s="32">
        <f t="array" ref="AZ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4167.7</v>
      </c>
      <c r="BA21" s="32">
        <f t="array" ref="BA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4199.3</v>
      </c>
      <c r="BB21" s="32">
        <f t="array" ref="BB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4306.5</v>
      </c>
      <c r="BC21" s="32">
        <f t="array" ref="BC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5383.1</v>
      </c>
      <c r="BD21" s="32">
        <f t="array" ref="BD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5529.4</v>
      </c>
      <c r="BE21" s="32">
        <f t="array" ref="BE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5965.7</v>
      </c>
      <c r="BF21" s="32">
        <f t="array" ref="BF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6288.1</v>
      </c>
      <c r="BG21" s="32">
        <f t="array" ref="BG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6292.5</v>
      </c>
      <c r="BH21" s="32">
        <f t="array" ref="BH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6313.4</v>
      </c>
      <c r="BI21" s="32">
        <f t="array" ref="BI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7620.8</v>
      </c>
      <c r="BJ21" s="32">
        <f t="array" ref="BJ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7951.8</v>
      </c>
      <c r="BK21" s="32">
        <f t="array" ref="BK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8106.6</v>
      </c>
      <c r="BL21" s="32">
        <f t="array" ref="BL21">IF($E21="","",_xlfn.SWITCH(LEFT(INDEX($B$5:$B$261,$E21),FIND("|",INDEX($B$5:$B$261,$E21))-1),"ابنیه",VLOOKUP(INDEX($D$5:$D$261,$E21),'نمودار ابنیه'!$A$9:$BG$37,COLUMN()-5,FALSE),"مکانیکی",VLOOKUP(INDEX($D$5:$D$261,$E21),'نمودار مکانیکی'!$A$9:$BG$43,COLUMN()-5,FALSE),"برقی",VLOOKUP(INDEX($D$5:$D$261,$E21),'نمودار تاسیسات برقی'!$A$9:$BG$44,COLUMN()-5,FALSE),"خطوط",VLOOKUP(INDEX($D$5:$D$261,$E21),'نمودار خطوط انتقال '!$A$9:$BG$26,COLUMN()-5,FALSE),"شبکه",VLOOKUP(INDEX($D$5:$D$261,$E21),'نمودار شبکه توزیع آ'!$A$9:$BG$22,COLUMN()-5,FALSE),"سد",VLOOKUP(INDEX($D$5:$D$261,$E21),'نمودار سدسازی'!$A$9:$BG$23,COLUMN()-5,FALSE),"فاضلاب",VLOOKUP(INDEX($D$5:$D$261,$E21),'نمودار جمع‌آوری و ا'!$A$9:$BG$26,COLUMN()-5,FALSE),"تجهیزات",VLOOKUP(INDEX($D$5:$D$261,$E21),'نمودار تجهیزات آب و'!$A$9:$BG$42,COLUMN()-5,FALSE),"پست",VLOOKUP(INDEX($D$5:$D$261,$E21),'نمودار پست های انتق'!$A$9:$BG$41,COLUMN()-5,FALSE),"نیرو",VLOOKUP(INDEX($D$5:$D$261,$E21),'نمودار توزیع نیرو ب'!$A$9:$BG$38,COLUMN()-5,FALSE),""))</f>
        <v>8342.2999999999993</v>
      </c>
    </row>
    <row r="22" spans="1:64" ht="20" customHeight="1">
      <c r="A22" s="68">
        <v>18</v>
      </c>
      <c r="B22" s="69" t="s">
        <v>7</v>
      </c>
      <c r="C22" s="70" t="b">
        <f t="array" ref="C22">_xlfn.SWITCH(LEFT(B22,FIND("|",B22)-1),"ابنیه",HLOOKUP(D22,'نمودار ابنیه'!$B$5:$AD$6,2,FALSE),"مکانیکی",HLOOKUP(D22,'نمودار مکانیکی'!$B$5:$AJ$6,2,FALSE),"برقی",HLOOKUP(D22,'نمودار تاسیسات برقی'!$B$5:$AK$6,2,FALSE),"خطوط",HLOOKUP(D22,'نمودار خطوط انتقال '!$B$5:$R$6,2,FALSE),"شبکه",HLOOKUP(D22,'نمودار شبکه توزیع آ'!$B$5:$O$6,2,FALSE),"سد",HLOOKUP(D22,'نمودار سدسازی'!$B$5:$P$6,2,FALSE),"فاضلاب",HLOOKUP(D22,'نمودار جمع‌آوری و ا'!$B$5:$S$6,2,FALSE),"تجهیزات",HLOOKUP(D22,'نمودار تجهیزات آب و'!$B$5:$AG$6,2,FALSE),"پست",HLOOKUP(D22,'نمودار پست های انتق'!$B$5:$AH$6,2,FALSE),"نیرو",HLOOKUP(D22,'نمودار توزیع نیرو ب'!$B$5:$AE$6,2,FALSE),FALSE)</f>
        <v>0</v>
      </c>
      <c r="D22" s="71" t="s">
        <v>85</v>
      </c>
      <c r="E22" s="15">
        <f t="array" ref="E22">IFERROR(_xlfn.AGGREGATE(15,6,ROW($C$5:$C$261)/($C$5:$C$261=TRUE),17)-4,"")</f>
        <v>102</v>
      </c>
      <c r="F22" s="72" t="str">
        <f t="array" ref="F22">IF($E22="","",LEFT(INDEX($B$5:$B$261,$E22),FIND("|",INDEX($B$5:$B$261,$E22))-1)&amp;":"&amp;LEFT(INDEX($D$5:$D$261,$E22),20))</f>
        <v>خطوط:عملیات لوله گذاری با</v>
      </c>
      <c r="G22" s="73">
        <f t="array" ref="G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334.4</v>
      </c>
      <c r="H22" s="73">
        <f t="array" ref="H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346.8</v>
      </c>
      <c r="I22" s="73">
        <f t="array" ref="I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361.8</v>
      </c>
      <c r="J22" s="73">
        <f t="array" ref="J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376.2</v>
      </c>
      <c r="K22" s="73">
        <f t="array" ref="K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412.2</v>
      </c>
      <c r="L22" s="73">
        <f t="array" ref="L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435.3</v>
      </c>
      <c r="M22" s="73">
        <f t="array" ref="M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479.8</v>
      </c>
      <c r="N22" s="73">
        <f t="array" ref="N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500</v>
      </c>
      <c r="O22" s="73">
        <f t="array" ref="O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550.6</v>
      </c>
      <c r="P22" s="73">
        <f t="array" ref="P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562.29999999999995</v>
      </c>
      <c r="Q22" s="73">
        <f t="array" ref="Q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573.6</v>
      </c>
      <c r="R22" s="73">
        <f t="array" ref="R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583.6</v>
      </c>
      <c r="S22" s="73">
        <f t="array" ref="S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657.8</v>
      </c>
      <c r="T22" s="73">
        <f t="array" ref="T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670.6</v>
      </c>
      <c r="U22" s="73">
        <f t="array" ref="U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677.8</v>
      </c>
      <c r="V22" s="73">
        <f t="array" ref="V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685.1</v>
      </c>
      <c r="W22" s="73">
        <f t="array" ref="W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738.6</v>
      </c>
      <c r="X22" s="73">
        <f t="array" ref="X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743.5</v>
      </c>
      <c r="Y22" s="73">
        <f t="array" ref="Y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746.2</v>
      </c>
      <c r="Z22" s="73">
        <f t="array" ref="Z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748.5</v>
      </c>
      <c r="AA22" s="73">
        <f t="array" ref="AA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794.5</v>
      </c>
      <c r="AB22" s="73">
        <f t="array" ref="AB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802.2</v>
      </c>
      <c r="AC22" s="73">
        <f t="array" ref="AC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809.5</v>
      </c>
      <c r="AD22" s="73">
        <f t="array" ref="AD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816.8</v>
      </c>
      <c r="AE22" s="73">
        <f t="array" ref="AE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877</v>
      </c>
      <c r="AF22" s="73">
        <f t="array" ref="AF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879.6</v>
      </c>
      <c r="AG22" s="73">
        <f t="array" ref="AG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899.1</v>
      </c>
      <c r="AH22" s="73">
        <f t="array" ref="AH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907.6</v>
      </c>
      <c r="AI22" s="73">
        <f t="array" ref="AI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1022.3</v>
      </c>
      <c r="AJ22" s="73">
        <f t="array" ref="AJ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1117</v>
      </c>
      <c r="AK22" s="73">
        <f t="array" ref="AK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1158.4000000000001</v>
      </c>
      <c r="AL22" s="73">
        <f t="array" ref="AL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1194.9000000000001</v>
      </c>
      <c r="AM22" s="73">
        <f t="array" ref="AM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1219.8</v>
      </c>
      <c r="AN22" s="73">
        <f t="array" ref="AN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1277.5999999999999</v>
      </c>
      <c r="AO22" s="73">
        <f t="array" ref="AO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1503.8</v>
      </c>
      <c r="AP22" s="73">
        <f t="array" ref="AP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1589.1</v>
      </c>
      <c r="AQ22" s="73">
        <f t="array" ref="AQ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1659.1</v>
      </c>
      <c r="AR22" s="73">
        <f t="array" ref="AR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1735.2</v>
      </c>
      <c r="AS22" s="73">
        <f t="array" ref="AS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2090.1999999999998</v>
      </c>
      <c r="AT22" s="73">
        <f t="array" ref="AT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2390.9</v>
      </c>
      <c r="AU22" s="73">
        <f t="array" ref="AU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2461.3000000000002</v>
      </c>
      <c r="AV22" s="73">
        <f t="array" ref="AV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2612.4</v>
      </c>
      <c r="AW22" s="73">
        <f t="array" ref="AW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2874.8</v>
      </c>
      <c r="AX22" s="73">
        <f t="array" ref="AX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3036</v>
      </c>
      <c r="AY22" s="73">
        <f t="array" ref="AY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3926.8</v>
      </c>
      <c r="AZ22" s="73">
        <f t="array" ref="AZ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4213.3</v>
      </c>
      <c r="BA22" s="73">
        <f t="array" ref="BA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4247.3999999999996</v>
      </c>
      <c r="BB22" s="73">
        <f t="array" ref="BB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4356.5</v>
      </c>
      <c r="BC22" s="73">
        <f t="array" ref="BC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5461.8</v>
      </c>
      <c r="BD22" s="73">
        <f t="array" ref="BD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5614.7</v>
      </c>
      <c r="BE22" s="73">
        <f t="array" ref="BE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6015.2</v>
      </c>
      <c r="BF22" s="73">
        <f t="array" ref="BF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6358.4</v>
      </c>
      <c r="BG22" s="73">
        <f t="array" ref="BG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6368.2</v>
      </c>
      <c r="BH22" s="73">
        <f t="array" ref="BH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6394.3</v>
      </c>
      <c r="BI22" s="73">
        <f t="array" ref="BI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7721.9</v>
      </c>
      <c r="BJ22" s="73">
        <f t="array" ref="BJ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8059.7</v>
      </c>
      <c r="BK22" s="73">
        <f t="array" ref="BK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8195.7999999999993</v>
      </c>
      <c r="BL22" s="73">
        <f t="array" ref="BL22">IF($E22="","",_xlfn.SWITCH(LEFT(INDEX($B$5:$B$261,$E22),FIND("|",INDEX($B$5:$B$261,$E22))-1),"ابنیه",VLOOKUP(INDEX($D$5:$D$261,$E22),'نمودار ابنیه'!$A$9:$BG$37,COLUMN()-5,FALSE),"مکانیکی",VLOOKUP(INDEX($D$5:$D$261,$E22),'نمودار مکانیکی'!$A$9:$BG$43,COLUMN()-5,FALSE),"برقی",VLOOKUP(INDEX($D$5:$D$261,$E22),'نمودار تاسیسات برقی'!$A$9:$BG$44,COLUMN()-5,FALSE),"خطوط",VLOOKUP(INDEX($D$5:$D$261,$E22),'نمودار خطوط انتقال '!$A$9:$BG$26,COLUMN()-5,FALSE),"شبکه",VLOOKUP(INDEX($D$5:$D$261,$E22),'نمودار شبکه توزیع آ'!$A$9:$BG$22,COLUMN()-5,FALSE),"سد",VLOOKUP(INDEX($D$5:$D$261,$E22),'نمودار سدسازی'!$A$9:$BG$23,COLUMN()-5,FALSE),"فاضلاب",VLOOKUP(INDEX($D$5:$D$261,$E22),'نمودار جمع‌آوری و ا'!$A$9:$BG$26,COLUMN()-5,FALSE),"تجهیزات",VLOOKUP(INDEX($D$5:$D$261,$E22),'نمودار تجهیزات آب و'!$A$9:$BG$42,COLUMN()-5,FALSE),"پست",VLOOKUP(INDEX($D$5:$D$261,$E22),'نمودار پست های انتق'!$A$9:$BG$41,COLUMN()-5,FALSE),"نیرو",VLOOKUP(INDEX($D$5:$D$261,$E22),'نمودار توزیع نیرو ب'!$A$9:$BG$38,COLUMN()-5,FALSE),""))</f>
        <v>8439.2000000000007</v>
      </c>
    </row>
    <row r="23" spans="1:64" ht="20" customHeight="1">
      <c r="A23" s="25">
        <v>19</v>
      </c>
      <c r="B23" s="26" t="s">
        <v>7</v>
      </c>
      <c r="C23" s="27" t="b">
        <f t="array" ref="C23">_xlfn.SWITCH(LEFT(B23,FIND("|",B23)-1),"ابنیه",HLOOKUP(D23,'نمودار ابنیه'!$B$5:$AD$6,2,FALSE),"مکانیکی",HLOOKUP(D23,'نمودار مکانیکی'!$B$5:$AJ$6,2,FALSE),"برقی",HLOOKUP(D23,'نمودار تاسیسات برقی'!$B$5:$AK$6,2,FALSE),"خطوط",HLOOKUP(D23,'نمودار خطوط انتقال '!$B$5:$R$6,2,FALSE),"شبکه",HLOOKUP(D23,'نمودار شبکه توزیع آ'!$B$5:$O$6,2,FALSE),"سد",HLOOKUP(D23,'نمودار سدسازی'!$B$5:$P$6,2,FALSE),"فاضلاب",HLOOKUP(D23,'نمودار جمع‌آوری و ا'!$B$5:$S$6,2,FALSE),"تجهیزات",HLOOKUP(D23,'نمودار تجهیزات آب و'!$B$5:$AG$6,2,FALSE),"پست",HLOOKUP(D23,'نمودار پست های انتق'!$B$5:$AH$6,2,FALSE),"نیرو",HLOOKUP(D23,'نمودار توزیع نیرو ب'!$B$5:$AE$6,2,FALSE),FALSE)</f>
        <v>0</v>
      </c>
      <c r="D23" s="28" t="s">
        <v>86</v>
      </c>
      <c r="E23" s="15">
        <f t="array" ref="E23">IFERROR(_xlfn.AGGREGATE(15,6,ROW($C$5:$C$261)/($C$5:$C$261=TRUE),18)-4,"")</f>
        <v>103</v>
      </c>
      <c r="F23" s="29" t="str">
        <f t="array" ref="F23">IF($E23="","",LEFT(INDEX($B$5:$B$261,$E23),FIND("|",INDEX($B$5:$B$261,$E23))-1)&amp;":"&amp;LEFT(INDEX($D$5:$D$261,$E23),20))</f>
        <v>خطوط:عملیات لوله گذاری با</v>
      </c>
      <c r="G23" s="32">
        <f t="array" ref="G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334.4</v>
      </c>
      <c r="H23" s="32">
        <f t="array" ref="H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347.1</v>
      </c>
      <c r="I23" s="32">
        <f t="array" ref="I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361.5</v>
      </c>
      <c r="J23" s="32">
        <f t="array" ref="J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376</v>
      </c>
      <c r="K23" s="32">
        <f t="array" ref="K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411.7</v>
      </c>
      <c r="L23" s="32">
        <f t="array" ref="L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434.7</v>
      </c>
      <c r="M23" s="32">
        <f t="array" ref="M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476.5</v>
      </c>
      <c r="N23" s="32">
        <f t="array" ref="N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495.6</v>
      </c>
      <c r="O23" s="32">
        <f t="array" ref="O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546.5</v>
      </c>
      <c r="P23" s="32">
        <f t="array" ref="P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558.9</v>
      </c>
      <c r="Q23" s="32">
        <f t="array" ref="Q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569.5</v>
      </c>
      <c r="R23" s="32">
        <f t="array" ref="R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580.29999999999995</v>
      </c>
      <c r="S23" s="32">
        <f t="array" ref="S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654.70000000000005</v>
      </c>
      <c r="T23" s="32">
        <f t="array" ref="T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667.9</v>
      </c>
      <c r="U23" s="32">
        <f t="array" ref="U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675.5</v>
      </c>
      <c r="V23" s="32">
        <f t="array" ref="V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682.7</v>
      </c>
      <c r="W23" s="32">
        <f t="array" ref="W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736</v>
      </c>
      <c r="X23" s="32">
        <f t="array" ref="X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741.2</v>
      </c>
      <c r="Y23" s="32">
        <f t="array" ref="Y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744.5</v>
      </c>
      <c r="Z23" s="32">
        <f t="array" ref="Z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746.9</v>
      </c>
      <c r="AA23" s="32">
        <f t="array" ref="AA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792.7</v>
      </c>
      <c r="AB23" s="32">
        <f t="array" ref="AB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800.4</v>
      </c>
      <c r="AC23" s="32">
        <f t="array" ref="AC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807.9</v>
      </c>
      <c r="AD23" s="32">
        <f t="array" ref="AD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815.2</v>
      </c>
      <c r="AE23" s="32">
        <f t="array" ref="AE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874.9</v>
      </c>
      <c r="AF23" s="32">
        <f t="array" ref="AF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878</v>
      </c>
      <c r="AG23" s="32">
        <f t="array" ref="AG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897.8</v>
      </c>
      <c r="AH23" s="32">
        <f t="array" ref="AH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906.7</v>
      </c>
      <c r="AI23" s="32">
        <f t="array" ref="AI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1021.7</v>
      </c>
      <c r="AJ23" s="32">
        <f t="array" ref="AJ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1114.3</v>
      </c>
      <c r="AK23" s="32">
        <f t="array" ref="AK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1157.4000000000001</v>
      </c>
      <c r="AL23" s="32">
        <f t="array" ref="AL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1193.5</v>
      </c>
      <c r="AM23" s="32">
        <f t="array" ref="AM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1211</v>
      </c>
      <c r="AN23" s="32">
        <f t="array" ref="AN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1264.7</v>
      </c>
      <c r="AO23" s="32">
        <f t="array" ref="AO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1491.8</v>
      </c>
      <c r="AP23" s="32">
        <f t="array" ref="AP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1576</v>
      </c>
      <c r="AQ23" s="32">
        <f t="array" ref="AQ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1650.5</v>
      </c>
      <c r="AR23" s="32">
        <f t="array" ref="AR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1726.9</v>
      </c>
      <c r="AS23" s="32">
        <f t="array" ref="AS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2082.9</v>
      </c>
      <c r="AT23" s="32">
        <f t="array" ref="AT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2382.6999999999998</v>
      </c>
      <c r="AU23" s="32">
        <f t="array" ref="AU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2453.1</v>
      </c>
      <c r="AV23" s="32">
        <f t="array" ref="AV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2599.5</v>
      </c>
      <c r="AW23" s="32">
        <f t="array" ref="AW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2865.2</v>
      </c>
      <c r="AX23" s="32">
        <f t="array" ref="AX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3027.7</v>
      </c>
      <c r="AY23" s="32">
        <f t="array" ref="AY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3915.5</v>
      </c>
      <c r="AZ23" s="32">
        <f t="array" ref="AZ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4204.3</v>
      </c>
      <c r="BA23" s="32">
        <f t="array" ref="BA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4236.3999999999996</v>
      </c>
      <c r="BB23" s="32">
        <f t="array" ref="BB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4347.8</v>
      </c>
      <c r="BC23" s="32">
        <f t="array" ref="BC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5440</v>
      </c>
      <c r="BD23" s="32">
        <f t="array" ref="BD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5590.5</v>
      </c>
      <c r="BE23" s="32">
        <f t="array" ref="BE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6011.2</v>
      </c>
      <c r="BF23" s="32">
        <f t="array" ref="BF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6345.2</v>
      </c>
      <c r="BG23" s="32">
        <f t="array" ref="BG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6348.9</v>
      </c>
      <c r="BH23" s="32">
        <f t="array" ref="BH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6366.4</v>
      </c>
      <c r="BI23" s="32">
        <f t="array" ref="BI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7682.2</v>
      </c>
      <c r="BJ23" s="32">
        <f t="array" ref="BJ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8023.7</v>
      </c>
      <c r="BK23" s="32">
        <f t="array" ref="BK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8172.7</v>
      </c>
      <c r="BL23" s="32">
        <f t="array" ref="BL23">IF($E23="","",_xlfn.SWITCH(LEFT(INDEX($B$5:$B$261,$E23),FIND("|",INDEX($B$5:$B$261,$E23))-1),"ابنیه",VLOOKUP(INDEX($D$5:$D$261,$E23),'نمودار ابنیه'!$A$9:$BG$37,COLUMN()-5,FALSE),"مکانیکی",VLOOKUP(INDEX($D$5:$D$261,$E23),'نمودار مکانیکی'!$A$9:$BG$43,COLUMN()-5,FALSE),"برقی",VLOOKUP(INDEX($D$5:$D$261,$E23),'نمودار تاسیسات برقی'!$A$9:$BG$44,COLUMN()-5,FALSE),"خطوط",VLOOKUP(INDEX($D$5:$D$261,$E23),'نمودار خطوط انتقال '!$A$9:$BG$26,COLUMN()-5,FALSE),"شبکه",VLOOKUP(INDEX($D$5:$D$261,$E23),'نمودار شبکه توزیع آ'!$A$9:$BG$22,COLUMN()-5,FALSE),"سد",VLOOKUP(INDEX($D$5:$D$261,$E23),'نمودار سدسازی'!$A$9:$BG$23,COLUMN()-5,FALSE),"فاضلاب",VLOOKUP(INDEX($D$5:$D$261,$E23),'نمودار جمع‌آوری و ا'!$A$9:$BG$26,COLUMN()-5,FALSE),"تجهیزات",VLOOKUP(INDEX($D$5:$D$261,$E23),'نمودار تجهیزات آب و'!$A$9:$BG$42,COLUMN()-5,FALSE),"پست",VLOOKUP(INDEX($D$5:$D$261,$E23),'نمودار پست های انتق'!$A$9:$BG$41,COLUMN()-5,FALSE),"نیرو",VLOOKUP(INDEX($D$5:$D$261,$E23),'نمودار توزیع نیرو ب'!$A$9:$BG$38,COLUMN()-5,FALSE),""))</f>
        <v>8415.5</v>
      </c>
    </row>
    <row r="24" spans="1:64" ht="20" customHeight="1">
      <c r="A24" s="68">
        <v>20</v>
      </c>
      <c r="B24" s="69" t="s">
        <v>7</v>
      </c>
      <c r="C24" s="70" t="b">
        <f t="array" ref="C24">_xlfn.SWITCH(LEFT(B24,FIND("|",B24)-1),"ابنیه",HLOOKUP(D24,'نمودار ابنیه'!$B$5:$AD$6,2,FALSE),"مکانیکی",HLOOKUP(D24,'نمودار مکانیکی'!$B$5:$AJ$6,2,FALSE),"برقی",HLOOKUP(D24,'نمودار تاسیسات برقی'!$B$5:$AK$6,2,FALSE),"خطوط",HLOOKUP(D24,'نمودار خطوط انتقال '!$B$5:$R$6,2,FALSE),"شبکه",HLOOKUP(D24,'نمودار شبکه توزیع آ'!$B$5:$O$6,2,FALSE),"سد",HLOOKUP(D24,'نمودار سدسازی'!$B$5:$P$6,2,FALSE),"فاضلاب",HLOOKUP(D24,'نمودار جمع‌آوری و ا'!$B$5:$S$6,2,FALSE),"تجهیزات",HLOOKUP(D24,'نمودار تجهیزات آب و'!$B$5:$AG$6,2,FALSE),"پست",HLOOKUP(D24,'نمودار پست های انتق'!$B$5:$AH$6,2,FALSE),"نیرو",HLOOKUP(D24,'نمودار توزیع نیرو ب'!$B$5:$AE$6,2,FALSE),FALSE)</f>
        <v>0</v>
      </c>
      <c r="D24" s="71" t="s">
        <v>87</v>
      </c>
      <c r="E24" s="15">
        <f t="array" ref="E24">IFERROR(_xlfn.AGGREGATE(15,6,ROW($C$5:$C$261)/($C$5:$C$261=TRUE),19)-4,"")</f>
        <v>116</v>
      </c>
      <c r="F24" s="72" t="str">
        <f t="array" ref="F24">IF($E24="","",LEFT(INDEX($B$5:$B$261,$E24),FIND("|",INDEX($B$5:$B$261,$E24))-1)&amp;":"&amp;LEFT(INDEX($D$5:$D$261,$E24),20))</f>
        <v>شبکه:عملیات لوله گذاری با</v>
      </c>
      <c r="G24" s="73">
        <f t="array" ref="G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336.1</v>
      </c>
      <c r="H24" s="73">
        <f t="array" ref="H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346.2</v>
      </c>
      <c r="I24" s="73">
        <f t="array" ref="I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355.3</v>
      </c>
      <c r="J24" s="73">
        <f t="array" ref="J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364.3</v>
      </c>
      <c r="K24" s="73">
        <f t="array" ref="K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403.2</v>
      </c>
      <c r="L24" s="73">
        <f t="array" ref="L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422.5</v>
      </c>
      <c r="M24" s="73">
        <f t="array" ref="M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452.6</v>
      </c>
      <c r="N24" s="73">
        <f t="array" ref="N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465.7</v>
      </c>
      <c r="O24" s="73">
        <f t="array" ref="O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522.70000000000005</v>
      </c>
      <c r="P24" s="73">
        <f t="array" ref="P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533</v>
      </c>
      <c r="Q24" s="73">
        <f t="array" ref="Q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543.5</v>
      </c>
      <c r="R24" s="73">
        <f t="array" ref="R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554.4</v>
      </c>
      <c r="S24" s="73">
        <f t="array" ref="S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639.29999999999995</v>
      </c>
      <c r="T24" s="73">
        <f t="array" ref="T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651</v>
      </c>
      <c r="U24" s="73">
        <f t="array" ref="U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660.3</v>
      </c>
      <c r="V24" s="73">
        <f t="array" ref="V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668.9</v>
      </c>
      <c r="W24" s="73">
        <f t="array" ref="W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670</v>
      </c>
      <c r="X24" s="73">
        <f t="array" ref="X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671</v>
      </c>
      <c r="Y24" s="73">
        <f t="array" ref="Y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672</v>
      </c>
      <c r="Z24" s="73">
        <f t="array" ref="Z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673</v>
      </c>
      <c r="AA24" s="73">
        <f t="array" ref="AA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674</v>
      </c>
      <c r="AB24" s="73">
        <f t="array" ref="AB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675</v>
      </c>
      <c r="AC24" s="73">
        <f t="array" ref="AC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676</v>
      </c>
      <c r="AD24" s="73">
        <f t="array" ref="AD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677</v>
      </c>
      <c r="AE24" s="73">
        <f t="array" ref="AE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678</v>
      </c>
      <c r="AF24" s="73">
        <f t="array" ref="AF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679</v>
      </c>
      <c r="AG24" s="73">
        <f t="array" ref="AG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680</v>
      </c>
      <c r="AH24" s="73">
        <f t="array" ref="AH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681</v>
      </c>
      <c r="AI24" s="73">
        <f t="array" ref="AI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682</v>
      </c>
      <c r="AJ24" s="73">
        <f t="array" ref="AJ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683</v>
      </c>
      <c r="AK24" s="73">
        <f t="array" ref="AK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684</v>
      </c>
      <c r="AL24" s="73">
        <f t="array" ref="AL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685</v>
      </c>
      <c r="AM24" s="73">
        <f t="array" ref="AM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685</v>
      </c>
      <c r="AN24" s="73">
        <f t="array" ref="AN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686</v>
      </c>
      <c r="AO24" s="73">
        <f t="array" ref="AO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687</v>
      </c>
      <c r="AP24" s="73">
        <f t="array" ref="AP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688</v>
      </c>
      <c r="AQ24" s="73">
        <f t="array" ref="AQ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689</v>
      </c>
      <c r="AR24" s="73">
        <f t="array" ref="AR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690</v>
      </c>
      <c r="AS24" s="73">
        <f t="array" ref="AS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691</v>
      </c>
      <c r="AT24" s="73">
        <f t="array" ref="AT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692</v>
      </c>
      <c r="AU24" s="73">
        <f t="array" ref="AU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693</v>
      </c>
      <c r="AV24" s="73">
        <f t="array" ref="AV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694</v>
      </c>
      <c r="AW24" s="73">
        <f t="array" ref="AW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695</v>
      </c>
      <c r="AX24" s="73">
        <f t="array" ref="AX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696</v>
      </c>
      <c r="AY24" s="73">
        <f t="array" ref="AY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697</v>
      </c>
      <c r="AZ24" s="73">
        <f t="array" ref="AZ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698</v>
      </c>
      <c r="BA24" s="73">
        <f t="array" ref="BA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699</v>
      </c>
      <c r="BB24" s="73">
        <f t="array" ref="BB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700</v>
      </c>
      <c r="BC24" s="73">
        <f t="array" ref="BC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701</v>
      </c>
      <c r="BD24" s="73">
        <f t="array" ref="BD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702</v>
      </c>
      <c r="BE24" s="73">
        <f t="array" ref="BE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703</v>
      </c>
      <c r="BF24" s="73">
        <f t="array" ref="BF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704</v>
      </c>
      <c r="BG24" s="73">
        <f t="array" ref="BG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704</v>
      </c>
      <c r="BH24" s="73">
        <f t="array" ref="BH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704</v>
      </c>
      <c r="BI24" s="73">
        <f t="array" ref="BI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705</v>
      </c>
      <c r="BJ24" s="73">
        <f t="array" ref="BJ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706</v>
      </c>
      <c r="BK24" s="73">
        <f t="array" ref="BK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707</v>
      </c>
      <c r="BL24" s="73">
        <f t="array" ref="BL24">IF($E24="","",_xlfn.SWITCH(LEFT(INDEX($B$5:$B$261,$E24),FIND("|",INDEX($B$5:$B$261,$E24))-1),"ابنیه",VLOOKUP(INDEX($D$5:$D$261,$E24),'نمودار ابنیه'!$A$9:$BG$37,COLUMN()-5,FALSE),"مکانیکی",VLOOKUP(INDEX($D$5:$D$261,$E24),'نمودار مکانیکی'!$A$9:$BG$43,COLUMN()-5,FALSE),"برقی",VLOOKUP(INDEX($D$5:$D$261,$E24),'نمودار تاسیسات برقی'!$A$9:$BG$44,COLUMN()-5,FALSE),"خطوط",VLOOKUP(INDEX($D$5:$D$261,$E24),'نمودار خطوط انتقال '!$A$9:$BG$26,COLUMN()-5,FALSE),"شبکه",VLOOKUP(INDEX($D$5:$D$261,$E24),'نمودار شبکه توزیع آ'!$A$9:$BG$22,COLUMN()-5,FALSE),"سد",VLOOKUP(INDEX($D$5:$D$261,$E24),'نمودار سدسازی'!$A$9:$BG$23,COLUMN()-5,FALSE),"فاضلاب",VLOOKUP(INDEX($D$5:$D$261,$E24),'نمودار جمع‌آوری و ا'!$A$9:$BG$26,COLUMN()-5,FALSE),"تجهیزات",VLOOKUP(INDEX($D$5:$D$261,$E24),'نمودار تجهیزات آب و'!$A$9:$BG$42,COLUMN()-5,FALSE),"پست",VLOOKUP(INDEX($D$5:$D$261,$E24),'نمودار پست های انتق'!$A$9:$BG$41,COLUMN()-5,FALSE),"نیرو",VLOOKUP(INDEX($D$5:$D$261,$E24),'نمودار توزیع نیرو ب'!$A$9:$BG$38,COLUMN()-5,FALSE),""))</f>
        <v>708</v>
      </c>
    </row>
    <row r="25" spans="1:64" ht="20" customHeight="1">
      <c r="A25" s="25">
        <v>21</v>
      </c>
      <c r="B25" s="26" t="s">
        <v>7</v>
      </c>
      <c r="C25" s="27" t="b">
        <f t="array" ref="C25">_xlfn.SWITCH(LEFT(B25,FIND("|",B25)-1),"ابنیه",HLOOKUP(D25,'نمودار ابنیه'!$B$5:$AD$6,2,FALSE),"مکانیکی",HLOOKUP(D25,'نمودار مکانیکی'!$B$5:$AJ$6,2,FALSE),"برقی",HLOOKUP(D25,'نمودار تاسیسات برقی'!$B$5:$AK$6,2,FALSE),"خطوط",HLOOKUP(D25,'نمودار خطوط انتقال '!$B$5:$R$6,2,FALSE),"شبکه",HLOOKUP(D25,'نمودار شبکه توزیع آ'!$B$5:$O$6,2,FALSE),"سد",HLOOKUP(D25,'نمودار سدسازی'!$B$5:$P$6,2,FALSE),"فاضلاب",HLOOKUP(D25,'نمودار جمع‌آوری و ا'!$B$5:$S$6,2,FALSE),"تجهیزات",HLOOKUP(D25,'نمودار تجهیزات آب و'!$B$5:$AG$6,2,FALSE),"پست",HLOOKUP(D25,'نمودار پست های انتق'!$B$5:$AH$6,2,FALSE),"نیرو",HLOOKUP(D25,'نمودار توزیع نیرو ب'!$B$5:$AE$6,2,FALSE),FALSE)</f>
        <v>0</v>
      </c>
      <c r="D25" s="28" t="s">
        <v>88</v>
      </c>
      <c r="E25" s="15">
        <f t="array" ref="E25">IFERROR(_xlfn.AGGREGATE(15,6,ROW($C$5:$C$261)/($C$5:$C$261=TRUE),20)-4,"")</f>
        <v>117</v>
      </c>
      <c r="F25" s="29" t="str">
        <f t="array" ref="F25">IF($E25="","",LEFT(INDEX($B$5:$B$261,$E25),FIND("|",INDEX($B$5:$B$261,$E25))-1)&amp;":"&amp;LEFT(INDEX($D$5:$D$261,$E25),20))</f>
        <v>شبکه:عملیات لوله گذاری با</v>
      </c>
      <c r="G25" s="32">
        <f t="array" ref="G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335.5</v>
      </c>
      <c r="H25" s="32">
        <f t="array" ref="H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346</v>
      </c>
      <c r="I25" s="32">
        <f t="array" ref="I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355.9</v>
      </c>
      <c r="J25" s="32">
        <f t="array" ref="J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365.7</v>
      </c>
      <c r="K25" s="32">
        <f t="array" ref="K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404.1</v>
      </c>
      <c r="L25" s="32">
        <f t="array" ref="L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424</v>
      </c>
      <c r="M25" s="32">
        <f t="array" ref="M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455.6</v>
      </c>
      <c r="N25" s="32">
        <f t="array" ref="N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469.7</v>
      </c>
      <c r="O25" s="32">
        <f t="array" ref="O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525.70000000000005</v>
      </c>
      <c r="P25" s="32">
        <f t="array" ref="P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536.4</v>
      </c>
      <c r="Q25" s="32">
        <f t="array" ref="Q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546.9</v>
      </c>
      <c r="R25" s="32">
        <f t="array" ref="R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557.79999999999995</v>
      </c>
      <c r="S25" s="32">
        <f t="array" ref="S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641.1</v>
      </c>
      <c r="T25" s="32">
        <f t="array" ref="T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653</v>
      </c>
      <c r="U25" s="32">
        <f t="array" ref="U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662</v>
      </c>
      <c r="V25" s="32">
        <f t="array" ref="V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670.5</v>
      </c>
      <c r="W25" s="32">
        <f t="array" ref="W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731.1</v>
      </c>
      <c r="X25" s="32">
        <f t="array" ref="X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737</v>
      </c>
      <c r="Y25" s="32">
        <f t="array" ref="Y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741.8</v>
      </c>
      <c r="Z25" s="32">
        <f t="array" ref="Z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745.8</v>
      </c>
      <c r="AA25" s="32">
        <f t="array" ref="AA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798.1</v>
      </c>
      <c r="AB25" s="32">
        <f t="array" ref="AB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805.6</v>
      </c>
      <c r="AC25" s="32">
        <f t="array" ref="AC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813.1</v>
      </c>
      <c r="AD25" s="32">
        <f t="array" ref="AD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820.4</v>
      </c>
      <c r="AE25" s="32">
        <f t="array" ref="AE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888.5</v>
      </c>
      <c r="AF25" s="32">
        <f t="array" ref="AF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891.4</v>
      </c>
      <c r="AG25" s="32">
        <f t="array" ref="AG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908.9</v>
      </c>
      <c r="AH25" s="32">
        <f t="array" ref="AH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917.6</v>
      </c>
      <c r="AI25" s="32">
        <f t="array" ref="AI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1044.9000000000001</v>
      </c>
      <c r="AJ25" s="32">
        <f t="array" ref="AJ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1113.2</v>
      </c>
      <c r="AK25" s="32">
        <f t="array" ref="AK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1139.0999999999999</v>
      </c>
      <c r="AL25" s="32">
        <f t="array" ref="AL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1160.4000000000001</v>
      </c>
      <c r="AM25" s="32">
        <f t="array" ref="AM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1178.2</v>
      </c>
      <c r="AN25" s="32">
        <f t="array" ref="AN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1219.4000000000001</v>
      </c>
      <c r="AO25" s="32">
        <f t="array" ref="AO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1467.2</v>
      </c>
      <c r="AP25" s="32">
        <f t="array" ref="AP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1540.4</v>
      </c>
      <c r="AQ25" s="32">
        <f t="array" ref="AQ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1593</v>
      </c>
      <c r="AR25" s="32">
        <f t="array" ref="AR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1650.8</v>
      </c>
      <c r="AS25" s="32">
        <f t="array" ref="AS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2017.6</v>
      </c>
      <c r="AT25" s="32">
        <f t="array" ref="AT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2261.6999999999998</v>
      </c>
      <c r="AU25" s="32">
        <f t="array" ref="AU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2303</v>
      </c>
      <c r="AV25" s="32">
        <f t="array" ref="AV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2389.1999999999998</v>
      </c>
      <c r="AW25" s="32">
        <f t="array" ref="AW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2629.2</v>
      </c>
      <c r="AX25" s="32">
        <f t="array" ref="AX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2770.3</v>
      </c>
      <c r="AY25" s="32">
        <f t="array" ref="AY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3611.6</v>
      </c>
      <c r="AZ25" s="32">
        <f t="array" ref="AZ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3827</v>
      </c>
      <c r="BA25" s="32">
        <f t="array" ref="BA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3848.6</v>
      </c>
      <c r="BB25" s="32">
        <f t="array" ref="BB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3914.9</v>
      </c>
      <c r="BC25" s="32">
        <f t="array" ref="BC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4933.5</v>
      </c>
      <c r="BD25" s="32">
        <f t="array" ref="BD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5046.6000000000004</v>
      </c>
      <c r="BE25" s="32">
        <f t="array" ref="BE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5471.1</v>
      </c>
      <c r="BF25" s="32">
        <f t="array" ref="BF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5735.6</v>
      </c>
      <c r="BG25" s="32">
        <f t="array" ref="BG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5738</v>
      </c>
      <c r="BH25" s="32">
        <f t="array" ref="BH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5748.3</v>
      </c>
      <c r="BI25" s="32">
        <f t="array" ref="BI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7003.8</v>
      </c>
      <c r="BJ25" s="32">
        <f t="array" ref="BJ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7276</v>
      </c>
      <c r="BK25" s="32">
        <f t="array" ref="BK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7424.6</v>
      </c>
      <c r="BL25" s="32">
        <f t="array" ref="BL25">IF($E25="","",_xlfn.SWITCH(LEFT(INDEX($B$5:$B$261,$E25),FIND("|",INDEX($B$5:$B$261,$E25))-1),"ابنیه",VLOOKUP(INDEX($D$5:$D$261,$E25),'نمودار ابنیه'!$A$9:$BG$37,COLUMN()-5,FALSE),"مکانیکی",VLOOKUP(INDEX($D$5:$D$261,$E25),'نمودار مکانیکی'!$A$9:$BG$43,COLUMN()-5,FALSE),"برقی",VLOOKUP(INDEX($D$5:$D$261,$E25),'نمودار تاسیسات برقی'!$A$9:$BG$44,COLUMN()-5,FALSE),"خطوط",VLOOKUP(INDEX($D$5:$D$261,$E25),'نمودار خطوط انتقال '!$A$9:$BG$26,COLUMN()-5,FALSE),"شبکه",VLOOKUP(INDEX($D$5:$D$261,$E25),'نمودار شبکه توزیع آ'!$A$9:$BG$22,COLUMN()-5,FALSE),"سد",VLOOKUP(INDEX($D$5:$D$261,$E25),'نمودار سدسازی'!$A$9:$BG$23,COLUMN()-5,FALSE),"فاضلاب",VLOOKUP(INDEX($D$5:$D$261,$E25),'نمودار جمع‌آوری و ا'!$A$9:$BG$26,COLUMN()-5,FALSE),"تجهیزات",VLOOKUP(INDEX($D$5:$D$261,$E25),'نمودار تجهیزات آب و'!$A$9:$BG$42,COLUMN()-5,FALSE),"پست",VLOOKUP(INDEX($D$5:$D$261,$E25),'نمودار پست های انتق'!$A$9:$BG$41,COLUMN()-5,FALSE),"نیرو",VLOOKUP(INDEX($D$5:$D$261,$E25),'نمودار توزیع نیرو ب'!$A$9:$BG$38,COLUMN()-5,FALSE),""))</f>
        <v>7626.4</v>
      </c>
    </row>
    <row r="26" spans="1:64" ht="20" customHeight="1">
      <c r="A26" s="68">
        <v>22</v>
      </c>
      <c r="B26" s="69" t="s">
        <v>7</v>
      </c>
      <c r="C26" s="70" t="b">
        <f t="array" ref="C26">_xlfn.SWITCH(LEFT(B26,FIND("|",B26)-1),"ابنیه",HLOOKUP(D26,'نمودار ابنیه'!$B$5:$AD$6,2,FALSE),"مکانیکی",HLOOKUP(D26,'نمودار مکانیکی'!$B$5:$AJ$6,2,FALSE),"برقی",HLOOKUP(D26,'نمودار تاسیسات برقی'!$B$5:$AK$6,2,FALSE),"خطوط",HLOOKUP(D26,'نمودار خطوط انتقال '!$B$5:$R$6,2,FALSE),"شبکه",HLOOKUP(D26,'نمودار شبکه توزیع آ'!$B$5:$O$6,2,FALSE),"سد",HLOOKUP(D26,'نمودار سدسازی'!$B$5:$P$6,2,FALSE),"فاضلاب",HLOOKUP(D26,'نمودار جمع‌آوری و ا'!$B$5:$S$6,2,FALSE),"تجهیزات",HLOOKUP(D26,'نمودار تجهیزات آب و'!$B$5:$AG$6,2,FALSE),"پست",HLOOKUP(D26,'نمودار پست های انتق'!$B$5:$AH$6,2,FALSE),"نیرو",HLOOKUP(D26,'نمودار توزیع نیرو ب'!$B$5:$AE$6,2,FALSE),FALSE)</f>
        <v>0</v>
      </c>
      <c r="D26" s="71" t="s">
        <v>89</v>
      </c>
      <c r="E26" s="15"/>
      <c r="F26" s="72"/>
      <c r="G26" s="73">
        <v>219.5</v>
      </c>
      <c r="H26" s="73">
        <v>230.3</v>
      </c>
      <c r="I26" s="73">
        <v>242.9</v>
      </c>
      <c r="J26" s="73">
        <v>248</v>
      </c>
      <c r="K26" s="73">
        <v>258.5</v>
      </c>
      <c r="L26" s="73">
        <v>264.60000000000002</v>
      </c>
      <c r="M26" s="73">
        <v>295.2</v>
      </c>
      <c r="N26" s="73">
        <v>321.7</v>
      </c>
      <c r="O26" s="73">
        <v>352.3</v>
      </c>
      <c r="P26" s="73">
        <v>353.9</v>
      </c>
      <c r="Q26" s="73">
        <v>361.4</v>
      </c>
      <c r="R26" s="73">
        <v>367.2</v>
      </c>
      <c r="S26" s="73">
        <v>404.2</v>
      </c>
      <c r="T26" s="73">
        <v>409.1</v>
      </c>
      <c r="U26" s="73">
        <v>420</v>
      </c>
      <c r="V26" s="73">
        <v>420.8</v>
      </c>
      <c r="W26" s="73">
        <v>427.5</v>
      </c>
      <c r="X26" s="73">
        <v>428.4</v>
      </c>
      <c r="Y26" s="73">
        <v>429.1</v>
      </c>
      <c r="Z26" s="73">
        <v>429.5</v>
      </c>
      <c r="AA26" s="73">
        <v>435.9</v>
      </c>
      <c r="AB26" s="73">
        <v>437</v>
      </c>
      <c r="AC26" s="73">
        <v>443</v>
      </c>
      <c r="AD26" s="73">
        <v>443.7</v>
      </c>
      <c r="AE26" s="73">
        <v>468.8</v>
      </c>
      <c r="AF26" s="73">
        <v>470.2</v>
      </c>
      <c r="AG26" s="73">
        <v>488.9</v>
      </c>
      <c r="AH26" s="73">
        <v>506.7</v>
      </c>
      <c r="AI26" s="73">
        <v>573.70000000000005</v>
      </c>
      <c r="AJ26" s="73">
        <v>650.70000000000005</v>
      </c>
      <c r="AK26" s="73">
        <v>670.1</v>
      </c>
      <c r="AL26" s="73">
        <v>677.1</v>
      </c>
      <c r="AM26" s="73">
        <v>699.4</v>
      </c>
      <c r="AN26" s="73">
        <v>703.4</v>
      </c>
      <c r="AO26" s="73">
        <v>798.5</v>
      </c>
      <c r="AP26" s="73">
        <v>845.1</v>
      </c>
      <c r="AQ26" s="73">
        <v>873</v>
      </c>
      <c r="AR26" s="73">
        <v>955.8</v>
      </c>
      <c r="AS26" s="73">
        <v>1129.5</v>
      </c>
      <c r="AT26" s="73">
        <v>1243.2</v>
      </c>
      <c r="AU26" s="73">
        <v>1246.3</v>
      </c>
      <c r="AV26" s="73">
        <v>1340.9</v>
      </c>
      <c r="AW26" s="73">
        <v>1513.5</v>
      </c>
      <c r="AX26" s="73">
        <v>1600.8</v>
      </c>
      <c r="AY26" s="73">
        <v>2016.5</v>
      </c>
      <c r="AZ26" s="73">
        <v>2148.4</v>
      </c>
      <c r="BA26" s="73">
        <v>2262.5</v>
      </c>
      <c r="BB26" s="73">
        <v>2305.5</v>
      </c>
      <c r="BC26" s="73">
        <v>2686.9</v>
      </c>
      <c r="BD26" s="73">
        <v>2835.2</v>
      </c>
      <c r="BE26" s="73">
        <v>3081.5</v>
      </c>
      <c r="BF26" s="73">
        <v>3396.2</v>
      </c>
      <c r="BG26" s="73">
        <v>3398.7</v>
      </c>
      <c r="BH26" s="73">
        <v>3600.5</v>
      </c>
      <c r="BI26" s="73">
        <v>4093.2</v>
      </c>
      <c r="BJ26" s="73">
        <v>4140.3999999999996</v>
      </c>
      <c r="BK26" s="73">
        <v>4486.8999999999996</v>
      </c>
      <c r="BL26" s="73">
        <v>4508.3</v>
      </c>
    </row>
    <row r="27" spans="1:64" ht="20" customHeight="1">
      <c r="A27" s="25">
        <v>23</v>
      </c>
      <c r="B27" s="26" t="s">
        <v>7</v>
      </c>
      <c r="C27" s="27" t="b">
        <f t="array" ref="C27">_xlfn.SWITCH(LEFT(B27,FIND("|",B27)-1),"ابنیه",HLOOKUP(D27,'نمودار ابنیه'!$B$5:$AD$6,2,FALSE),"مکانیکی",HLOOKUP(D27,'نمودار مکانیکی'!$B$5:$AJ$6,2,FALSE),"برقی",HLOOKUP(D27,'نمودار تاسیسات برقی'!$B$5:$AK$6,2,FALSE),"خطوط",HLOOKUP(D27,'نمودار خطوط انتقال '!$B$5:$R$6,2,FALSE),"شبکه",HLOOKUP(D27,'نمودار شبکه توزیع آ'!$B$5:$O$6,2,FALSE),"سد",HLOOKUP(D27,'نمودار سدسازی'!$B$5:$P$6,2,FALSE),"فاضلاب",HLOOKUP(D27,'نمودار جمع‌آوری و ا'!$B$5:$S$6,2,FALSE),"تجهیزات",HLOOKUP(D27,'نمودار تجهیزات آب و'!$B$5:$AG$6,2,FALSE),"پست",HLOOKUP(D27,'نمودار پست های انتق'!$B$5:$AH$6,2,FALSE),"نیرو",HLOOKUP(D27,'نمودار توزیع نیرو ب'!$B$5:$AE$6,2,FALSE),FALSE)</f>
        <v>0</v>
      </c>
      <c r="D27" s="28" t="s">
        <v>90</v>
      </c>
      <c r="E27" s="15"/>
      <c r="F27" s="29"/>
      <c r="G27" s="32">
        <v>230.4</v>
      </c>
      <c r="H27" s="32">
        <v>233.9</v>
      </c>
      <c r="I27" s="32">
        <v>244.7</v>
      </c>
      <c r="J27" s="32">
        <v>250.5</v>
      </c>
      <c r="K27" s="32">
        <v>278.10000000000002</v>
      </c>
      <c r="L27" s="32">
        <v>292.8</v>
      </c>
      <c r="M27" s="32">
        <v>339.5</v>
      </c>
      <c r="N27" s="32">
        <v>341</v>
      </c>
      <c r="O27" s="32">
        <v>364.5</v>
      </c>
      <c r="P27" s="32">
        <v>361.2</v>
      </c>
      <c r="Q27" s="32">
        <v>375.5</v>
      </c>
      <c r="R27" s="32">
        <v>374.4</v>
      </c>
      <c r="S27" s="32">
        <v>419.5</v>
      </c>
      <c r="T27" s="32">
        <v>421.3</v>
      </c>
      <c r="U27" s="32">
        <v>428.7</v>
      </c>
      <c r="V27" s="32">
        <v>429.7</v>
      </c>
      <c r="W27" s="32">
        <v>435.5</v>
      </c>
      <c r="X27" s="32">
        <v>432.9</v>
      </c>
      <c r="Y27" s="32">
        <v>437.8</v>
      </c>
      <c r="Z27" s="32">
        <v>435.2</v>
      </c>
      <c r="AA27" s="32">
        <v>454</v>
      </c>
      <c r="AB27" s="32">
        <v>457</v>
      </c>
      <c r="AC27" s="32">
        <v>483</v>
      </c>
      <c r="AD27" s="32">
        <v>490.1</v>
      </c>
      <c r="AE27" s="32">
        <v>512.5</v>
      </c>
      <c r="AF27" s="32">
        <v>518.9</v>
      </c>
      <c r="AG27" s="32">
        <v>533.79999999999995</v>
      </c>
      <c r="AH27" s="32">
        <v>546.4</v>
      </c>
      <c r="AI27" s="32">
        <v>632.20000000000005</v>
      </c>
      <c r="AJ27" s="32">
        <v>681.9</v>
      </c>
      <c r="AK27" s="32">
        <v>751.9</v>
      </c>
      <c r="AL27" s="32">
        <v>852.2</v>
      </c>
      <c r="AM27" s="32">
        <v>915.2</v>
      </c>
      <c r="AN27" s="32">
        <v>918.4</v>
      </c>
      <c r="AO27" s="32">
        <v>1083.2</v>
      </c>
      <c r="AP27" s="32">
        <v>1056.8</v>
      </c>
      <c r="AQ27" s="32">
        <v>1088.5999999999999</v>
      </c>
      <c r="AR27" s="32">
        <v>1180.0999999999999</v>
      </c>
      <c r="AS27" s="32">
        <v>1412.9</v>
      </c>
      <c r="AT27" s="32">
        <v>1733.5</v>
      </c>
      <c r="AU27" s="32">
        <v>1769.4</v>
      </c>
      <c r="AV27" s="32">
        <v>1887.3</v>
      </c>
      <c r="AW27" s="32">
        <v>2065.6999999999998</v>
      </c>
      <c r="AX27" s="32">
        <v>2329.3000000000002</v>
      </c>
      <c r="AY27" s="32">
        <v>2717.7</v>
      </c>
      <c r="AZ27" s="32">
        <v>2976.4</v>
      </c>
      <c r="BA27" s="32">
        <v>3073.8</v>
      </c>
      <c r="BB27" s="32">
        <v>3057.8</v>
      </c>
      <c r="BC27" s="32">
        <v>3600.1</v>
      </c>
      <c r="BD27" s="32">
        <v>3666.6</v>
      </c>
      <c r="BE27" s="32">
        <v>3915.6</v>
      </c>
      <c r="BF27" s="32">
        <v>4341</v>
      </c>
      <c r="BG27" s="32">
        <v>4554.2</v>
      </c>
      <c r="BH27" s="32">
        <v>4799.6000000000004</v>
      </c>
      <c r="BI27" s="32">
        <v>5184.5</v>
      </c>
      <c r="BJ27" s="32">
        <v>5123.7</v>
      </c>
      <c r="BK27" s="32">
        <v>5386.3</v>
      </c>
      <c r="BL27" s="32">
        <v>5467.6</v>
      </c>
    </row>
    <row r="28" spans="1:64" ht="20" customHeight="1">
      <c r="A28" s="68">
        <v>24</v>
      </c>
      <c r="B28" s="69" t="s">
        <v>7</v>
      </c>
      <c r="C28" s="70" t="b">
        <f t="array" ref="C28">_xlfn.SWITCH(LEFT(B28,FIND("|",B28)-1),"ابنیه",HLOOKUP(D28,'نمودار ابنیه'!$B$5:$AD$6,2,FALSE),"مکانیکی",HLOOKUP(D28,'نمودار مکانیکی'!$B$5:$AJ$6,2,FALSE),"برقی",HLOOKUP(D28,'نمودار تاسیسات برقی'!$B$5:$AK$6,2,FALSE),"خطوط",HLOOKUP(D28,'نمودار خطوط انتقال '!$B$5:$R$6,2,FALSE),"شبکه",HLOOKUP(D28,'نمودار شبکه توزیع آ'!$B$5:$O$6,2,FALSE),"سد",HLOOKUP(D28,'نمودار سدسازی'!$B$5:$P$6,2,FALSE),"فاضلاب",HLOOKUP(D28,'نمودار جمع‌آوری و ا'!$B$5:$S$6,2,FALSE),"تجهیزات",HLOOKUP(D28,'نمودار تجهیزات آب و'!$B$5:$AG$6,2,FALSE),"پست",HLOOKUP(D28,'نمودار پست های انتق'!$B$5:$AH$6,2,FALSE),"نیرو",HLOOKUP(D28,'نمودار توزیع نیرو ب'!$B$5:$AE$6,2,FALSE),FALSE)</f>
        <v>0</v>
      </c>
      <c r="D28" s="71" t="s">
        <v>91</v>
      </c>
      <c r="E28" s="15"/>
      <c r="F28" s="72"/>
      <c r="G28" s="73">
        <v>166.2</v>
      </c>
      <c r="H28" s="73">
        <v>169.5</v>
      </c>
      <c r="I28" s="73">
        <v>180.9</v>
      </c>
      <c r="J28" s="73">
        <v>194.6</v>
      </c>
      <c r="K28" s="73">
        <v>209.7</v>
      </c>
      <c r="L28" s="73">
        <v>218.8</v>
      </c>
      <c r="M28" s="73">
        <v>236.6</v>
      </c>
      <c r="N28" s="73">
        <v>239.3</v>
      </c>
      <c r="O28" s="73">
        <v>263.2</v>
      </c>
      <c r="P28" s="73">
        <v>265.5</v>
      </c>
      <c r="Q28" s="73">
        <v>267.8</v>
      </c>
      <c r="R28" s="73">
        <v>271.10000000000002</v>
      </c>
      <c r="S28" s="73">
        <v>293.60000000000002</v>
      </c>
      <c r="T28" s="73">
        <v>296.5</v>
      </c>
      <c r="U28" s="73">
        <v>304.7</v>
      </c>
      <c r="V28" s="73">
        <v>307.10000000000002</v>
      </c>
      <c r="W28" s="73">
        <v>324.8</v>
      </c>
      <c r="X28" s="73">
        <v>326.7</v>
      </c>
      <c r="Y28" s="73">
        <v>328.7</v>
      </c>
      <c r="Z28" s="73">
        <v>330.2</v>
      </c>
      <c r="AA28" s="73">
        <v>346.9</v>
      </c>
      <c r="AB28" s="73">
        <v>348.9</v>
      </c>
      <c r="AC28" s="73">
        <v>353</v>
      </c>
      <c r="AD28" s="73">
        <v>354.7</v>
      </c>
      <c r="AE28" s="73">
        <v>381</v>
      </c>
      <c r="AF28" s="73">
        <v>385.7</v>
      </c>
      <c r="AG28" s="73">
        <v>388.1</v>
      </c>
      <c r="AH28" s="73">
        <v>390.2</v>
      </c>
      <c r="AI28" s="73">
        <v>443.8</v>
      </c>
      <c r="AJ28" s="73">
        <v>482.7</v>
      </c>
      <c r="AK28" s="73">
        <v>490.3</v>
      </c>
      <c r="AL28" s="73">
        <v>491.9</v>
      </c>
      <c r="AM28" s="73">
        <v>547.9</v>
      </c>
      <c r="AN28" s="73">
        <v>554.70000000000005</v>
      </c>
      <c r="AO28" s="73">
        <v>620.1</v>
      </c>
      <c r="AP28" s="73">
        <v>634.79999999999995</v>
      </c>
      <c r="AQ28" s="73">
        <v>645.29999999999995</v>
      </c>
      <c r="AR28" s="73">
        <v>655.1</v>
      </c>
      <c r="AS28" s="73">
        <v>761.7</v>
      </c>
      <c r="AT28" s="73">
        <v>818.2</v>
      </c>
      <c r="AU28" s="73">
        <v>819.7</v>
      </c>
      <c r="AV28" s="73">
        <v>829.6</v>
      </c>
      <c r="AW28" s="73">
        <v>1043.0999999999999</v>
      </c>
      <c r="AX28" s="73">
        <v>1109.8</v>
      </c>
      <c r="AY28" s="73">
        <v>1472.1</v>
      </c>
      <c r="AZ28" s="73">
        <v>1583</v>
      </c>
      <c r="BA28" s="73">
        <v>1611.5</v>
      </c>
      <c r="BB28" s="73">
        <v>1645.7</v>
      </c>
      <c r="BC28" s="73">
        <v>2074.1</v>
      </c>
      <c r="BD28" s="73">
        <v>2140</v>
      </c>
      <c r="BE28" s="73">
        <v>2225.3000000000002</v>
      </c>
      <c r="BF28" s="73">
        <v>2329.1</v>
      </c>
      <c r="BG28" s="73">
        <v>2329.9</v>
      </c>
      <c r="BH28" s="73">
        <v>2436.1</v>
      </c>
      <c r="BI28" s="73">
        <v>2846.6</v>
      </c>
      <c r="BJ28" s="73">
        <v>2905.3</v>
      </c>
      <c r="BK28" s="73">
        <v>3177.1</v>
      </c>
      <c r="BL28" s="73">
        <v>3216.3</v>
      </c>
    </row>
    <row r="29" spans="1:64" ht="20" customHeight="1">
      <c r="A29" s="25">
        <v>25</v>
      </c>
      <c r="B29" s="26" t="s">
        <v>7</v>
      </c>
      <c r="C29" s="27" t="b">
        <f t="array" ref="C29">_xlfn.SWITCH(LEFT(B29,FIND("|",B29)-1),"ابنیه",HLOOKUP(D29,'نمودار ابنیه'!$B$5:$AD$6,2,FALSE),"مکانیکی",HLOOKUP(D29,'نمودار مکانیکی'!$B$5:$AJ$6,2,FALSE),"برقی",HLOOKUP(D29,'نمودار تاسیسات برقی'!$B$5:$AK$6,2,FALSE),"خطوط",HLOOKUP(D29,'نمودار خطوط انتقال '!$B$5:$R$6,2,FALSE),"شبکه",HLOOKUP(D29,'نمودار شبکه توزیع آ'!$B$5:$O$6,2,FALSE),"سد",HLOOKUP(D29,'نمودار سدسازی'!$B$5:$P$6,2,FALSE),"فاضلاب",HLOOKUP(D29,'نمودار جمع‌آوری و ا'!$B$5:$S$6,2,FALSE),"تجهیزات",HLOOKUP(D29,'نمودار تجهیزات آب و'!$B$5:$AG$6,2,FALSE),"پست",HLOOKUP(D29,'نمودار پست های انتق'!$B$5:$AH$6,2,FALSE),"نیرو",HLOOKUP(D29,'نمودار توزیع نیرو ب'!$B$5:$AE$6,2,FALSE),FALSE)</f>
        <v>0</v>
      </c>
      <c r="D29" s="28" t="s">
        <v>92</v>
      </c>
      <c r="E29" s="15"/>
      <c r="F29" s="29"/>
      <c r="G29" s="32">
        <v>263.2</v>
      </c>
      <c r="H29" s="32">
        <v>272.5</v>
      </c>
      <c r="I29" s="32">
        <v>281.39999999999998</v>
      </c>
      <c r="J29" s="32">
        <v>284.7</v>
      </c>
      <c r="K29" s="32">
        <v>317.5</v>
      </c>
      <c r="L29" s="32">
        <v>336.2</v>
      </c>
      <c r="M29" s="32">
        <v>358.6</v>
      </c>
      <c r="N29" s="32">
        <v>364</v>
      </c>
      <c r="O29" s="32">
        <v>411.7</v>
      </c>
      <c r="P29" s="32">
        <v>416.7</v>
      </c>
      <c r="Q29" s="32">
        <v>423.6</v>
      </c>
      <c r="R29" s="32">
        <v>431.4</v>
      </c>
      <c r="S29" s="32">
        <v>471.6</v>
      </c>
      <c r="T29" s="32">
        <v>477.4</v>
      </c>
      <c r="U29" s="32">
        <v>484.1</v>
      </c>
      <c r="V29" s="32">
        <v>488.9</v>
      </c>
      <c r="W29" s="32">
        <v>521.29999999999995</v>
      </c>
      <c r="X29" s="32">
        <v>524.20000000000005</v>
      </c>
      <c r="Y29" s="32">
        <v>527.29999999999995</v>
      </c>
      <c r="Z29" s="32">
        <v>529.9</v>
      </c>
      <c r="AA29" s="32">
        <v>559.6</v>
      </c>
      <c r="AB29" s="32">
        <v>563.29999999999995</v>
      </c>
      <c r="AC29" s="32">
        <v>570</v>
      </c>
      <c r="AD29" s="32">
        <v>573.79999999999995</v>
      </c>
      <c r="AE29" s="32">
        <v>613.9</v>
      </c>
      <c r="AF29" s="32">
        <v>617.79999999999995</v>
      </c>
      <c r="AG29" s="32">
        <v>629.1</v>
      </c>
      <c r="AH29" s="32">
        <v>640</v>
      </c>
      <c r="AI29" s="32">
        <v>788.7</v>
      </c>
      <c r="AJ29" s="32">
        <v>856</v>
      </c>
      <c r="AK29" s="32">
        <v>893.7</v>
      </c>
      <c r="AL29" s="32">
        <v>904.4</v>
      </c>
      <c r="AM29" s="32">
        <v>922.4</v>
      </c>
      <c r="AN29" s="32">
        <v>938.4</v>
      </c>
      <c r="AO29" s="32">
        <v>1100.9000000000001</v>
      </c>
      <c r="AP29" s="32">
        <v>1135.4000000000001</v>
      </c>
      <c r="AQ29" s="32">
        <v>1155.0999999999999</v>
      </c>
      <c r="AR29" s="32">
        <v>1181.3</v>
      </c>
      <c r="AS29" s="32">
        <v>1374.5</v>
      </c>
      <c r="AT29" s="32">
        <v>1504.8</v>
      </c>
      <c r="AU29" s="32">
        <v>1522.7</v>
      </c>
      <c r="AV29" s="32">
        <v>1583.4</v>
      </c>
      <c r="AW29" s="32">
        <v>1793.7</v>
      </c>
      <c r="AX29" s="32">
        <v>1897.9</v>
      </c>
      <c r="AY29" s="32">
        <v>2433.4</v>
      </c>
      <c r="AZ29" s="32">
        <v>2610.5</v>
      </c>
      <c r="BA29" s="32">
        <v>2674.6</v>
      </c>
      <c r="BB29" s="32">
        <v>2727.9</v>
      </c>
      <c r="BC29" s="32">
        <v>3458</v>
      </c>
      <c r="BD29" s="32">
        <v>3605.4</v>
      </c>
      <c r="BE29" s="32">
        <v>3735.9</v>
      </c>
      <c r="BF29" s="32">
        <v>3956</v>
      </c>
      <c r="BG29" s="32">
        <v>3957.9</v>
      </c>
      <c r="BH29" s="32">
        <v>3963.7</v>
      </c>
      <c r="BI29" s="32">
        <v>4733.8999999999996</v>
      </c>
      <c r="BJ29" s="32">
        <v>4883</v>
      </c>
      <c r="BK29" s="32">
        <v>5010.1000000000004</v>
      </c>
      <c r="BL29" s="32">
        <v>5134.2</v>
      </c>
    </row>
    <row r="30" spans="1:64" ht="20" customHeight="1">
      <c r="A30" s="68">
        <v>26</v>
      </c>
      <c r="B30" s="69" t="s">
        <v>7</v>
      </c>
      <c r="C30" s="70" t="b">
        <f t="array" ref="C30">_xlfn.SWITCH(LEFT(B30,FIND("|",B30)-1),"ابنیه",HLOOKUP(D30,'نمودار ابنیه'!$B$5:$AD$6,2,FALSE),"مکانیکی",HLOOKUP(D30,'نمودار مکانیکی'!$B$5:$AJ$6,2,FALSE),"برقی",HLOOKUP(D30,'نمودار تاسیسات برقی'!$B$5:$AK$6,2,FALSE),"خطوط",HLOOKUP(D30,'نمودار خطوط انتقال '!$B$5:$R$6,2,FALSE),"شبکه",HLOOKUP(D30,'نمودار شبکه توزیع آ'!$B$5:$O$6,2,FALSE),"سد",HLOOKUP(D30,'نمودار سدسازی'!$B$5:$P$6,2,FALSE),"فاضلاب",HLOOKUP(D30,'نمودار جمع‌آوری و ا'!$B$5:$S$6,2,FALSE),"تجهیزات",HLOOKUP(D30,'نمودار تجهیزات آب و'!$B$5:$AG$6,2,FALSE),"پست",HLOOKUP(D30,'نمودار پست های انتق'!$B$5:$AH$6,2,FALSE),"نیرو",HLOOKUP(D30,'نمودار توزیع نیرو ب'!$B$5:$AE$6,2,FALSE),FALSE)</f>
        <v>0</v>
      </c>
      <c r="D30" s="71" t="s">
        <v>93</v>
      </c>
      <c r="E30" s="15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</row>
    <row r="31" spans="1:64" ht="20" customHeight="1">
      <c r="A31" s="25">
        <v>27</v>
      </c>
      <c r="B31" s="26" t="s">
        <v>7</v>
      </c>
      <c r="C31" s="27" t="b">
        <f t="array" ref="C31">_xlfn.SWITCH(LEFT(B31,FIND("|",B31)-1),"ابنیه",HLOOKUP(D31,'نمودار ابنیه'!$B$5:$AD$6,2,FALSE),"مکانیکی",HLOOKUP(D31,'نمودار مکانیکی'!$B$5:$AJ$6,2,FALSE),"برقی",HLOOKUP(D31,'نمودار تاسیسات برقی'!$B$5:$AK$6,2,FALSE),"خطوط",HLOOKUP(D31,'نمودار خطوط انتقال '!$B$5:$R$6,2,FALSE),"شبکه",HLOOKUP(D31,'نمودار شبکه توزیع آ'!$B$5:$O$6,2,FALSE),"سد",HLOOKUP(D31,'نمودار سدسازی'!$B$5:$P$6,2,FALSE),"فاضلاب",HLOOKUP(D31,'نمودار جمع‌آوری و ا'!$B$5:$S$6,2,FALSE),"تجهیزات",HLOOKUP(D31,'نمودار تجهیزات آب و'!$B$5:$AG$6,2,FALSE),"پست",HLOOKUP(D31,'نمودار پست های انتق'!$B$5:$AH$6,2,FALSE),"نیرو",HLOOKUP(D31,'نمودار توزیع نیرو ب'!$B$5:$AE$6,2,FALSE),FALSE)</f>
        <v>0</v>
      </c>
      <c r="D31" s="28" t="s">
        <v>94</v>
      </c>
      <c r="E31" s="15"/>
      <c r="F31" s="29"/>
      <c r="G31" s="32">
        <v>412.1</v>
      </c>
      <c r="H31" s="32">
        <v>416.2</v>
      </c>
      <c r="I31" s="32">
        <v>495.7</v>
      </c>
      <c r="J31" s="32">
        <v>538.9</v>
      </c>
      <c r="K31" s="32">
        <v>594.9</v>
      </c>
      <c r="L31" s="32">
        <v>640</v>
      </c>
      <c r="M31" s="32">
        <v>668.4</v>
      </c>
      <c r="N31" s="32">
        <v>783.3</v>
      </c>
      <c r="O31" s="32">
        <v>803</v>
      </c>
      <c r="P31" s="32">
        <v>808.5</v>
      </c>
      <c r="Q31" s="32">
        <v>846</v>
      </c>
      <c r="R31" s="32">
        <v>848.5</v>
      </c>
      <c r="S31" s="32">
        <v>864.3</v>
      </c>
      <c r="T31" s="32">
        <v>870.5</v>
      </c>
      <c r="U31" s="32">
        <v>825.9</v>
      </c>
      <c r="V31" s="32">
        <v>814</v>
      </c>
      <c r="W31" s="32">
        <v>821.4</v>
      </c>
      <c r="X31" s="32">
        <v>821.6</v>
      </c>
      <c r="Y31" s="32">
        <v>756.4</v>
      </c>
      <c r="Z31" s="32">
        <v>589.4</v>
      </c>
      <c r="AA31" s="32">
        <v>609</v>
      </c>
      <c r="AB31" s="32">
        <v>656.1</v>
      </c>
      <c r="AC31" s="32">
        <v>708.7</v>
      </c>
      <c r="AD31" s="32">
        <v>800.7</v>
      </c>
      <c r="AE31" s="32">
        <v>839.1</v>
      </c>
      <c r="AF31" s="32">
        <v>841.8</v>
      </c>
      <c r="AG31" s="32">
        <v>869</v>
      </c>
      <c r="AH31" s="32">
        <v>964.2</v>
      </c>
      <c r="AI31" s="32">
        <v>1061.5</v>
      </c>
      <c r="AJ31" s="32">
        <v>1172.5</v>
      </c>
      <c r="AK31" s="32">
        <v>1283.8</v>
      </c>
      <c r="AL31" s="32">
        <v>1808.5</v>
      </c>
      <c r="AM31" s="32">
        <v>1688.6</v>
      </c>
      <c r="AN31" s="32">
        <v>1681.8</v>
      </c>
      <c r="AO31" s="32">
        <v>1876.6</v>
      </c>
      <c r="AP31" s="32">
        <v>1901.7</v>
      </c>
      <c r="AQ31" s="32">
        <v>1902.5</v>
      </c>
      <c r="AR31" s="32">
        <v>1914.8</v>
      </c>
      <c r="AS31" s="32">
        <v>2163.3000000000002</v>
      </c>
      <c r="AT31" s="32">
        <v>2502.5</v>
      </c>
      <c r="AU31" s="32">
        <v>2530.6</v>
      </c>
      <c r="AV31" s="32">
        <v>2690.3</v>
      </c>
      <c r="AW31" s="32">
        <v>3013.6</v>
      </c>
      <c r="AX31" s="32">
        <v>3149.1</v>
      </c>
      <c r="AY31" s="32">
        <v>3742.4</v>
      </c>
      <c r="AZ31" s="32">
        <v>4106.1000000000004</v>
      </c>
      <c r="BA31" s="32">
        <v>4458.6000000000004</v>
      </c>
      <c r="BB31" s="32">
        <v>4597.3999999999996</v>
      </c>
      <c r="BC31" s="32">
        <v>5375.5</v>
      </c>
      <c r="BD31" s="32">
        <v>5302.1</v>
      </c>
      <c r="BE31" s="32">
        <v>5493.8</v>
      </c>
      <c r="BF31" s="32">
        <v>5886.2</v>
      </c>
      <c r="BG31" s="32">
        <v>6178.2</v>
      </c>
      <c r="BH31" s="32">
        <v>6978.4</v>
      </c>
      <c r="BI31" s="32">
        <v>7531.4</v>
      </c>
      <c r="BJ31" s="32">
        <v>7636.9</v>
      </c>
      <c r="BK31" s="32">
        <v>7887.5</v>
      </c>
      <c r="BL31" s="32">
        <v>8115.2</v>
      </c>
    </row>
    <row r="32" spans="1:64" ht="20" customHeight="1">
      <c r="A32" s="68">
        <v>28</v>
      </c>
      <c r="B32" s="69" t="s">
        <v>7</v>
      </c>
      <c r="C32" s="70" t="b">
        <f t="array" ref="C32">_xlfn.SWITCH(LEFT(B32,FIND("|",B32)-1),"ابنیه",HLOOKUP(D32,'نمودار ابنیه'!$B$5:$AD$6,2,FALSE),"مکانیکی",HLOOKUP(D32,'نمودار مکانیکی'!$B$5:$AJ$6,2,FALSE),"برقی",HLOOKUP(D32,'نمودار تاسیسات برقی'!$B$5:$AK$6,2,FALSE),"خطوط",HLOOKUP(D32,'نمودار خطوط انتقال '!$B$5:$R$6,2,FALSE),"شبکه",HLOOKUP(D32,'نمودار شبکه توزیع آ'!$B$5:$O$6,2,FALSE),"سد",HLOOKUP(D32,'نمودار سدسازی'!$B$5:$P$6,2,FALSE),"فاضلاب",HLOOKUP(D32,'نمودار جمع‌آوری و ا'!$B$5:$S$6,2,FALSE),"تجهیزات",HLOOKUP(D32,'نمودار تجهیزات آب و'!$B$5:$AG$6,2,FALSE),"پست",HLOOKUP(D32,'نمودار پست های انتق'!$B$5:$AH$6,2,FALSE),"نیرو",HLOOKUP(D32,'نمودار توزیع نیرو ب'!$B$5:$AE$6,2,FALSE),FALSE)</f>
        <v>0</v>
      </c>
      <c r="D32" s="71" t="s">
        <v>95</v>
      </c>
      <c r="E32" s="15"/>
      <c r="F32" s="72"/>
      <c r="G32" s="73">
        <v>297</v>
      </c>
      <c r="H32" s="73">
        <v>307.39999999999998</v>
      </c>
      <c r="I32" s="73">
        <v>315.39999999999998</v>
      </c>
      <c r="J32" s="73">
        <v>335.3</v>
      </c>
      <c r="K32" s="73">
        <v>373.1</v>
      </c>
      <c r="L32" s="73">
        <v>396.1</v>
      </c>
      <c r="M32" s="73">
        <v>402.4</v>
      </c>
      <c r="N32" s="73">
        <v>419.1</v>
      </c>
      <c r="O32" s="73">
        <v>474.3</v>
      </c>
      <c r="P32" s="73">
        <v>491.3</v>
      </c>
      <c r="Q32" s="73">
        <v>499.9</v>
      </c>
      <c r="R32" s="73">
        <v>505.6</v>
      </c>
      <c r="S32" s="73">
        <v>559.70000000000005</v>
      </c>
      <c r="T32" s="73">
        <v>573.9</v>
      </c>
      <c r="U32" s="73">
        <v>587</v>
      </c>
      <c r="V32" s="73">
        <v>584</v>
      </c>
      <c r="W32" s="73">
        <v>594</v>
      </c>
      <c r="X32" s="73">
        <v>608.6</v>
      </c>
      <c r="Y32" s="73">
        <v>628.4</v>
      </c>
      <c r="Z32" s="73">
        <v>628.4</v>
      </c>
      <c r="AA32" s="73">
        <v>640.5</v>
      </c>
      <c r="AB32" s="73">
        <v>661</v>
      </c>
      <c r="AC32" s="73">
        <v>669.2</v>
      </c>
      <c r="AD32" s="73">
        <v>671.5</v>
      </c>
      <c r="AE32" s="73">
        <v>700.8</v>
      </c>
      <c r="AF32" s="73">
        <v>725.2</v>
      </c>
      <c r="AG32" s="73">
        <v>731.9</v>
      </c>
      <c r="AH32" s="73">
        <v>738.7</v>
      </c>
      <c r="AI32" s="73">
        <v>824.6</v>
      </c>
      <c r="AJ32" s="73">
        <v>901.2</v>
      </c>
      <c r="AK32" s="73">
        <v>992.6</v>
      </c>
      <c r="AL32" s="73">
        <v>1006.7</v>
      </c>
      <c r="AM32" s="73">
        <v>1055.0999999999999</v>
      </c>
      <c r="AN32" s="73">
        <v>1148.5999999999999</v>
      </c>
      <c r="AO32" s="73">
        <v>1295.3</v>
      </c>
      <c r="AP32" s="73">
        <v>1363.1</v>
      </c>
      <c r="AQ32" s="73">
        <v>1592.1</v>
      </c>
      <c r="AR32" s="73">
        <v>1658</v>
      </c>
      <c r="AS32" s="73">
        <v>2094.1</v>
      </c>
      <c r="AT32" s="73">
        <v>2553.4</v>
      </c>
      <c r="AU32" s="73">
        <v>2619.6999999999998</v>
      </c>
      <c r="AV32" s="73">
        <v>2818.7</v>
      </c>
      <c r="AW32" s="73">
        <v>2984.5</v>
      </c>
      <c r="AX32" s="73">
        <v>3110.6</v>
      </c>
      <c r="AY32" s="73">
        <v>3909.7</v>
      </c>
      <c r="AZ32" s="73">
        <v>4321.1000000000004</v>
      </c>
      <c r="BA32" s="73">
        <v>4459.7</v>
      </c>
      <c r="BB32" s="73">
        <v>4663.7</v>
      </c>
      <c r="BC32" s="73">
        <v>5735.3</v>
      </c>
      <c r="BD32" s="73">
        <v>5984.1</v>
      </c>
      <c r="BE32" s="73">
        <v>6492.7</v>
      </c>
      <c r="BF32" s="73">
        <v>6795</v>
      </c>
      <c r="BG32" s="73">
        <v>6858.7</v>
      </c>
      <c r="BH32" s="73">
        <v>6919.5</v>
      </c>
      <c r="BI32" s="73">
        <v>8205</v>
      </c>
      <c r="BJ32" s="73">
        <v>8779.7999999999993</v>
      </c>
      <c r="BK32" s="73">
        <v>9333.7000000000007</v>
      </c>
      <c r="BL32" s="73">
        <v>9459.4</v>
      </c>
    </row>
    <row r="33" spans="1:64" ht="20" customHeight="1">
      <c r="A33" s="25">
        <v>29</v>
      </c>
      <c r="B33" s="26" t="s">
        <v>7</v>
      </c>
      <c r="C33" s="27" t="b">
        <f t="array" ref="C33">_xlfn.SWITCH(LEFT(B33,FIND("|",B33)-1),"ابنیه",HLOOKUP(D33,'نمودار ابنیه'!$B$5:$AD$6,2,FALSE),"مکانیکی",HLOOKUP(D33,'نمودار مکانیکی'!$B$5:$AJ$6,2,FALSE),"برقی",HLOOKUP(D33,'نمودار تاسیسات برقی'!$B$5:$AK$6,2,FALSE),"خطوط",HLOOKUP(D33,'نمودار خطوط انتقال '!$B$5:$R$6,2,FALSE),"شبکه",HLOOKUP(D33,'نمودار شبکه توزیع آ'!$B$5:$O$6,2,FALSE),"سد",HLOOKUP(D33,'نمودار سدسازی'!$B$5:$P$6,2,FALSE),"فاضلاب",HLOOKUP(D33,'نمودار جمع‌آوری و ا'!$B$5:$S$6,2,FALSE),"تجهیزات",HLOOKUP(D33,'نمودار تجهیزات آب و'!$B$5:$AG$6,2,FALSE),"پست",HLOOKUP(D33,'نمودار پست های انتق'!$B$5:$AH$6,2,FALSE),"نیرو",HLOOKUP(D33,'نمودار توزیع نیرو ب'!$B$5:$AE$6,2,FALSE),FALSE)</f>
        <v>0</v>
      </c>
      <c r="D33" s="28" t="s">
        <v>96</v>
      </c>
      <c r="E33" s="15"/>
      <c r="F33" s="29"/>
      <c r="G33" s="32">
        <v>323.10000000000002</v>
      </c>
      <c r="H33" s="32">
        <v>329.7</v>
      </c>
      <c r="I33" s="32">
        <v>337.1</v>
      </c>
      <c r="J33" s="32">
        <v>342.6</v>
      </c>
      <c r="K33" s="32">
        <v>380.3</v>
      </c>
      <c r="L33" s="32">
        <v>399.9</v>
      </c>
      <c r="M33" s="32">
        <v>420.3</v>
      </c>
      <c r="N33" s="32">
        <v>429.7</v>
      </c>
      <c r="O33" s="32">
        <v>486.1</v>
      </c>
      <c r="P33" s="32">
        <v>495.3</v>
      </c>
      <c r="Q33" s="32">
        <v>505.7</v>
      </c>
      <c r="R33" s="32">
        <v>517</v>
      </c>
      <c r="S33" s="32">
        <v>599.70000000000005</v>
      </c>
      <c r="T33" s="32">
        <v>610.20000000000005</v>
      </c>
      <c r="U33" s="32">
        <v>619.6</v>
      </c>
      <c r="V33" s="32">
        <v>629.20000000000005</v>
      </c>
      <c r="W33" s="32">
        <v>693.4</v>
      </c>
      <c r="X33" s="32">
        <v>700.2</v>
      </c>
      <c r="Y33" s="32">
        <v>705.3</v>
      </c>
      <c r="Z33" s="32">
        <v>710.7</v>
      </c>
      <c r="AA33" s="32">
        <v>768.3</v>
      </c>
      <c r="AB33" s="32">
        <v>775.4</v>
      </c>
      <c r="AC33" s="32">
        <v>782.5</v>
      </c>
      <c r="AD33" s="32">
        <v>789.6</v>
      </c>
      <c r="AE33" s="32">
        <v>859.5</v>
      </c>
      <c r="AF33" s="32">
        <v>863.8</v>
      </c>
      <c r="AG33" s="32">
        <v>876.4</v>
      </c>
      <c r="AH33" s="32">
        <v>884.3</v>
      </c>
      <c r="AI33" s="32">
        <v>1015.2</v>
      </c>
      <c r="AJ33" s="32">
        <v>1061.2</v>
      </c>
      <c r="AK33" s="32">
        <v>1070.9000000000001</v>
      </c>
      <c r="AL33" s="32">
        <v>1080.2</v>
      </c>
      <c r="AM33" s="32">
        <v>1097.3</v>
      </c>
      <c r="AN33" s="32">
        <v>1125.5999999999999</v>
      </c>
      <c r="AO33" s="32">
        <v>1371.5</v>
      </c>
      <c r="AP33" s="32">
        <v>1432.8</v>
      </c>
      <c r="AQ33" s="32">
        <v>1459.2</v>
      </c>
      <c r="AR33" s="32">
        <v>1493.5</v>
      </c>
      <c r="AS33" s="32">
        <v>1823.6</v>
      </c>
      <c r="AT33" s="32">
        <v>1992.3</v>
      </c>
      <c r="AU33" s="32">
        <v>2005.8</v>
      </c>
      <c r="AV33" s="32">
        <v>2035.6</v>
      </c>
      <c r="AW33" s="32">
        <v>2235.8000000000002</v>
      </c>
      <c r="AX33" s="32">
        <v>2347.8000000000002</v>
      </c>
      <c r="AY33" s="32">
        <v>3082.7</v>
      </c>
      <c r="AZ33" s="32">
        <v>3228.2</v>
      </c>
      <c r="BA33" s="32">
        <v>3235.3</v>
      </c>
      <c r="BB33" s="32">
        <v>3251.7</v>
      </c>
      <c r="BC33" s="32">
        <v>4227.2</v>
      </c>
      <c r="BD33" s="32">
        <v>4308.5</v>
      </c>
      <c r="BE33" s="32">
        <v>4578.3999999999996</v>
      </c>
      <c r="BF33" s="32">
        <v>4747.5</v>
      </c>
      <c r="BG33" s="32">
        <v>4747.5</v>
      </c>
      <c r="BH33" s="32">
        <v>4747.5</v>
      </c>
      <c r="BI33" s="32">
        <v>5867.9</v>
      </c>
      <c r="BJ33" s="32">
        <v>6067.3</v>
      </c>
      <c r="BK33" s="32">
        <v>6224</v>
      </c>
      <c r="BL33" s="32">
        <v>6385.4</v>
      </c>
    </row>
    <row r="34" spans="1:64" ht="20" customHeight="1">
      <c r="A34" s="62">
        <v>30</v>
      </c>
      <c r="B34" s="63" t="s">
        <v>97</v>
      </c>
      <c r="C34" s="64" t="b">
        <f t="array" ref="C34">_xlfn.SWITCH(LEFT(B34,FIND("|",B34)-1),"ابنیه",HLOOKUP(D34,'نمودار ابنیه'!$B$5:$AD$6,2,FALSE),"مکانیکی",HLOOKUP(D34,'نمودار مکانیکی'!$B$5:$AJ$6,2,FALSE),"برقی",HLOOKUP(D34,'نمودار تاسیسات برقی'!$B$5:$AK$6,2,FALSE),"خطوط",HLOOKUP(D34,'نمودار خطوط انتقال '!$B$5:$R$6,2,FALSE),"شبکه",HLOOKUP(D34,'نمودار شبکه توزیع آ'!$B$5:$O$6,2,FALSE),"سد",HLOOKUP(D34,'نمودار سدسازی'!$B$5:$P$6,2,FALSE),"فاضلاب",HLOOKUP(D34,'نمودار جمع‌آوری و ا'!$B$5:$S$6,2,FALSE),"تجهیزات",HLOOKUP(D34,'نمودار تجهیزات آب و'!$B$5:$AG$6,2,FALSE),"پست",HLOOKUP(D34,'نمودار پست های انتق'!$B$5:$AH$6,2,FALSE),"نیرو",HLOOKUP(D34,'نمودار توزیع نیرو ب'!$B$5:$AE$6,2,FALSE),FALSE)</f>
        <v>1</v>
      </c>
      <c r="D34" s="65" t="s">
        <v>98</v>
      </c>
      <c r="E34" s="15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</row>
    <row r="35" spans="1:64" ht="20" customHeight="1">
      <c r="A35" s="25">
        <v>31</v>
      </c>
      <c r="B35" s="26" t="s">
        <v>97</v>
      </c>
      <c r="C35" s="27" t="b">
        <f t="array" ref="C35">_xlfn.SWITCH(LEFT(B35,FIND("|",B35)-1),"ابنیه",HLOOKUP(D35,'نمودار ابنیه'!$B$5:$AD$6,2,FALSE),"مکانیکی",HLOOKUP(D35,'نمودار مکانیکی'!$B$5:$AJ$6,2,FALSE),"برقی",HLOOKUP(D35,'نمودار تاسیسات برقی'!$B$5:$AK$6,2,FALSE),"خطوط",HLOOKUP(D35,'نمودار خطوط انتقال '!$B$5:$R$6,2,FALSE),"شبکه",HLOOKUP(D35,'نمودار شبکه توزیع آ'!$B$5:$O$6,2,FALSE),"سد",HLOOKUP(D35,'نمودار سدسازی'!$B$5:$P$6,2,FALSE),"فاضلاب",HLOOKUP(D35,'نمودار جمع‌آوری و ا'!$B$5:$S$6,2,FALSE),"تجهیزات",HLOOKUP(D35,'نمودار تجهیزات آب و'!$B$5:$AG$6,2,FALSE),"پست",HLOOKUP(D35,'نمودار پست های انتق'!$B$5:$AH$6,2,FALSE),"نیرو",HLOOKUP(D35,'نمودار توزیع نیرو ب'!$B$5:$AE$6,2,FALSE),FALSE)</f>
        <v>1</v>
      </c>
      <c r="D35" s="28" t="s">
        <v>99</v>
      </c>
      <c r="E35" s="15"/>
      <c r="F35" s="29"/>
      <c r="G35" s="32">
        <v>559</v>
      </c>
      <c r="H35" s="32">
        <v>560.4</v>
      </c>
      <c r="I35" s="32">
        <v>581.79999999999995</v>
      </c>
      <c r="J35" s="32">
        <v>582.9</v>
      </c>
      <c r="K35" s="32">
        <v>588.70000000000005</v>
      </c>
      <c r="L35" s="32">
        <v>594</v>
      </c>
      <c r="M35" s="32">
        <v>626.20000000000005</v>
      </c>
      <c r="N35" s="32">
        <v>715.9</v>
      </c>
      <c r="O35" s="32">
        <v>727.8</v>
      </c>
      <c r="P35" s="32">
        <v>729.5</v>
      </c>
      <c r="Q35" s="32">
        <v>762.4</v>
      </c>
      <c r="R35" s="32">
        <v>764.3</v>
      </c>
      <c r="S35" s="32">
        <v>798.7</v>
      </c>
      <c r="T35" s="32">
        <v>800.2</v>
      </c>
      <c r="U35" s="32">
        <v>851</v>
      </c>
      <c r="V35" s="32">
        <v>852.4</v>
      </c>
      <c r="W35" s="32">
        <v>862.1</v>
      </c>
      <c r="X35" s="32">
        <v>863</v>
      </c>
      <c r="Y35" s="32">
        <v>870.7</v>
      </c>
      <c r="Z35" s="32">
        <v>871.4</v>
      </c>
      <c r="AA35" s="32">
        <v>880.1</v>
      </c>
      <c r="AB35" s="32">
        <v>881.3</v>
      </c>
      <c r="AC35" s="32">
        <v>882.8</v>
      </c>
      <c r="AD35" s="32">
        <v>883.9</v>
      </c>
      <c r="AE35" s="32">
        <v>897.1</v>
      </c>
      <c r="AF35" s="32">
        <v>897.9</v>
      </c>
      <c r="AG35" s="32">
        <v>962.4</v>
      </c>
      <c r="AH35" s="32">
        <v>983.3</v>
      </c>
      <c r="AI35" s="32">
        <v>1049.9000000000001</v>
      </c>
      <c r="AJ35" s="32">
        <v>1164.4000000000001</v>
      </c>
      <c r="AK35" s="32">
        <v>1188</v>
      </c>
      <c r="AL35" s="32">
        <v>1224.7</v>
      </c>
      <c r="AM35" s="32">
        <v>1243</v>
      </c>
      <c r="AN35" s="32">
        <v>1252.5</v>
      </c>
      <c r="AO35" s="32">
        <v>1418.2</v>
      </c>
      <c r="AP35" s="32">
        <v>1431.5</v>
      </c>
      <c r="AQ35" s="32">
        <v>1518.7</v>
      </c>
      <c r="AR35" s="32">
        <v>1547.5</v>
      </c>
      <c r="AS35" s="32">
        <v>1916.3</v>
      </c>
      <c r="AT35" s="32">
        <v>2310.1</v>
      </c>
      <c r="AU35" s="32">
        <v>2392.3000000000002</v>
      </c>
      <c r="AV35" s="32">
        <v>2478.5</v>
      </c>
      <c r="AW35" s="32">
        <v>2525.1999999999998</v>
      </c>
      <c r="AX35" s="32">
        <v>2665.3</v>
      </c>
      <c r="AY35" s="32">
        <v>2929.9</v>
      </c>
      <c r="AZ35" s="32">
        <v>3171.3</v>
      </c>
      <c r="BA35" s="32">
        <v>3641.9</v>
      </c>
      <c r="BB35" s="32">
        <v>3875.3</v>
      </c>
      <c r="BC35" s="32">
        <v>4424.5</v>
      </c>
      <c r="BD35" s="32">
        <v>4436.8999999999996</v>
      </c>
      <c r="BE35" s="32">
        <v>5060.1000000000004</v>
      </c>
      <c r="BF35" s="32">
        <v>5216.5</v>
      </c>
      <c r="BG35" s="32">
        <v>5207.8</v>
      </c>
      <c r="BH35" s="32">
        <v>5362.9</v>
      </c>
      <c r="BI35" s="32">
        <v>5860.1</v>
      </c>
      <c r="BJ35" s="32">
        <v>6144.7</v>
      </c>
      <c r="BK35" s="32">
        <v>6250.7</v>
      </c>
      <c r="BL35" s="32">
        <v>6279.9</v>
      </c>
    </row>
    <row r="36" spans="1:64" ht="20" customHeight="1">
      <c r="A36" s="68">
        <v>32</v>
      </c>
      <c r="B36" s="69" t="s">
        <v>97</v>
      </c>
      <c r="C36" s="70" t="b">
        <f t="array" ref="C36">_xlfn.SWITCH(LEFT(B36,FIND("|",B36)-1),"ابنیه",HLOOKUP(D36,'نمودار ابنیه'!$B$5:$AD$6,2,FALSE),"مکانیکی",HLOOKUP(D36,'نمودار مکانیکی'!$B$5:$AJ$6,2,FALSE),"برقی",HLOOKUP(D36,'نمودار تاسیسات برقی'!$B$5:$AK$6,2,FALSE),"خطوط",HLOOKUP(D36,'نمودار خطوط انتقال '!$B$5:$R$6,2,FALSE),"شبکه",HLOOKUP(D36,'نمودار شبکه توزیع آ'!$B$5:$O$6,2,FALSE),"سد",HLOOKUP(D36,'نمودار سدسازی'!$B$5:$P$6,2,FALSE),"فاضلاب",HLOOKUP(D36,'نمودار جمع‌آوری و ا'!$B$5:$S$6,2,FALSE),"تجهیزات",HLOOKUP(D36,'نمودار تجهیزات آب و'!$B$5:$AG$6,2,FALSE),"پست",HLOOKUP(D36,'نمودار پست های انتق'!$B$5:$AH$6,2,FALSE),"نیرو",HLOOKUP(D36,'نمودار توزیع نیرو ب'!$B$5:$AE$6,2,FALSE),FALSE)</f>
        <v>1</v>
      </c>
      <c r="D36" s="71" t="s">
        <v>100</v>
      </c>
      <c r="E36" s="15"/>
      <c r="F36" s="72"/>
      <c r="G36" s="73">
        <v>346.5</v>
      </c>
      <c r="H36" s="73">
        <v>248.1</v>
      </c>
      <c r="I36" s="73">
        <v>263.7</v>
      </c>
      <c r="J36" s="73">
        <v>265.3</v>
      </c>
      <c r="K36" s="73">
        <v>302.60000000000002</v>
      </c>
      <c r="L36" s="73">
        <v>360.8</v>
      </c>
      <c r="M36" s="73">
        <v>505.6</v>
      </c>
      <c r="N36" s="73">
        <v>534.79999999999995</v>
      </c>
      <c r="O36" s="73">
        <v>490.4</v>
      </c>
      <c r="P36" s="73">
        <v>492.6</v>
      </c>
      <c r="Q36" s="73">
        <v>495.9</v>
      </c>
      <c r="R36" s="73">
        <v>498.9</v>
      </c>
      <c r="S36" s="73">
        <v>587.20000000000005</v>
      </c>
      <c r="T36" s="73">
        <v>589.6</v>
      </c>
      <c r="U36" s="73">
        <v>616.5</v>
      </c>
      <c r="V36" s="73">
        <v>618.5</v>
      </c>
      <c r="W36" s="73">
        <v>662.3</v>
      </c>
      <c r="X36" s="73">
        <v>663.6</v>
      </c>
      <c r="Y36" s="73">
        <v>634.29999999999995</v>
      </c>
      <c r="Z36" s="73">
        <v>635.4</v>
      </c>
      <c r="AA36" s="73">
        <v>665.4</v>
      </c>
      <c r="AB36" s="73">
        <v>677.7</v>
      </c>
      <c r="AC36" s="73">
        <v>756.6</v>
      </c>
      <c r="AD36" s="73">
        <v>759.3</v>
      </c>
      <c r="AE36" s="73">
        <v>782.9</v>
      </c>
      <c r="AF36" s="73">
        <v>803.5</v>
      </c>
      <c r="AG36" s="73">
        <v>837.9</v>
      </c>
      <c r="AH36" s="73">
        <v>870.8</v>
      </c>
      <c r="AI36" s="73">
        <v>988.5</v>
      </c>
      <c r="AJ36" s="73">
        <v>1027.7</v>
      </c>
      <c r="AK36" s="73">
        <v>1180.8</v>
      </c>
      <c r="AL36" s="73">
        <v>1355</v>
      </c>
      <c r="AM36" s="73">
        <v>1351.6</v>
      </c>
      <c r="AN36" s="73">
        <v>1361.2</v>
      </c>
      <c r="AO36" s="73">
        <v>1590.5</v>
      </c>
      <c r="AP36" s="73">
        <v>1565.4</v>
      </c>
      <c r="AQ36" s="73">
        <v>1594.5</v>
      </c>
      <c r="AR36" s="73">
        <v>1625.3</v>
      </c>
      <c r="AS36" s="73">
        <v>1823.4</v>
      </c>
      <c r="AT36" s="73">
        <v>1994</v>
      </c>
      <c r="AU36" s="73">
        <v>2124.1</v>
      </c>
      <c r="AV36" s="73">
        <v>2396.1</v>
      </c>
      <c r="AW36" s="73">
        <v>3008.9</v>
      </c>
      <c r="AX36" s="73">
        <v>3336</v>
      </c>
      <c r="AY36" s="73">
        <v>3691.1</v>
      </c>
      <c r="AZ36" s="73">
        <v>3977.4</v>
      </c>
      <c r="BA36" s="73">
        <v>4212.7</v>
      </c>
      <c r="BB36" s="73">
        <v>4371.2</v>
      </c>
      <c r="BC36" s="73">
        <v>4832.5</v>
      </c>
      <c r="BD36" s="73">
        <v>4560.8999999999996</v>
      </c>
      <c r="BE36" s="73">
        <v>4444.6000000000004</v>
      </c>
      <c r="BF36" s="73">
        <v>4668.6000000000004</v>
      </c>
      <c r="BG36" s="73">
        <v>4668.8</v>
      </c>
      <c r="BH36" s="73">
        <v>4943.5</v>
      </c>
      <c r="BI36" s="73">
        <v>5303.2</v>
      </c>
      <c r="BJ36" s="73">
        <v>5380.5</v>
      </c>
      <c r="BK36" s="73">
        <v>5456.2</v>
      </c>
      <c r="BL36" s="73">
        <v>5504.8</v>
      </c>
    </row>
    <row r="37" spans="1:64" ht="20" customHeight="1">
      <c r="A37" s="25">
        <v>33</v>
      </c>
      <c r="B37" s="26" t="s">
        <v>97</v>
      </c>
      <c r="C37" s="27" t="b">
        <f t="array" ref="C37">_xlfn.SWITCH(LEFT(B37,FIND("|",B37)-1),"ابنیه",HLOOKUP(D37,'نمودار ابنیه'!$B$5:$AD$6,2,FALSE),"مکانیکی",HLOOKUP(D37,'نمودار مکانیکی'!$B$5:$AJ$6,2,FALSE),"برقی",HLOOKUP(D37,'نمودار تاسیسات برقی'!$B$5:$AK$6,2,FALSE),"خطوط",HLOOKUP(D37,'نمودار خطوط انتقال '!$B$5:$R$6,2,FALSE),"شبکه",HLOOKUP(D37,'نمودار شبکه توزیع آ'!$B$5:$O$6,2,FALSE),"سد",HLOOKUP(D37,'نمودار سدسازی'!$B$5:$P$6,2,FALSE),"فاضلاب",HLOOKUP(D37,'نمودار جمع‌آوری و ا'!$B$5:$S$6,2,FALSE),"تجهیزات",HLOOKUP(D37,'نمودار تجهیزات آب و'!$B$5:$AG$6,2,FALSE),"پست",HLOOKUP(D37,'نمودار پست های انتق'!$B$5:$AH$6,2,FALSE),"نیرو",HLOOKUP(D37,'نمودار توزیع نیرو ب'!$B$5:$AE$6,2,FALSE),FALSE)</f>
        <v>1</v>
      </c>
      <c r="D37" s="28" t="s">
        <v>101</v>
      </c>
      <c r="E37" s="15"/>
      <c r="F37" s="29"/>
      <c r="G37" s="32">
        <v>153.80000000000001</v>
      </c>
      <c r="H37" s="32">
        <v>154.69999999999999</v>
      </c>
      <c r="I37" s="32">
        <v>144.5</v>
      </c>
      <c r="J37" s="32">
        <v>153.5</v>
      </c>
      <c r="K37" s="32">
        <v>175.2</v>
      </c>
      <c r="L37" s="32">
        <v>181.8</v>
      </c>
      <c r="M37" s="32">
        <v>244.6</v>
      </c>
      <c r="N37" s="32">
        <v>270.5</v>
      </c>
      <c r="O37" s="32">
        <v>277.5</v>
      </c>
      <c r="P37" s="32">
        <v>279</v>
      </c>
      <c r="Q37" s="32">
        <v>281.2</v>
      </c>
      <c r="R37" s="32">
        <v>283.2</v>
      </c>
      <c r="S37" s="32">
        <v>293.5</v>
      </c>
      <c r="T37" s="32">
        <v>295.10000000000002</v>
      </c>
      <c r="U37" s="32">
        <v>313</v>
      </c>
      <c r="V37" s="32">
        <v>314.2</v>
      </c>
      <c r="W37" s="32">
        <v>322.60000000000002</v>
      </c>
      <c r="X37" s="32">
        <v>323.39999999999998</v>
      </c>
      <c r="Y37" s="32">
        <v>324</v>
      </c>
      <c r="Z37" s="32">
        <v>324.60000000000002</v>
      </c>
      <c r="AA37" s="32">
        <v>332.2</v>
      </c>
      <c r="AB37" s="32">
        <v>333.2</v>
      </c>
      <c r="AC37" s="32">
        <v>334.2</v>
      </c>
      <c r="AD37" s="32">
        <v>335.1</v>
      </c>
      <c r="AE37" s="32">
        <v>344</v>
      </c>
      <c r="AF37" s="32">
        <v>344.8</v>
      </c>
      <c r="AG37" s="32">
        <v>384.2</v>
      </c>
      <c r="AH37" s="32">
        <v>385.3</v>
      </c>
      <c r="AI37" s="32">
        <v>451.7</v>
      </c>
      <c r="AJ37" s="32">
        <v>516.4</v>
      </c>
      <c r="AK37" s="32">
        <v>544.5</v>
      </c>
      <c r="AL37" s="32">
        <v>574.20000000000005</v>
      </c>
      <c r="AM37" s="32">
        <v>693</v>
      </c>
      <c r="AN37" s="32">
        <v>644.20000000000005</v>
      </c>
      <c r="AO37" s="32">
        <v>675.5</v>
      </c>
      <c r="AP37" s="32">
        <v>685.1</v>
      </c>
      <c r="AQ37" s="32">
        <v>690</v>
      </c>
      <c r="AR37" s="32">
        <v>696.4</v>
      </c>
      <c r="AS37" s="32">
        <v>767.7</v>
      </c>
      <c r="AT37" s="32">
        <v>930.7</v>
      </c>
      <c r="AU37" s="32">
        <v>935.4</v>
      </c>
      <c r="AV37" s="32">
        <v>998.5</v>
      </c>
      <c r="AW37" s="32">
        <v>1246.7</v>
      </c>
      <c r="AX37" s="32">
        <v>1263.7</v>
      </c>
      <c r="AY37" s="32">
        <v>1409.9</v>
      </c>
      <c r="AZ37" s="32">
        <v>1440</v>
      </c>
      <c r="BA37" s="32">
        <v>1546.4</v>
      </c>
      <c r="BB37" s="32">
        <v>1553.3</v>
      </c>
      <c r="BC37" s="32">
        <v>1811.7</v>
      </c>
      <c r="BD37" s="32">
        <v>1826.8</v>
      </c>
      <c r="BE37" s="32">
        <v>2000.1</v>
      </c>
      <c r="BF37" s="32">
        <v>2145.1999999999998</v>
      </c>
      <c r="BG37" s="32">
        <v>2305.8000000000002</v>
      </c>
      <c r="BH37" s="32">
        <v>2466.4</v>
      </c>
      <c r="BI37" s="32">
        <v>2918.8</v>
      </c>
      <c r="BJ37" s="32">
        <v>2989.2</v>
      </c>
      <c r="BK37" s="32">
        <v>3168.8</v>
      </c>
      <c r="BL37" s="32">
        <v>3195.5</v>
      </c>
    </row>
    <row r="38" spans="1:64" ht="20" customHeight="1">
      <c r="A38" s="68">
        <v>34</v>
      </c>
      <c r="B38" s="69" t="s">
        <v>97</v>
      </c>
      <c r="C38" s="70" t="b">
        <f t="array" ref="C38">_xlfn.SWITCH(LEFT(B38,FIND("|",B38)-1),"ابنیه",HLOOKUP(D38,'نمودار ابنیه'!$B$5:$AD$6,2,FALSE),"مکانیکی",HLOOKUP(D38,'نمودار مکانیکی'!$B$5:$AJ$6,2,FALSE),"برقی",HLOOKUP(D38,'نمودار تاسیسات برقی'!$B$5:$AK$6,2,FALSE),"خطوط",HLOOKUP(D38,'نمودار خطوط انتقال '!$B$5:$R$6,2,FALSE),"شبکه",HLOOKUP(D38,'نمودار شبکه توزیع آ'!$B$5:$O$6,2,FALSE),"سد",HLOOKUP(D38,'نمودار سدسازی'!$B$5:$P$6,2,FALSE),"فاضلاب",HLOOKUP(D38,'نمودار جمع‌آوری و ا'!$B$5:$S$6,2,FALSE),"تجهیزات",HLOOKUP(D38,'نمودار تجهیزات آب و'!$B$5:$AG$6,2,FALSE),"پست",HLOOKUP(D38,'نمودار پست های انتق'!$B$5:$AH$6,2,FALSE),"نیرو",HLOOKUP(D38,'نمودار توزیع نیرو ب'!$B$5:$AE$6,2,FALSE),FALSE)</f>
        <v>1</v>
      </c>
      <c r="D38" s="71" t="s">
        <v>102</v>
      </c>
      <c r="E38" s="15"/>
      <c r="F38" s="72"/>
      <c r="G38" s="73">
        <v>317.2</v>
      </c>
      <c r="H38" s="73">
        <v>319.39999999999998</v>
      </c>
      <c r="I38" s="73">
        <v>321.8</v>
      </c>
      <c r="J38" s="73">
        <v>324.2</v>
      </c>
      <c r="K38" s="73">
        <v>332.6</v>
      </c>
      <c r="L38" s="73">
        <v>336.9</v>
      </c>
      <c r="M38" s="73">
        <v>344</v>
      </c>
      <c r="N38" s="73">
        <v>347.2</v>
      </c>
      <c r="O38" s="73">
        <v>359.3</v>
      </c>
      <c r="P38" s="73">
        <v>361.8</v>
      </c>
      <c r="Q38" s="73">
        <v>364.9</v>
      </c>
      <c r="R38" s="73">
        <v>367.6</v>
      </c>
      <c r="S38" s="73">
        <v>385.3</v>
      </c>
      <c r="T38" s="73">
        <v>388</v>
      </c>
      <c r="U38" s="73">
        <v>389</v>
      </c>
      <c r="V38" s="73">
        <v>390</v>
      </c>
      <c r="W38" s="73">
        <v>391</v>
      </c>
      <c r="X38" s="73">
        <v>392</v>
      </c>
      <c r="Y38" s="73">
        <v>393</v>
      </c>
      <c r="Z38" s="73">
        <v>394</v>
      </c>
      <c r="AA38" s="73">
        <v>395</v>
      </c>
      <c r="AB38" s="73">
        <v>396</v>
      </c>
      <c r="AC38" s="73">
        <v>397</v>
      </c>
      <c r="AD38" s="73">
        <v>398</v>
      </c>
      <c r="AE38" s="73">
        <v>399</v>
      </c>
      <c r="AF38" s="73">
        <v>400</v>
      </c>
      <c r="AG38" s="73">
        <v>401</v>
      </c>
      <c r="AH38" s="73">
        <v>402</v>
      </c>
      <c r="AI38" s="73">
        <v>403</v>
      </c>
      <c r="AJ38" s="73">
        <v>404</v>
      </c>
      <c r="AK38" s="73">
        <v>405</v>
      </c>
      <c r="AL38" s="73">
        <v>406</v>
      </c>
      <c r="AM38" s="73">
        <v>406</v>
      </c>
      <c r="AN38" s="73">
        <v>407</v>
      </c>
      <c r="AO38" s="73">
        <v>408</v>
      </c>
      <c r="AP38" s="73">
        <v>409</v>
      </c>
      <c r="AQ38" s="73">
        <v>410</v>
      </c>
      <c r="AR38" s="73">
        <v>411</v>
      </c>
      <c r="AS38" s="73">
        <v>412</v>
      </c>
      <c r="AT38" s="73">
        <v>413</v>
      </c>
      <c r="AU38" s="73">
        <v>114</v>
      </c>
      <c r="AV38" s="73">
        <v>115</v>
      </c>
      <c r="AW38" s="73">
        <v>416</v>
      </c>
      <c r="AX38" s="73">
        <v>417</v>
      </c>
      <c r="AY38" s="73">
        <v>418</v>
      </c>
      <c r="AZ38" s="73">
        <v>419</v>
      </c>
      <c r="BA38" s="73">
        <v>420</v>
      </c>
      <c r="BB38" s="73">
        <v>421</v>
      </c>
      <c r="BC38" s="73">
        <v>422</v>
      </c>
      <c r="BD38" s="73">
        <v>423</v>
      </c>
      <c r="BE38" s="73">
        <v>424</v>
      </c>
      <c r="BF38" s="73">
        <v>425</v>
      </c>
      <c r="BG38" s="73">
        <v>425</v>
      </c>
      <c r="BH38" s="73">
        <v>425</v>
      </c>
      <c r="BI38" s="73">
        <v>426</v>
      </c>
      <c r="BJ38" s="73">
        <v>427</v>
      </c>
      <c r="BK38" s="73">
        <v>428</v>
      </c>
      <c r="BL38" s="73">
        <v>429</v>
      </c>
    </row>
    <row r="39" spans="1:64" ht="20" customHeight="1">
      <c r="A39" s="25">
        <v>35</v>
      </c>
      <c r="B39" s="26" t="s">
        <v>97</v>
      </c>
      <c r="C39" s="27" t="b">
        <f t="array" ref="C39">_xlfn.SWITCH(LEFT(B39,FIND("|",B39)-1),"ابنیه",HLOOKUP(D39,'نمودار ابنیه'!$B$5:$AD$6,2,FALSE),"مکانیکی",HLOOKUP(D39,'نمودار مکانیکی'!$B$5:$AJ$6,2,FALSE),"برقی",HLOOKUP(D39,'نمودار تاسیسات برقی'!$B$5:$AK$6,2,FALSE),"خطوط",HLOOKUP(D39,'نمودار خطوط انتقال '!$B$5:$R$6,2,FALSE),"شبکه",HLOOKUP(D39,'نمودار شبکه توزیع آ'!$B$5:$O$6,2,FALSE),"سد",HLOOKUP(D39,'نمودار سدسازی'!$B$5:$P$6,2,FALSE),"فاضلاب",HLOOKUP(D39,'نمودار جمع‌آوری و ا'!$B$5:$S$6,2,FALSE),"تجهیزات",HLOOKUP(D39,'نمودار تجهیزات آب و'!$B$5:$AG$6,2,FALSE),"پست",HLOOKUP(D39,'نمودار پست های انتق'!$B$5:$AH$6,2,FALSE),"نیرو",HLOOKUP(D39,'نمودار توزیع نیرو ب'!$B$5:$AE$6,2,FALSE),FALSE)</f>
        <v>1</v>
      </c>
      <c r="D39" s="28" t="s">
        <v>103</v>
      </c>
      <c r="E39" s="15"/>
      <c r="F39" s="29"/>
      <c r="G39" s="32">
        <v>417.5</v>
      </c>
      <c r="H39" s="32">
        <v>422.8</v>
      </c>
      <c r="I39" s="32">
        <v>511.9</v>
      </c>
      <c r="J39" s="32">
        <v>513.29999999999995</v>
      </c>
      <c r="K39" s="32">
        <v>526.6</v>
      </c>
      <c r="L39" s="32">
        <v>587.9</v>
      </c>
      <c r="M39" s="32">
        <v>771</v>
      </c>
      <c r="N39" s="32">
        <v>787.8</v>
      </c>
      <c r="O39" s="32">
        <v>796.3</v>
      </c>
      <c r="P39" s="32">
        <v>756.8</v>
      </c>
      <c r="Q39" s="32">
        <v>745.1</v>
      </c>
      <c r="R39" s="32">
        <v>748</v>
      </c>
      <c r="S39" s="32">
        <v>821.4</v>
      </c>
      <c r="T39" s="32">
        <v>844.9</v>
      </c>
      <c r="U39" s="32">
        <v>811.8</v>
      </c>
      <c r="V39" s="32">
        <v>779.1</v>
      </c>
      <c r="W39" s="32">
        <v>785.8</v>
      </c>
      <c r="X39" s="32">
        <v>731.6</v>
      </c>
      <c r="Y39" s="32">
        <v>697.7</v>
      </c>
      <c r="Z39" s="32">
        <v>690.4</v>
      </c>
      <c r="AA39" s="32">
        <v>684.4</v>
      </c>
      <c r="AB39" s="32">
        <v>698.9</v>
      </c>
      <c r="AC39" s="32">
        <v>769.6</v>
      </c>
      <c r="AD39" s="32">
        <v>824.6</v>
      </c>
      <c r="AE39" s="32">
        <v>852.7</v>
      </c>
      <c r="AF39" s="32">
        <v>923.6</v>
      </c>
      <c r="AG39" s="32">
        <v>1032.4000000000001</v>
      </c>
      <c r="AH39" s="32">
        <v>1073.0999999999999</v>
      </c>
      <c r="AI39" s="32">
        <v>1131.2</v>
      </c>
      <c r="AJ39" s="32">
        <v>1270.0999999999999</v>
      </c>
      <c r="AK39" s="32">
        <v>1360.1</v>
      </c>
      <c r="AL39" s="32">
        <v>1449.9</v>
      </c>
      <c r="AM39" s="32">
        <v>1874.1</v>
      </c>
      <c r="AN39" s="32">
        <v>1768.7</v>
      </c>
      <c r="AO39" s="32">
        <v>2242.1</v>
      </c>
      <c r="AP39" s="32">
        <v>2273.1</v>
      </c>
      <c r="AQ39" s="32">
        <v>2112.1</v>
      </c>
      <c r="AR39" s="32">
        <v>2197.8000000000002</v>
      </c>
      <c r="AS39" s="32">
        <v>2516.6999999999998</v>
      </c>
      <c r="AT39" s="32">
        <v>2793.2</v>
      </c>
      <c r="AU39" s="32">
        <v>3164.7</v>
      </c>
      <c r="AV39" s="32">
        <v>3735.3</v>
      </c>
      <c r="AW39" s="32">
        <v>4798.2</v>
      </c>
      <c r="AX39" s="32">
        <v>5559.2</v>
      </c>
      <c r="AY39" s="32">
        <v>6073.9</v>
      </c>
      <c r="AZ39" s="32">
        <v>6200</v>
      </c>
      <c r="BA39" s="32">
        <v>6521.4</v>
      </c>
      <c r="BB39" s="32">
        <v>6809.8</v>
      </c>
      <c r="BC39" s="32">
        <v>7388.8</v>
      </c>
      <c r="BD39" s="32">
        <v>7247.4</v>
      </c>
      <c r="BE39" s="32">
        <v>8068.4</v>
      </c>
      <c r="BF39" s="32">
        <v>9094.7000000000007</v>
      </c>
      <c r="BG39" s="32">
        <v>10244.1</v>
      </c>
      <c r="BH39" s="32">
        <v>11244</v>
      </c>
      <c r="BI39" s="32">
        <v>10801.1</v>
      </c>
      <c r="BJ39" s="32">
        <v>10580.8</v>
      </c>
      <c r="BK39" s="32">
        <v>10446.700000000001</v>
      </c>
      <c r="BL39" s="32">
        <v>10657.7</v>
      </c>
    </row>
    <row r="40" spans="1:64" ht="20" customHeight="1">
      <c r="A40" s="68">
        <v>36</v>
      </c>
      <c r="B40" s="69" t="s">
        <v>97</v>
      </c>
      <c r="C40" s="70" t="b">
        <f t="array" ref="C40">_xlfn.SWITCH(LEFT(B40,FIND("|",B40)-1),"ابنیه",HLOOKUP(D40,'نمودار ابنیه'!$B$5:$AD$6,2,FALSE),"مکانیکی",HLOOKUP(D40,'نمودار مکانیکی'!$B$5:$AJ$6,2,FALSE),"برقی",HLOOKUP(D40,'نمودار تاسیسات برقی'!$B$5:$AK$6,2,FALSE),"خطوط",HLOOKUP(D40,'نمودار خطوط انتقال '!$B$5:$R$6,2,FALSE),"شبکه",HLOOKUP(D40,'نمودار شبکه توزیع آ'!$B$5:$O$6,2,FALSE),"سد",HLOOKUP(D40,'نمودار سدسازی'!$B$5:$P$6,2,FALSE),"فاضلاب",HLOOKUP(D40,'نمودار جمع‌آوری و ا'!$B$5:$S$6,2,FALSE),"تجهیزات",HLOOKUP(D40,'نمودار تجهیزات آب و'!$B$5:$AG$6,2,FALSE),"پست",HLOOKUP(D40,'نمودار پست های انتق'!$B$5:$AH$6,2,FALSE),"نیرو",HLOOKUP(D40,'نمودار توزیع نیرو ب'!$B$5:$AE$6,2,FALSE),FALSE)</f>
        <v>1</v>
      </c>
      <c r="D40" s="71" t="s">
        <v>104</v>
      </c>
      <c r="E40" s="15"/>
      <c r="F40" s="72"/>
      <c r="G40" s="73">
        <v>316.10000000000002</v>
      </c>
      <c r="H40" s="73">
        <v>316.8</v>
      </c>
      <c r="I40" s="73">
        <v>342.3</v>
      </c>
      <c r="J40" s="73">
        <v>365</v>
      </c>
      <c r="K40" s="73">
        <v>393</v>
      </c>
      <c r="L40" s="73">
        <v>432.5</v>
      </c>
      <c r="M40" s="73">
        <v>652.79999999999995</v>
      </c>
      <c r="N40" s="73">
        <v>660.2</v>
      </c>
      <c r="O40" s="73">
        <v>666.4</v>
      </c>
      <c r="P40" s="73">
        <v>667.2</v>
      </c>
      <c r="Q40" s="73">
        <v>709.2</v>
      </c>
      <c r="R40" s="73">
        <v>710.5</v>
      </c>
      <c r="S40" s="73">
        <v>719</v>
      </c>
      <c r="T40" s="73">
        <v>720.1</v>
      </c>
      <c r="U40" s="73">
        <v>713.8</v>
      </c>
      <c r="V40" s="73">
        <v>714.6</v>
      </c>
      <c r="W40" s="73">
        <v>775.6</v>
      </c>
      <c r="X40" s="73">
        <v>776.1</v>
      </c>
      <c r="Y40" s="73">
        <v>776.4</v>
      </c>
      <c r="Z40" s="73">
        <v>776.8</v>
      </c>
      <c r="AA40" s="73">
        <v>787.5</v>
      </c>
      <c r="AB40" s="73">
        <v>788.3</v>
      </c>
      <c r="AC40" s="73">
        <v>750.7</v>
      </c>
      <c r="AD40" s="73">
        <v>806.2</v>
      </c>
      <c r="AE40" s="73">
        <v>831.8</v>
      </c>
      <c r="AF40" s="73">
        <v>832</v>
      </c>
      <c r="AG40" s="73">
        <v>906.5</v>
      </c>
      <c r="AH40" s="73">
        <v>911.9</v>
      </c>
      <c r="AI40" s="73">
        <v>1159.8</v>
      </c>
      <c r="AJ40" s="73">
        <v>1466.6</v>
      </c>
      <c r="AK40" s="73">
        <v>1700.4</v>
      </c>
      <c r="AL40" s="73">
        <v>1825.5</v>
      </c>
      <c r="AM40" s="73">
        <v>1913.4</v>
      </c>
      <c r="AN40" s="73">
        <v>1917.4</v>
      </c>
      <c r="AO40" s="73">
        <v>2158.1</v>
      </c>
      <c r="AP40" s="73">
        <v>2163.6999999999998</v>
      </c>
      <c r="AQ40" s="73">
        <v>2325.8000000000002</v>
      </c>
      <c r="AR40" s="73">
        <v>2334.6999999999998</v>
      </c>
      <c r="AS40" s="73">
        <v>2685.2</v>
      </c>
      <c r="AT40" s="73">
        <v>2772.8</v>
      </c>
      <c r="AU40" s="73">
        <v>3274</v>
      </c>
      <c r="AV40" s="73">
        <v>3303.4</v>
      </c>
      <c r="AW40" s="73">
        <v>3654</v>
      </c>
      <c r="AX40" s="73">
        <v>3666.1</v>
      </c>
      <c r="AY40" s="73">
        <v>4384.3999999999996</v>
      </c>
      <c r="AZ40" s="73">
        <v>4512</v>
      </c>
      <c r="BA40" s="73">
        <v>4540.3</v>
      </c>
      <c r="BB40" s="73">
        <v>5066.3999999999996</v>
      </c>
      <c r="BC40" s="73">
        <v>5855.5</v>
      </c>
      <c r="BD40" s="73">
        <v>5962.3</v>
      </c>
      <c r="BE40" s="73">
        <v>6252.1</v>
      </c>
      <c r="BF40" s="73">
        <v>6970.6</v>
      </c>
      <c r="BG40" s="73">
        <v>6973.3</v>
      </c>
      <c r="BH40" s="73">
        <v>6976.7</v>
      </c>
      <c r="BI40" s="73">
        <v>7087.5</v>
      </c>
      <c r="BJ40" s="73">
        <v>7111.4</v>
      </c>
      <c r="BK40" s="73">
        <v>7945</v>
      </c>
      <c r="BL40" s="73">
        <v>7958.2</v>
      </c>
    </row>
    <row r="41" spans="1:64" ht="20" customHeight="1">
      <c r="A41" s="25">
        <v>37</v>
      </c>
      <c r="B41" s="26" t="s">
        <v>97</v>
      </c>
      <c r="C41" s="27" t="b">
        <f t="array" ref="C41">_xlfn.SWITCH(LEFT(B41,FIND("|",B41)-1),"ابنیه",HLOOKUP(D41,'نمودار ابنیه'!$B$5:$AD$6,2,FALSE),"مکانیکی",HLOOKUP(D41,'نمودار مکانیکی'!$B$5:$AJ$6,2,FALSE),"برقی",HLOOKUP(D41,'نمودار تاسیسات برقی'!$B$5:$AK$6,2,FALSE),"خطوط",HLOOKUP(D41,'نمودار خطوط انتقال '!$B$5:$R$6,2,FALSE),"شبکه",HLOOKUP(D41,'نمودار شبکه توزیع آ'!$B$5:$O$6,2,FALSE),"سد",HLOOKUP(D41,'نمودار سدسازی'!$B$5:$P$6,2,FALSE),"فاضلاب",HLOOKUP(D41,'نمودار جمع‌آوری و ا'!$B$5:$S$6,2,FALSE),"تجهیزات",HLOOKUP(D41,'نمودار تجهیزات آب و'!$B$5:$AG$6,2,FALSE),"پست",HLOOKUP(D41,'نمودار پست های انتق'!$B$5:$AH$6,2,FALSE),"نیرو",HLOOKUP(D41,'نمودار توزیع نیرو ب'!$B$5:$AE$6,2,FALSE),FALSE)</f>
        <v>0</v>
      </c>
      <c r="D41" s="28" t="s">
        <v>105</v>
      </c>
      <c r="E41" s="15"/>
      <c r="F41" s="29"/>
      <c r="G41" s="32">
        <v>646.1</v>
      </c>
      <c r="H41" s="32">
        <v>646.6</v>
      </c>
      <c r="I41" s="32">
        <v>647.79999999999995</v>
      </c>
      <c r="J41" s="32">
        <v>648.70000000000005</v>
      </c>
      <c r="K41" s="32">
        <v>724.9</v>
      </c>
      <c r="L41" s="32">
        <v>809.5</v>
      </c>
      <c r="M41" s="32">
        <v>817.6</v>
      </c>
      <c r="N41" s="32">
        <v>823.2</v>
      </c>
      <c r="O41" s="32">
        <v>829</v>
      </c>
      <c r="P41" s="32">
        <v>829.6</v>
      </c>
      <c r="Q41" s="32">
        <v>832.8</v>
      </c>
      <c r="R41" s="32">
        <v>833.7</v>
      </c>
      <c r="S41" s="32">
        <v>841.2</v>
      </c>
      <c r="T41" s="32">
        <v>842.2</v>
      </c>
      <c r="U41" s="32">
        <v>843.5</v>
      </c>
      <c r="V41" s="32">
        <v>844.3</v>
      </c>
      <c r="W41" s="32">
        <v>971.3</v>
      </c>
      <c r="X41" s="32">
        <v>971.8</v>
      </c>
      <c r="Y41" s="32">
        <v>972.1</v>
      </c>
      <c r="Z41" s="32">
        <v>972.5</v>
      </c>
      <c r="AA41" s="32">
        <v>1055</v>
      </c>
      <c r="AB41" s="32">
        <v>1055.8</v>
      </c>
      <c r="AC41" s="32">
        <v>1048.4000000000001</v>
      </c>
      <c r="AD41" s="32">
        <v>1056.9000000000001</v>
      </c>
      <c r="AE41" s="32">
        <v>1212.3</v>
      </c>
      <c r="AF41" s="32">
        <v>1212.9000000000001</v>
      </c>
      <c r="AG41" s="32">
        <v>1214.8</v>
      </c>
      <c r="AH41" s="32">
        <v>1215.5999999999999</v>
      </c>
      <c r="AI41" s="32">
        <v>1453.6</v>
      </c>
      <c r="AJ41" s="32">
        <v>1805.8</v>
      </c>
      <c r="AK41" s="32">
        <v>2151.1</v>
      </c>
      <c r="AL41" s="32">
        <v>2381.1999999999998</v>
      </c>
      <c r="AM41" s="32">
        <v>2385.8000000000002</v>
      </c>
      <c r="AN41" s="32">
        <v>2389.3000000000002</v>
      </c>
      <c r="AO41" s="32">
        <v>3085.6</v>
      </c>
      <c r="AP41" s="32">
        <v>3091</v>
      </c>
      <c r="AQ41" s="32">
        <v>3005.6</v>
      </c>
      <c r="AR41" s="32">
        <v>3013.2</v>
      </c>
      <c r="AS41" s="32">
        <v>3980.4</v>
      </c>
      <c r="AT41" s="32">
        <v>4116.3</v>
      </c>
      <c r="AU41" s="32">
        <v>4285.5</v>
      </c>
      <c r="AV41" s="32">
        <v>5390</v>
      </c>
      <c r="AW41" s="32">
        <v>5571</v>
      </c>
      <c r="AX41" s="32">
        <v>5583.1</v>
      </c>
      <c r="AY41" s="32">
        <v>6884.1</v>
      </c>
      <c r="AZ41" s="32">
        <v>6907</v>
      </c>
      <c r="BA41" s="32">
        <v>7168.4</v>
      </c>
      <c r="BB41" s="32">
        <v>8121.1</v>
      </c>
      <c r="BC41" s="32">
        <v>9253.5</v>
      </c>
      <c r="BD41" s="32">
        <v>9285.2000000000007</v>
      </c>
      <c r="BE41" s="32">
        <v>10572</v>
      </c>
      <c r="BF41" s="32">
        <v>11181.4</v>
      </c>
      <c r="BG41" s="32">
        <v>11185.3</v>
      </c>
      <c r="BH41" s="32">
        <v>11191.7</v>
      </c>
      <c r="BI41" s="32">
        <v>11299</v>
      </c>
      <c r="BJ41" s="32">
        <v>11321.3</v>
      </c>
      <c r="BK41" s="32">
        <v>12306.7</v>
      </c>
      <c r="BL41" s="32">
        <v>12321.9</v>
      </c>
    </row>
    <row r="42" spans="1:64" ht="20" customHeight="1">
      <c r="A42" s="68">
        <v>38</v>
      </c>
      <c r="B42" s="69" t="s">
        <v>97</v>
      </c>
      <c r="C42" s="70" t="b">
        <f t="array" ref="C42">_xlfn.SWITCH(LEFT(B42,FIND("|",B42)-1),"ابنیه",HLOOKUP(D42,'نمودار ابنیه'!$B$5:$AD$6,2,FALSE),"مکانیکی",HLOOKUP(D42,'نمودار مکانیکی'!$B$5:$AJ$6,2,FALSE),"برقی",HLOOKUP(D42,'نمودار تاسیسات برقی'!$B$5:$AK$6,2,FALSE),"خطوط",HLOOKUP(D42,'نمودار خطوط انتقال '!$B$5:$R$6,2,FALSE),"شبکه",HLOOKUP(D42,'نمودار شبکه توزیع آ'!$B$5:$O$6,2,FALSE),"سد",HLOOKUP(D42,'نمودار سدسازی'!$B$5:$P$6,2,FALSE),"فاضلاب",HLOOKUP(D42,'نمودار جمع‌آوری و ا'!$B$5:$S$6,2,FALSE),"تجهیزات",HLOOKUP(D42,'نمودار تجهیزات آب و'!$B$5:$AG$6,2,FALSE),"پست",HLOOKUP(D42,'نمودار پست های انتق'!$B$5:$AH$6,2,FALSE),"نیرو",HLOOKUP(D42,'نمودار توزیع نیرو ب'!$B$5:$AE$6,2,FALSE),FALSE)</f>
        <v>0</v>
      </c>
      <c r="D42" s="71" t="s">
        <v>106</v>
      </c>
      <c r="E42" s="15"/>
      <c r="F42" s="72"/>
      <c r="G42" s="73">
        <v>290</v>
      </c>
      <c r="H42" s="73">
        <v>290.60000000000002</v>
      </c>
      <c r="I42" s="73">
        <v>292.8</v>
      </c>
      <c r="J42" s="73">
        <v>294.8</v>
      </c>
      <c r="K42" s="73">
        <v>401.9</v>
      </c>
      <c r="L42" s="73">
        <v>446.1</v>
      </c>
      <c r="M42" s="73">
        <v>550.5</v>
      </c>
      <c r="N42" s="73">
        <v>563</v>
      </c>
      <c r="O42" s="73">
        <v>570.4</v>
      </c>
      <c r="P42" s="73">
        <v>571.20000000000005</v>
      </c>
      <c r="Q42" s="73">
        <v>582</v>
      </c>
      <c r="R42" s="73">
        <v>583.29999999999995</v>
      </c>
      <c r="S42" s="73">
        <v>592.9</v>
      </c>
      <c r="T42" s="73">
        <v>594.1</v>
      </c>
      <c r="U42" s="73">
        <v>624.9</v>
      </c>
      <c r="V42" s="73">
        <v>625.9</v>
      </c>
      <c r="W42" s="73">
        <v>730.4</v>
      </c>
      <c r="X42" s="73">
        <v>731.1</v>
      </c>
      <c r="Y42" s="73">
        <v>730.6</v>
      </c>
      <c r="Z42" s="73">
        <v>731.2</v>
      </c>
      <c r="AA42" s="73">
        <v>803.4</v>
      </c>
      <c r="AB42" s="73">
        <v>804.3</v>
      </c>
      <c r="AC42" s="73">
        <v>783.4</v>
      </c>
      <c r="AD42" s="73">
        <v>805.8</v>
      </c>
      <c r="AE42" s="73">
        <v>898.9</v>
      </c>
      <c r="AF42" s="73">
        <v>899.6</v>
      </c>
      <c r="AG42" s="73">
        <v>1076.5999999999999</v>
      </c>
      <c r="AH42" s="73">
        <v>1077.5999999999999</v>
      </c>
      <c r="AI42" s="73">
        <v>1282.2</v>
      </c>
      <c r="AJ42" s="73">
        <v>1527.5</v>
      </c>
      <c r="AK42" s="73">
        <v>1787.9</v>
      </c>
      <c r="AL42" s="73">
        <v>1960.2</v>
      </c>
      <c r="AM42" s="73">
        <v>2234.3000000000002</v>
      </c>
      <c r="AN42" s="73">
        <v>2240.1999999999998</v>
      </c>
      <c r="AO42" s="73">
        <v>2792.7</v>
      </c>
      <c r="AP42" s="73">
        <v>2797.9</v>
      </c>
      <c r="AQ42" s="73">
        <v>2827.4</v>
      </c>
      <c r="AR42" s="73">
        <v>2840.5</v>
      </c>
      <c r="AS42" s="73">
        <v>3599.4</v>
      </c>
      <c r="AT42" s="73">
        <v>3642.1</v>
      </c>
      <c r="AU42" s="73">
        <v>4364.8999999999996</v>
      </c>
      <c r="AV42" s="73">
        <v>4397.3</v>
      </c>
      <c r="AW42" s="73">
        <v>4774</v>
      </c>
      <c r="AX42" s="73">
        <v>4788.5</v>
      </c>
      <c r="AY42" s="73">
        <v>6351.4</v>
      </c>
      <c r="AZ42" s="73">
        <v>6386.5</v>
      </c>
      <c r="BA42" s="73">
        <v>6529.4</v>
      </c>
      <c r="BB42" s="73">
        <v>7097.6</v>
      </c>
      <c r="BC42" s="73">
        <v>8249.7000000000007</v>
      </c>
      <c r="BD42" s="73">
        <v>8275.1</v>
      </c>
      <c r="BE42" s="73">
        <v>9301.7000000000007</v>
      </c>
      <c r="BF42" s="73">
        <v>9370.1</v>
      </c>
      <c r="BG42" s="73">
        <v>9379.1</v>
      </c>
      <c r="BH42" s="73">
        <v>9389.9</v>
      </c>
      <c r="BI42" s="73">
        <v>9528.2999999999993</v>
      </c>
      <c r="BJ42" s="73">
        <v>9557.7000000000007</v>
      </c>
      <c r="BK42" s="73">
        <v>10749.8</v>
      </c>
      <c r="BL42" s="73">
        <v>10768.6</v>
      </c>
    </row>
    <row r="43" spans="1:64" ht="20" customHeight="1">
      <c r="A43" s="25">
        <v>39</v>
      </c>
      <c r="B43" s="26" t="s">
        <v>97</v>
      </c>
      <c r="C43" s="27" t="b">
        <f t="array" ref="C43">_xlfn.SWITCH(LEFT(B43,FIND("|",B43)-1),"ابنیه",HLOOKUP(D43,'نمودار ابنیه'!$B$5:$AD$6,2,FALSE),"مکانیکی",HLOOKUP(D43,'نمودار مکانیکی'!$B$5:$AJ$6,2,FALSE),"برقی",HLOOKUP(D43,'نمودار تاسیسات برقی'!$B$5:$AK$6,2,FALSE),"خطوط",HLOOKUP(D43,'نمودار خطوط انتقال '!$B$5:$R$6,2,FALSE),"شبکه",HLOOKUP(D43,'نمودار شبکه توزیع آ'!$B$5:$O$6,2,FALSE),"سد",HLOOKUP(D43,'نمودار سدسازی'!$B$5:$P$6,2,FALSE),"فاضلاب",HLOOKUP(D43,'نمودار جمع‌آوری و ا'!$B$5:$S$6,2,FALSE),"تجهیزات",HLOOKUP(D43,'نمودار تجهیزات آب و'!$B$5:$AG$6,2,FALSE),"پست",HLOOKUP(D43,'نمودار پست های انتق'!$B$5:$AH$6,2,FALSE),"نیرو",HLOOKUP(D43,'نمودار توزیع نیرو ب'!$B$5:$AE$6,2,FALSE),FALSE)</f>
        <v>0</v>
      </c>
      <c r="D43" s="28" t="s">
        <v>107</v>
      </c>
      <c r="E43" s="15"/>
      <c r="F43" s="29"/>
      <c r="G43" s="32">
        <v>274.10000000000002</v>
      </c>
      <c r="H43" s="32">
        <v>274.60000000000002</v>
      </c>
      <c r="I43" s="32">
        <v>349.6</v>
      </c>
      <c r="J43" s="32">
        <v>351</v>
      </c>
      <c r="K43" s="32">
        <v>381.9</v>
      </c>
      <c r="L43" s="32">
        <v>414.5</v>
      </c>
      <c r="M43" s="32">
        <v>649.70000000000005</v>
      </c>
      <c r="N43" s="32">
        <v>657.9</v>
      </c>
      <c r="O43" s="32">
        <v>662.7</v>
      </c>
      <c r="P43" s="32">
        <v>663.3</v>
      </c>
      <c r="Q43" s="32">
        <v>729.5</v>
      </c>
      <c r="R43" s="32">
        <v>730.3</v>
      </c>
      <c r="S43" s="32">
        <v>736</v>
      </c>
      <c r="T43" s="32">
        <v>736.8</v>
      </c>
      <c r="U43" s="32">
        <v>738.3</v>
      </c>
      <c r="V43" s="32">
        <v>738.8</v>
      </c>
      <c r="W43" s="32">
        <v>836.4</v>
      </c>
      <c r="X43" s="32">
        <v>836.8</v>
      </c>
      <c r="Y43" s="32">
        <v>836.8</v>
      </c>
      <c r="Z43" s="32">
        <v>837.1</v>
      </c>
      <c r="AA43" s="32">
        <v>832</v>
      </c>
      <c r="AB43" s="32">
        <v>832.6</v>
      </c>
      <c r="AC43" s="32">
        <v>851.8</v>
      </c>
      <c r="AD43" s="32">
        <v>864.6</v>
      </c>
      <c r="AE43" s="32">
        <v>896</v>
      </c>
      <c r="AF43" s="32">
        <v>896.4</v>
      </c>
      <c r="AG43" s="32">
        <v>981.6</v>
      </c>
      <c r="AH43" s="32">
        <v>982.3</v>
      </c>
      <c r="AI43" s="32">
        <v>1085.7</v>
      </c>
      <c r="AJ43" s="32">
        <v>1361.3</v>
      </c>
      <c r="AK43" s="32">
        <v>1585.1</v>
      </c>
      <c r="AL43" s="32">
        <v>1735.1</v>
      </c>
      <c r="AM43" s="32">
        <v>1880.9</v>
      </c>
      <c r="AN43" s="32">
        <v>1884.7</v>
      </c>
      <c r="AO43" s="32">
        <v>2340.3000000000002</v>
      </c>
      <c r="AP43" s="32">
        <v>2344.5</v>
      </c>
      <c r="AQ43" s="32">
        <v>2436.5</v>
      </c>
      <c r="AR43" s="32">
        <v>2445.3000000000002</v>
      </c>
      <c r="AS43" s="32">
        <v>2996</v>
      </c>
      <c r="AT43" s="32">
        <v>3139.1</v>
      </c>
      <c r="AU43" s="32">
        <v>3655.5</v>
      </c>
      <c r="AV43" s="32">
        <v>3679.2</v>
      </c>
      <c r="AW43" s="32">
        <v>4455.3</v>
      </c>
      <c r="AX43" s="32">
        <v>4555.3</v>
      </c>
      <c r="AY43" s="32">
        <v>5137.8999999999996</v>
      </c>
      <c r="AZ43" s="32">
        <v>5247.5</v>
      </c>
      <c r="BA43" s="32">
        <v>5360.5</v>
      </c>
      <c r="BB43" s="32">
        <v>5955.2</v>
      </c>
      <c r="BC43" s="32">
        <v>6929.1</v>
      </c>
      <c r="BD43" s="32">
        <v>6953.5</v>
      </c>
      <c r="BE43" s="32">
        <v>7761</v>
      </c>
      <c r="BF43" s="32">
        <v>7896.9</v>
      </c>
      <c r="BG43" s="32">
        <v>7900.6</v>
      </c>
      <c r="BH43" s="32">
        <v>7905.3</v>
      </c>
      <c r="BI43" s="32">
        <v>7993.4</v>
      </c>
      <c r="BJ43" s="32">
        <v>8013.4</v>
      </c>
      <c r="BK43" s="32">
        <v>9028.4</v>
      </c>
      <c r="BL43" s="32">
        <v>9041.7000000000007</v>
      </c>
    </row>
    <row r="44" spans="1:64" ht="20" customHeight="1">
      <c r="A44" s="68">
        <v>40</v>
      </c>
      <c r="B44" s="69" t="s">
        <v>97</v>
      </c>
      <c r="C44" s="70" t="b">
        <f t="array" ref="C44">_xlfn.SWITCH(LEFT(B44,FIND("|",B44)-1),"ابنیه",HLOOKUP(D44,'نمودار ابنیه'!$B$5:$AD$6,2,FALSE),"مکانیکی",HLOOKUP(D44,'نمودار مکانیکی'!$B$5:$AJ$6,2,FALSE),"برقی",HLOOKUP(D44,'نمودار تاسیسات برقی'!$B$5:$AK$6,2,FALSE),"خطوط",HLOOKUP(D44,'نمودار خطوط انتقال '!$B$5:$R$6,2,FALSE),"شبکه",HLOOKUP(D44,'نمودار شبکه توزیع آ'!$B$5:$O$6,2,FALSE),"سد",HLOOKUP(D44,'نمودار سدسازی'!$B$5:$P$6,2,FALSE),"فاضلاب",HLOOKUP(D44,'نمودار جمع‌آوری و ا'!$B$5:$S$6,2,FALSE),"تجهیزات",HLOOKUP(D44,'نمودار تجهیزات آب و'!$B$5:$AG$6,2,FALSE),"پست",HLOOKUP(D44,'نمودار پست های انتق'!$B$5:$AH$6,2,FALSE),"نیرو",HLOOKUP(D44,'نمودار توزیع نیرو ب'!$B$5:$AE$6,2,FALSE),FALSE)</f>
        <v>0</v>
      </c>
      <c r="D44" s="71" t="s">
        <v>108</v>
      </c>
      <c r="E44" s="15"/>
      <c r="F44" s="72"/>
      <c r="G44" s="73">
        <v>299.89999999999998</v>
      </c>
      <c r="H44" s="73">
        <v>300.89999999999998</v>
      </c>
      <c r="I44" s="73">
        <v>329.7</v>
      </c>
      <c r="J44" s="73">
        <v>381.3</v>
      </c>
      <c r="K44" s="73">
        <v>426.4</v>
      </c>
      <c r="L44" s="73">
        <v>446.7</v>
      </c>
      <c r="M44" s="73">
        <v>453.7</v>
      </c>
      <c r="N44" s="73">
        <v>474.5</v>
      </c>
      <c r="O44" s="73">
        <v>548</v>
      </c>
      <c r="P44" s="73">
        <v>571.1</v>
      </c>
      <c r="Q44" s="73">
        <v>556.6</v>
      </c>
      <c r="R44" s="73">
        <v>557.79999999999995</v>
      </c>
      <c r="S44" s="73">
        <v>581.6</v>
      </c>
      <c r="T44" s="73">
        <v>601.9</v>
      </c>
      <c r="U44" s="73">
        <v>629.29999999999995</v>
      </c>
      <c r="V44" s="73">
        <v>638.4</v>
      </c>
      <c r="W44" s="73">
        <v>653.9</v>
      </c>
      <c r="X44" s="73">
        <v>654.4</v>
      </c>
      <c r="Y44" s="73">
        <v>657.1</v>
      </c>
      <c r="Z44" s="73">
        <v>692.8</v>
      </c>
      <c r="AA44" s="73">
        <v>722.1</v>
      </c>
      <c r="AB44" s="73">
        <v>722.8</v>
      </c>
      <c r="AC44" s="73">
        <v>785.5</v>
      </c>
      <c r="AD44" s="73">
        <v>804.9</v>
      </c>
      <c r="AE44" s="73">
        <v>849.1</v>
      </c>
      <c r="AF44" s="73">
        <v>861</v>
      </c>
      <c r="AG44" s="73">
        <v>867.7</v>
      </c>
      <c r="AH44" s="73">
        <v>878.2</v>
      </c>
      <c r="AI44" s="73">
        <v>1031.5</v>
      </c>
      <c r="AJ44" s="73">
        <v>1312.1</v>
      </c>
      <c r="AK44" s="73">
        <v>1406.8</v>
      </c>
      <c r="AL44" s="73">
        <v>1487.5</v>
      </c>
      <c r="AM44" s="73">
        <v>1495.6</v>
      </c>
      <c r="AN44" s="73">
        <v>1574.5</v>
      </c>
      <c r="AO44" s="73">
        <v>1728.6</v>
      </c>
      <c r="AP44" s="73">
        <v>1752.5</v>
      </c>
      <c r="AQ44" s="73">
        <v>1851.5</v>
      </c>
      <c r="AR44" s="73">
        <v>1857.7</v>
      </c>
      <c r="AS44" s="73">
        <v>2346</v>
      </c>
      <c r="AT44" s="73">
        <v>2550.6999999999998</v>
      </c>
      <c r="AU44" s="73">
        <v>2746.2</v>
      </c>
      <c r="AV44" s="73">
        <v>3034</v>
      </c>
      <c r="AW44" s="73">
        <v>3349.1</v>
      </c>
      <c r="AX44" s="73">
        <v>3427.2</v>
      </c>
      <c r="AY44" s="73">
        <v>4236.3</v>
      </c>
      <c r="AZ44" s="73">
        <v>4287.8</v>
      </c>
      <c r="BA44" s="73">
        <v>4503.1000000000004</v>
      </c>
      <c r="BB44" s="73">
        <v>4736.8999999999996</v>
      </c>
      <c r="BC44" s="73">
        <v>5452.6</v>
      </c>
      <c r="BD44" s="73">
        <v>6953.5</v>
      </c>
      <c r="BE44" s="73">
        <v>6098.3</v>
      </c>
      <c r="BF44" s="73">
        <v>6763.7</v>
      </c>
      <c r="BG44" s="73">
        <v>6965.2</v>
      </c>
      <c r="BH44" s="73">
        <v>7397.2</v>
      </c>
      <c r="BI44" s="73">
        <v>8301.7000000000007</v>
      </c>
      <c r="BJ44" s="73">
        <v>8331.6</v>
      </c>
      <c r="BK44" s="73">
        <v>8923</v>
      </c>
      <c r="BL44" s="73">
        <v>9106.1</v>
      </c>
    </row>
    <row r="45" spans="1:64" ht="20" customHeight="1">
      <c r="A45" s="25">
        <v>41</v>
      </c>
      <c r="B45" s="26" t="s">
        <v>97</v>
      </c>
      <c r="C45" s="27" t="b">
        <f t="array" ref="C45">_xlfn.SWITCH(LEFT(B45,FIND("|",B45)-1),"ابنیه",HLOOKUP(D45,'نمودار ابنیه'!$B$5:$AD$6,2,FALSE),"مکانیکی",HLOOKUP(D45,'نمودار مکانیکی'!$B$5:$AJ$6,2,FALSE),"برقی",HLOOKUP(D45,'نمودار تاسیسات برقی'!$B$5:$AK$6,2,FALSE),"خطوط",HLOOKUP(D45,'نمودار خطوط انتقال '!$B$5:$R$6,2,FALSE),"شبکه",HLOOKUP(D45,'نمودار شبکه توزیع آ'!$B$5:$O$6,2,FALSE),"سد",HLOOKUP(D45,'نمودار سدسازی'!$B$5:$P$6,2,FALSE),"فاضلاب",HLOOKUP(D45,'نمودار جمع‌آوری و ا'!$B$5:$S$6,2,FALSE),"تجهیزات",HLOOKUP(D45,'نمودار تجهیزات آب و'!$B$5:$AG$6,2,FALSE),"پست",HLOOKUP(D45,'نمودار پست های انتق'!$B$5:$AH$6,2,FALSE),"نیرو",HLOOKUP(D45,'نمودار توزیع نیرو ب'!$B$5:$AE$6,2,FALSE),FALSE)</f>
        <v>0</v>
      </c>
      <c r="D45" s="28" t="s">
        <v>109</v>
      </c>
      <c r="E45" s="15"/>
      <c r="F45" s="29"/>
      <c r="G45" s="32">
        <v>419.6</v>
      </c>
      <c r="H45" s="32">
        <v>420.7</v>
      </c>
      <c r="I45" s="32">
        <v>494.4</v>
      </c>
      <c r="J45" s="32">
        <v>495.6</v>
      </c>
      <c r="K45" s="32">
        <v>575.5</v>
      </c>
      <c r="L45" s="32">
        <v>610.29999999999995</v>
      </c>
      <c r="M45" s="32">
        <v>706.4</v>
      </c>
      <c r="N45" s="32">
        <v>715.5</v>
      </c>
      <c r="O45" s="32">
        <v>812.4</v>
      </c>
      <c r="P45" s="32">
        <v>822.3</v>
      </c>
      <c r="Q45" s="32">
        <v>815.3</v>
      </c>
      <c r="R45" s="32">
        <v>816.7</v>
      </c>
      <c r="S45" s="32">
        <v>900.4</v>
      </c>
      <c r="T45" s="32">
        <v>901.7</v>
      </c>
      <c r="U45" s="32">
        <v>902.5</v>
      </c>
      <c r="V45" s="32">
        <v>903.5</v>
      </c>
      <c r="W45" s="32">
        <v>1027.8</v>
      </c>
      <c r="X45" s="32">
        <v>1028.4000000000001</v>
      </c>
      <c r="Y45" s="32">
        <v>1028.8</v>
      </c>
      <c r="Z45" s="32">
        <v>1029.2</v>
      </c>
      <c r="AA45" s="32">
        <v>1034.8</v>
      </c>
      <c r="AB45" s="32">
        <v>1035.5999999999999</v>
      </c>
      <c r="AC45" s="32">
        <v>1036.4000000000001</v>
      </c>
      <c r="AD45" s="32">
        <v>1110.3</v>
      </c>
      <c r="AE45" s="32">
        <v>1189.5</v>
      </c>
      <c r="AF45" s="32">
        <v>1190</v>
      </c>
      <c r="AG45" s="32">
        <v>1255.3</v>
      </c>
      <c r="AH45" s="32">
        <v>1256.2</v>
      </c>
      <c r="AI45" s="32">
        <v>1732.9</v>
      </c>
      <c r="AJ45" s="32">
        <v>2223.5</v>
      </c>
      <c r="AK45" s="32">
        <v>2463.3000000000002</v>
      </c>
      <c r="AL45" s="32">
        <v>2582</v>
      </c>
      <c r="AM45" s="32">
        <v>2583.9</v>
      </c>
      <c r="AN45" s="32">
        <v>2588.6999999999998</v>
      </c>
      <c r="AO45" s="32">
        <v>3104.8</v>
      </c>
      <c r="AP45" s="32">
        <v>3113.1</v>
      </c>
      <c r="AQ45" s="32">
        <v>3285.4</v>
      </c>
      <c r="AR45" s="32">
        <v>3291.8</v>
      </c>
      <c r="AS45" s="32">
        <v>4357.6000000000004</v>
      </c>
      <c r="AT45" s="32">
        <v>4926.3</v>
      </c>
      <c r="AU45" s="32">
        <v>5282.5</v>
      </c>
      <c r="AV45" s="32">
        <v>5931.7</v>
      </c>
      <c r="AW45" s="32">
        <v>6364.7</v>
      </c>
      <c r="AX45" s="32">
        <v>6379.5</v>
      </c>
      <c r="AY45" s="32">
        <v>8041.8</v>
      </c>
      <c r="AZ45" s="32">
        <v>8075.5</v>
      </c>
      <c r="BA45" s="32">
        <v>8111.6</v>
      </c>
      <c r="BB45" s="32">
        <v>8120.3</v>
      </c>
      <c r="BC45" s="32">
        <v>9995.7000000000007</v>
      </c>
      <c r="BD45" s="32">
        <v>10405.6</v>
      </c>
      <c r="BE45" s="32">
        <v>10442.6</v>
      </c>
      <c r="BF45" s="32">
        <v>11917.8</v>
      </c>
      <c r="BG45" s="32">
        <v>12406.1</v>
      </c>
      <c r="BH45" s="32">
        <v>13431.2</v>
      </c>
      <c r="BI45" s="32">
        <v>14974.9</v>
      </c>
      <c r="BJ45" s="32">
        <v>15004</v>
      </c>
      <c r="BK45" s="32">
        <v>16462.8</v>
      </c>
      <c r="BL45" s="32">
        <v>16485.900000000001</v>
      </c>
    </row>
    <row r="46" spans="1:64" ht="20" customHeight="1">
      <c r="A46" s="68">
        <v>42</v>
      </c>
      <c r="B46" s="69" t="s">
        <v>97</v>
      </c>
      <c r="C46" s="70" t="b">
        <f t="array" ref="C46">_xlfn.SWITCH(LEFT(B46,FIND("|",B46)-1),"ابنیه",HLOOKUP(D46,'نمودار ابنیه'!$B$5:$AD$6,2,FALSE),"مکانیکی",HLOOKUP(D46,'نمودار مکانیکی'!$B$5:$AJ$6,2,FALSE),"برقی",HLOOKUP(D46,'نمودار تاسیسات برقی'!$B$5:$AK$6,2,FALSE),"خطوط",HLOOKUP(D46,'نمودار خطوط انتقال '!$B$5:$R$6,2,FALSE),"شبکه",HLOOKUP(D46,'نمودار شبکه توزیع آ'!$B$5:$O$6,2,FALSE),"سد",HLOOKUP(D46,'نمودار سدسازی'!$B$5:$P$6,2,FALSE),"فاضلاب",HLOOKUP(D46,'نمودار جمع‌آوری و ا'!$B$5:$S$6,2,FALSE),"تجهیزات",HLOOKUP(D46,'نمودار تجهیزات آب و'!$B$5:$AG$6,2,FALSE),"پست",HLOOKUP(D46,'نمودار پست های انتق'!$B$5:$AH$6,2,FALSE),"نیرو",HLOOKUP(D46,'نمودار توزیع نیرو ب'!$B$5:$AE$6,2,FALSE),FALSE)</f>
        <v>0</v>
      </c>
      <c r="D46" s="71" t="s">
        <v>110</v>
      </c>
      <c r="E46" s="15"/>
      <c r="F46" s="72"/>
      <c r="G46" s="73">
        <v>168.8</v>
      </c>
      <c r="H46" s="73">
        <v>169.4</v>
      </c>
      <c r="I46" s="73">
        <v>200</v>
      </c>
      <c r="J46" s="73">
        <v>200.4</v>
      </c>
      <c r="K46" s="73">
        <v>265.5</v>
      </c>
      <c r="L46" s="73">
        <v>266.3</v>
      </c>
      <c r="M46" s="73">
        <v>286.60000000000002</v>
      </c>
      <c r="N46" s="73">
        <v>287.10000000000002</v>
      </c>
      <c r="O46" s="73">
        <v>313.7</v>
      </c>
      <c r="P46" s="73">
        <v>314.2</v>
      </c>
      <c r="Q46" s="73">
        <v>336.2</v>
      </c>
      <c r="R46" s="73">
        <v>336.8</v>
      </c>
      <c r="S46" s="73">
        <v>340.4</v>
      </c>
      <c r="T46" s="73">
        <v>340.9</v>
      </c>
      <c r="U46" s="73">
        <v>373.2</v>
      </c>
      <c r="V46" s="73">
        <v>373.6</v>
      </c>
      <c r="W46" s="73">
        <v>376.4</v>
      </c>
      <c r="X46" s="73">
        <v>376.7</v>
      </c>
      <c r="Y46" s="73">
        <v>376.9</v>
      </c>
      <c r="Z46" s="73">
        <v>377.1</v>
      </c>
      <c r="AA46" s="73">
        <v>379.7</v>
      </c>
      <c r="AB46" s="73">
        <v>380</v>
      </c>
      <c r="AC46" s="73">
        <v>397.2</v>
      </c>
      <c r="AD46" s="73">
        <v>397.5</v>
      </c>
      <c r="AE46" s="73">
        <v>400.5</v>
      </c>
      <c r="AF46" s="73">
        <v>400.8</v>
      </c>
      <c r="AG46" s="73">
        <v>401.4</v>
      </c>
      <c r="AH46" s="73">
        <v>401.7</v>
      </c>
      <c r="AI46" s="73">
        <v>443.7</v>
      </c>
      <c r="AJ46" s="73">
        <v>482.3</v>
      </c>
      <c r="AK46" s="73">
        <v>519.20000000000005</v>
      </c>
      <c r="AL46" s="73">
        <v>555.9</v>
      </c>
      <c r="AM46" s="73">
        <v>629</v>
      </c>
      <c r="AN46" s="73">
        <v>666.8</v>
      </c>
      <c r="AO46" s="73">
        <v>738.8</v>
      </c>
      <c r="AP46" s="73">
        <v>772.6</v>
      </c>
      <c r="AQ46" s="73">
        <v>774.3</v>
      </c>
      <c r="AR46" s="73">
        <v>837.6</v>
      </c>
      <c r="AS46" s="73">
        <v>1077.4000000000001</v>
      </c>
      <c r="AT46" s="73">
        <v>1147.8</v>
      </c>
      <c r="AU46" s="73">
        <v>1240.0999999999999</v>
      </c>
      <c r="AV46" s="73">
        <v>1315.1</v>
      </c>
      <c r="AW46" s="73">
        <v>1522.1</v>
      </c>
      <c r="AX46" s="73">
        <v>1527.6</v>
      </c>
      <c r="AY46" s="73">
        <v>1589.9</v>
      </c>
      <c r="AZ46" s="73">
        <v>1598.7</v>
      </c>
      <c r="BA46" s="73">
        <v>1586</v>
      </c>
      <c r="BB46" s="73">
        <v>1743.1</v>
      </c>
      <c r="BC46" s="73">
        <v>1989.1</v>
      </c>
      <c r="BD46" s="73">
        <v>1994</v>
      </c>
      <c r="BE46" s="73">
        <v>2035.5</v>
      </c>
      <c r="BF46" s="73">
        <v>2258.8000000000002</v>
      </c>
      <c r="BG46" s="73">
        <v>2258.9</v>
      </c>
      <c r="BH46" s="73">
        <v>2258.9</v>
      </c>
      <c r="BI46" s="73">
        <v>2311.3000000000002</v>
      </c>
      <c r="BJ46" s="73">
        <v>2322.6</v>
      </c>
      <c r="BK46" s="73">
        <v>2330.3000000000002</v>
      </c>
      <c r="BL46" s="73">
        <v>2647.5</v>
      </c>
    </row>
    <row r="47" spans="1:64" ht="20" customHeight="1">
      <c r="A47" s="25">
        <v>43</v>
      </c>
      <c r="B47" s="26" t="s">
        <v>97</v>
      </c>
      <c r="C47" s="27" t="b">
        <f t="array" ref="C47">_xlfn.SWITCH(LEFT(B47,FIND("|",B47)-1),"ابنیه",HLOOKUP(D47,'نمودار ابنیه'!$B$5:$AD$6,2,FALSE),"مکانیکی",HLOOKUP(D47,'نمودار مکانیکی'!$B$5:$AJ$6,2,FALSE),"برقی",HLOOKUP(D47,'نمودار تاسیسات برقی'!$B$5:$AK$6,2,FALSE),"خطوط",HLOOKUP(D47,'نمودار خطوط انتقال '!$B$5:$R$6,2,FALSE),"شبکه",HLOOKUP(D47,'نمودار شبکه توزیع آ'!$B$5:$O$6,2,FALSE),"سد",HLOOKUP(D47,'نمودار سدسازی'!$B$5:$P$6,2,FALSE),"فاضلاب",HLOOKUP(D47,'نمودار جمع‌آوری و ا'!$B$5:$S$6,2,FALSE),"تجهیزات",HLOOKUP(D47,'نمودار تجهیزات آب و'!$B$5:$AG$6,2,FALSE),"پست",HLOOKUP(D47,'نمودار پست های انتق'!$B$5:$AH$6,2,FALSE),"نیرو",HLOOKUP(D47,'نمودار توزیع نیرو ب'!$B$5:$AE$6,2,FALSE),FALSE)</f>
        <v>0</v>
      </c>
      <c r="D47" s="28" t="s">
        <v>111</v>
      </c>
      <c r="E47" s="15"/>
      <c r="F47" s="29"/>
      <c r="G47" s="32">
        <v>134.4</v>
      </c>
      <c r="H47" s="32">
        <v>134.5</v>
      </c>
      <c r="I47" s="32">
        <v>170.8</v>
      </c>
      <c r="J47" s="32">
        <v>212.9</v>
      </c>
      <c r="K47" s="32">
        <v>224.4</v>
      </c>
      <c r="L47" s="32">
        <v>254.7</v>
      </c>
      <c r="M47" s="32">
        <v>331.1</v>
      </c>
      <c r="N47" s="32">
        <v>383.6</v>
      </c>
      <c r="O47" s="32">
        <v>386</v>
      </c>
      <c r="P47" s="32">
        <v>386.4</v>
      </c>
      <c r="Q47" s="32">
        <v>387.2</v>
      </c>
      <c r="R47" s="32">
        <v>336.8</v>
      </c>
      <c r="S47" s="32">
        <v>391.4</v>
      </c>
      <c r="T47" s="32">
        <v>391.8</v>
      </c>
      <c r="U47" s="32">
        <v>391.6</v>
      </c>
      <c r="V47" s="32">
        <v>391.8</v>
      </c>
      <c r="W47" s="32">
        <v>389.3</v>
      </c>
      <c r="X47" s="32">
        <v>389.6</v>
      </c>
      <c r="Y47" s="32">
        <v>389.8</v>
      </c>
      <c r="Z47" s="32">
        <v>397.2</v>
      </c>
      <c r="AA47" s="32">
        <v>389.4</v>
      </c>
      <c r="AB47" s="32">
        <v>387.5</v>
      </c>
      <c r="AC47" s="32">
        <v>396.3</v>
      </c>
      <c r="AD47" s="32">
        <v>396.6</v>
      </c>
      <c r="AE47" s="32">
        <v>419.1</v>
      </c>
      <c r="AF47" s="32">
        <v>419.5</v>
      </c>
      <c r="AG47" s="32">
        <v>454.7</v>
      </c>
      <c r="AH47" s="32">
        <v>482.1</v>
      </c>
      <c r="AI47" s="32">
        <v>554.5</v>
      </c>
      <c r="AJ47" s="32">
        <v>622.6</v>
      </c>
      <c r="AK47" s="32">
        <v>800.1</v>
      </c>
      <c r="AL47" s="32">
        <v>977.6</v>
      </c>
      <c r="AM47" s="32">
        <v>982.1</v>
      </c>
      <c r="AN47" s="32">
        <v>983.1</v>
      </c>
      <c r="AO47" s="32">
        <v>1133.5999999999999</v>
      </c>
      <c r="AP47" s="32">
        <v>996</v>
      </c>
      <c r="AQ47" s="32">
        <v>1185.4000000000001</v>
      </c>
      <c r="AR47" s="32">
        <v>1288.7</v>
      </c>
      <c r="AS47" s="32">
        <v>1510.3</v>
      </c>
      <c r="AT47" s="32">
        <v>1798.5</v>
      </c>
      <c r="AU47" s="32">
        <v>2019.4</v>
      </c>
      <c r="AV47" s="32">
        <v>2424.4</v>
      </c>
      <c r="AW47" s="32">
        <v>2630.2</v>
      </c>
      <c r="AX47" s="32">
        <v>2634.8</v>
      </c>
      <c r="AY47" s="32">
        <v>2715.4</v>
      </c>
      <c r="AZ47" s="32">
        <v>2772.7</v>
      </c>
      <c r="BA47" s="32">
        <v>2798.3</v>
      </c>
      <c r="BB47" s="32">
        <v>2824.3</v>
      </c>
      <c r="BC47" s="32">
        <v>3137.1</v>
      </c>
      <c r="BD47" s="32">
        <v>3275.3</v>
      </c>
      <c r="BE47" s="32">
        <v>3775.8</v>
      </c>
      <c r="BF47" s="32">
        <v>4387.3999999999996</v>
      </c>
      <c r="BG47" s="32">
        <v>4387.3999999999996</v>
      </c>
      <c r="BH47" s="32">
        <v>4387.3999999999996</v>
      </c>
      <c r="BI47" s="32">
        <v>4727.2</v>
      </c>
      <c r="BJ47" s="32">
        <v>4568.2</v>
      </c>
      <c r="BK47" s="32">
        <v>5078.8999999999996</v>
      </c>
      <c r="BL47" s="32">
        <v>5567.9</v>
      </c>
    </row>
    <row r="48" spans="1:64" ht="20" customHeight="1">
      <c r="A48" s="68">
        <v>44</v>
      </c>
      <c r="B48" s="69" t="s">
        <v>97</v>
      </c>
      <c r="C48" s="70" t="b">
        <f t="array" ref="C48">_xlfn.SWITCH(LEFT(B48,FIND("|",B48)-1),"ابنیه",HLOOKUP(D48,'نمودار ابنیه'!$B$5:$AD$6,2,FALSE),"مکانیکی",HLOOKUP(D48,'نمودار مکانیکی'!$B$5:$AJ$6,2,FALSE),"برقی",HLOOKUP(D48,'نمودار تاسیسات برقی'!$B$5:$AK$6,2,FALSE),"خطوط",HLOOKUP(D48,'نمودار خطوط انتقال '!$B$5:$R$6,2,FALSE),"شبکه",HLOOKUP(D48,'نمودار شبکه توزیع آ'!$B$5:$O$6,2,FALSE),"سد",HLOOKUP(D48,'نمودار سدسازی'!$B$5:$P$6,2,FALSE),"فاضلاب",HLOOKUP(D48,'نمودار جمع‌آوری و ا'!$B$5:$S$6,2,FALSE),"تجهیزات",HLOOKUP(D48,'نمودار تجهیزات آب و'!$B$5:$AG$6,2,FALSE),"پست",HLOOKUP(D48,'نمودار پست های انتق'!$B$5:$AH$6,2,FALSE),"نیرو",HLOOKUP(D48,'نمودار توزیع نیرو ب'!$B$5:$AE$6,2,FALSE),FALSE)</f>
        <v>0</v>
      </c>
      <c r="D48" s="71" t="s">
        <v>112</v>
      </c>
      <c r="E48" s="15"/>
      <c r="F48" s="72"/>
      <c r="G48" s="73">
        <v>277.3</v>
      </c>
      <c r="H48" s="73">
        <v>288.10000000000002</v>
      </c>
      <c r="I48" s="73">
        <v>241.7</v>
      </c>
      <c r="J48" s="73">
        <v>242.7</v>
      </c>
      <c r="K48" s="73">
        <v>267</v>
      </c>
      <c r="L48" s="73">
        <v>331.7</v>
      </c>
      <c r="M48" s="73">
        <v>345</v>
      </c>
      <c r="N48" s="73">
        <v>367.5</v>
      </c>
      <c r="O48" s="73">
        <v>372.3</v>
      </c>
      <c r="P48" s="73">
        <v>373.4</v>
      </c>
      <c r="Q48" s="73">
        <v>409.4</v>
      </c>
      <c r="R48" s="73">
        <v>418.2</v>
      </c>
      <c r="S48" s="73">
        <v>429</v>
      </c>
      <c r="T48" s="73">
        <v>430.1</v>
      </c>
      <c r="U48" s="73">
        <v>454.5</v>
      </c>
      <c r="V48" s="73">
        <v>455.1</v>
      </c>
      <c r="W48" s="73">
        <v>466.9</v>
      </c>
      <c r="X48" s="73">
        <v>467.6</v>
      </c>
      <c r="Y48" s="73">
        <v>461.3</v>
      </c>
      <c r="Z48" s="73">
        <v>461.6</v>
      </c>
      <c r="AA48" s="73">
        <v>503.2</v>
      </c>
      <c r="AB48" s="73">
        <v>503.9</v>
      </c>
      <c r="AC48" s="73">
        <v>507.1</v>
      </c>
      <c r="AD48" s="73">
        <v>507.7</v>
      </c>
      <c r="AE48" s="73">
        <v>513.20000000000005</v>
      </c>
      <c r="AF48" s="73">
        <v>513.9</v>
      </c>
      <c r="AG48" s="73">
        <v>545.6</v>
      </c>
      <c r="AH48" s="73">
        <v>559.4</v>
      </c>
      <c r="AI48" s="73">
        <v>594.4</v>
      </c>
      <c r="AJ48" s="73">
        <v>624.4</v>
      </c>
      <c r="AK48" s="73">
        <v>651.20000000000005</v>
      </c>
      <c r="AL48" s="73">
        <v>676.9</v>
      </c>
      <c r="AM48" s="73">
        <v>726.8</v>
      </c>
      <c r="AN48" s="73">
        <v>779.1</v>
      </c>
      <c r="AO48" s="73">
        <v>832.9</v>
      </c>
      <c r="AP48" s="73">
        <v>872.9</v>
      </c>
      <c r="AQ48" s="73">
        <v>945.9</v>
      </c>
      <c r="AR48" s="73">
        <v>1084.8</v>
      </c>
      <c r="AS48" s="73">
        <v>1181.7</v>
      </c>
      <c r="AT48" s="73">
        <v>1542.4</v>
      </c>
      <c r="AU48" s="73">
        <v>1668.3</v>
      </c>
      <c r="AV48" s="73">
        <v>1705.4</v>
      </c>
      <c r="AW48" s="73">
        <v>1922.5</v>
      </c>
      <c r="AX48" s="73">
        <v>1934.2</v>
      </c>
      <c r="AY48" s="73">
        <v>2258.6999999999998</v>
      </c>
      <c r="AZ48" s="73">
        <v>2366.1999999999998</v>
      </c>
      <c r="BA48" s="73">
        <v>2491</v>
      </c>
      <c r="BB48" s="73">
        <v>2579.9</v>
      </c>
      <c r="BC48" s="73">
        <v>2787</v>
      </c>
      <c r="BD48" s="73">
        <v>2799.4</v>
      </c>
      <c r="BE48" s="73">
        <v>2870.2</v>
      </c>
      <c r="BF48" s="73">
        <v>3854.9</v>
      </c>
      <c r="BG48" s="73">
        <v>3855.3</v>
      </c>
      <c r="BH48" s="73">
        <v>3855.6</v>
      </c>
      <c r="BI48" s="73">
        <v>4468.2</v>
      </c>
      <c r="BJ48" s="73">
        <v>4864.5</v>
      </c>
      <c r="BK48" s="73">
        <v>4897.7</v>
      </c>
      <c r="BL48" s="73">
        <v>5106</v>
      </c>
    </row>
    <row r="49" spans="1:64" ht="20" customHeight="1">
      <c r="A49" s="25">
        <v>45</v>
      </c>
      <c r="B49" s="26" t="s">
        <v>97</v>
      </c>
      <c r="C49" s="27" t="b">
        <f t="array" ref="C49">_xlfn.SWITCH(LEFT(B49,FIND("|",B49)-1),"ابنیه",HLOOKUP(D49,'نمودار ابنیه'!$B$5:$AD$6,2,FALSE),"مکانیکی",HLOOKUP(D49,'نمودار مکانیکی'!$B$5:$AJ$6,2,FALSE),"برقی",HLOOKUP(D49,'نمودار تاسیسات برقی'!$B$5:$AK$6,2,FALSE),"خطوط",HLOOKUP(D49,'نمودار خطوط انتقال '!$B$5:$R$6,2,FALSE),"شبکه",HLOOKUP(D49,'نمودار شبکه توزیع آ'!$B$5:$O$6,2,FALSE),"سد",HLOOKUP(D49,'نمودار سدسازی'!$B$5:$P$6,2,FALSE),"فاضلاب",HLOOKUP(D49,'نمودار جمع‌آوری و ا'!$B$5:$S$6,2,FALSE),"تجهیزات",HLOOKUP(D49,'نمودار تجهیزات آب و'!$B$5:$AG$6,2,FALSE),"پست",HLOOKUP(D49,'نمودار پست های انتق'!$B$5:$AH$6,2,FALSE),"نیرو",HLOOKUP(D49,'نمودار توزیع نیرو ب'!$B$5:$AE$6,2,FALSE),FALSE)</f>
        <v>0</v>
      </c>
      <c r="D49" s="28" t="s">
        <v>113</v>
      </c>
      <c r="E49" s="15"/>
      <c r="F49" s="29"/>
      <c r="G49" s="32">
        <v>277.8</v>
      </c>
      <c r="H49" s="32">
        <v>278.39999999999998</v>
      </c>
      <c r="I49" s="32">
        <v>340.9</v>
      </c>
      <c r="J49" s="32">
        <v>341.5</v>
      </c>
      <c r="K49" s="32">
        <v>369.4</v>
      </c>
      <c r="L49" s="32">
        <v>372.6</v>
      </c>
      <c r="M49" s="32">
        <v>510.4</v>
      </c>
      <c r="N49" s="32">
        <v>511.5</v>
      </c>
      <c r="O49" s="32">
        <v>542.4</v>
      </c>
      <c r="P49" s="32">
        <v>543.5</v>
      </c>
      <c r="Q49" s="32">
        <v>557.79999999999995</v>
      </c>
      <c r="R49" s="32">
        <v>558.6</v>
      </c>
      <c r="S49" s="32">
        <v>569.4</v>
      </c>
      <c r="T49" s="32">
        <v>570.70000000000005</v>
      </c>
      <c r="U49" s="32">
        <v>646.9</v>
      </c>
      <c r="V49" s="32">
        <v>648</v>
      </c>
      <c r="W49" s="32">
        <v>656</v>
      </c>
      <c r="X49" s="32">
        <v>656.7</v>
      </c>
      <c r="Y49" s="32">
        <v>657.4</v>
      </c>
      <c r="Z49" s="32">
        <v>658.1</v>
      </c>
      <c r="AA49" s="32">
        <v>665.3</v>
      </c>
      <c r="AB49" s="32">
        <v>666.2</v>
      </c>
      <c r="AC49" s="32">
        <v>667.1</v>
      </c>
      <c r="AD49" s="32">
        <v>667.9</v>
      </c>
      <c r="AE49" s="32">
        <v>747.8</v>
      </c>
      <c r="AF49" s="32">
        <v>748.6</v>
      </c>
      <c r="AG49" s="32">
        <v>751.6</v>
      </c>
      <c r="AH49" s="32">
        <v>753.4</v>
      </c>
      <c r="AI49" s="32">
        <v>864.8</v>
      </c>
      <c r="AJ49" s="32">
        <v>965.3</v>
      </c>
      <c r="AK49" s="32">
        <v>1219.8</v>
      </c>
      <c r="AL49" s="32">
        <v>1466.4</v>
      </c>
      <c r="AM49" s="32">
        <v>1405.6</v>
      </c>
      <c r="AN49" s="32">
        <v>1412</v>
      </c>
      <c r="AO49" s="32">
        <v>1450.3</v>
      </c>
      <c r="AP49" s="32">
        <v>1455.3</v>
      </c>
      <c r="AQ49" s="32">
        <v>1654.1</v>
      </c>
      <c r="AR49" s="32">
        <v>1724.1</v>
      </c>
      <c r="AS49" s="32">
        <v>1855.5</v>
      </c>
      <c r="AT49" s="32">
        <v>2460.6</v>
      </c>
      <c r="AU49" s="32">
        <v>2692.5</v>
      </c>
      <c r="AV49" s="32">
        <v>3052</v>
      </c>
      <c r="AW49" s="32">
        <v>3187.1</v>
      </c>
      <c r="AX49" s="32">
        <v>3401.7</v>
      </c>
      <c r="AY49" s="32">
        <v>3931.7</v>
      </c>
      <c r="AZ49" s="32">
        <v>4540.3</v>
      </c>
      <c r="BA49" s="32">
        <v>4567.3</v>
      </c>
      <c r="BB49" s="32">
        <v>4730.2</v>
      </c>
      <c r="BC49" s="32">
        <v>5511.1</v>
      </c>
      <c r="BD49" s="32">
        <v>5410.5</v>
      </c>
      <c r="BE49" s="32">
        <v>5896.6</v>
      </c>
      <c r="BF49" s="32">
        <v>6193.4</v>
      </c>
      <c r="BG49" s="32">
        <v>6388.7</v>
      </c>
      <c r="BH49" s="32">
        <v>6987.7</v>
      </c>
      <c r="BI49" s="32">
        <v>7144.2</v>
      </c>
      <c r="BJ49" s="32">
        <v>7169.1</v>
      </c>
      <c r="BK49" s="32">
        <v>8642.6</v>
      </c>
      <c r="BL49" s="32">
        <v>8662.5</v>
      </c>
    </row>
    <row r="50" spans="1:64" ht="20" customHeight="1">
      <c r="A50" s="68">
        <v>46</v>
      </c>
      <c r="B50" s="69" t="s">
        <v>97</v>
      </c>
      <c r="C50" s="70" t="b">
        <f t="array" ref="C50">_xlfn.SWITCH(LEFT(B50,FIND("|",B50)-1),"ابنیه",HLOOKUP(D50,'نمودار ابنیه'!$B$5:$AD$6,2,FALSE),"مکانیکی",HLOOKUP(D50,'نمودار مکانیکی'!$B$5:$AJ$6,2,FALSE),"برقی",HLOOKUP(D50,'نمودار تاسیسات برقی'!$B$5:$AK$6,2,FALSE),"خطوط",HLOOKUP(D50,'نمودار خطوط انتقال '!$B$5:$R$6,2,FALSE),"شبکه",HLOOKUP(D50,'نمودار شبکه توزیع آ'!$B$5:$O$6,2,FALSE),"سد",HLOOKUP(D50,'نمودار سدسازی'!$B$5:$P$6,2,FALSE),"فاضلاب",HLOOKUP(D50,'نمودار جمع‌آوری و ا'!$B$5:$S$6,2,FALSE),"تجهیزات",HLOOKUP(D50,'نمودار تجهیزات آب و'!$B$5:$AG$6,2,FALSE),"پست",HLOOKUP(D50,'نمودار پست های انتق'!$B$5:$AH$6,2,FALSE),"نیرو",HLOOKUP(D50,'نمودار توزیع نیرو ب'!$B$5:$AE$6,2,FALSE),FALSE)</f>
        <v>0</v>
      </c>
      <c r="D50" s="71" t="s">
        <v>114</v>
      </c>
      <c r="E50" s="15"/>
      <c r="F50" s="72"/>
      <c r="G50" s="73">
        <v>158.19999999999999</v>
      </c>
      <c r="H50" s="73">
        <v>158.5</v>
      </c>
      <c r="I50" s="73">
        <v>189</v>
      </c>
      <c r="J50" s="73">
        <v>204</v>
      </c>
      <c r="K50" s="73">
        <v>234.1</v>
      </c>
      <c r="L50" s="73">
        <v>254</v>
      </c>
      <c r="M50" s="73">
        <v>260.39999999999998</v>
      </c>
      <c r="N50" s="73">
        <v>274</v>
      </c>
      <c r="O50" s="73">
        <v>275.39999999999998</v>
      </c>
      <c r="P50" s="73">
        <v>275.7</v>
      </c>
      <c r="Q50" s="73">
        <v>276.10000000000002</v>
      </c>
      <c r="R50" s="73">
        <v>276.39999999999998</v>
      </c>
      <c r="S50" s="73">
        <v>303.5</v>
      </c>
      <c r="T50" s="73">
        <v>298.89999999999998</v>
      </c>
      <c r="U50" s="73">
        <v>292.10000000000002</v>
      </c>
      <c r="V50" s="73">
        <v>292.2</v>
      </c>
      <c r="W50" s="73">
        <v>295.10000000000002</v>
      </c>
      <c r="X50" s="73">
        <v>295.2</v>
      </c>
      <c r="Y50" s="73">
        <v>294</v>
      </c>
      <c r="Z50" s="73">
        <v>294.10000000000002</v>
      </c>
      <c r="AA50" s="73">
        <v>295.3</v>
      </c>
      <c r="AB50" s="73">
        <v>295.60000000000002</v>
      </c>
      <c r="AC50" s="73">
        <v>312.2</v>
      </c>
      <c r="AD50" s="73">
        <v>323.39999999999998</v>
      </c>
      <c r="AE50" s="73">
        <v>324.89999999999998</v>
      </c>
      <c r="AF50" s="73">
        <v>340.3</v>
      </c>
      <c r="AG50" s="73">
        <v>370.8</v>
      </c>
      <c r="AH50" s="73">
        <v>386.2</v>
      </c>
      <c r="AI50" s="73">
        <v>414.7</v>
      </c>
      <c r="AJ50" s="73">
        <v>463.8</v>
      </c>
      <c r="AK50" s="73">
        <v>555.4</v>
      </c>
      <c r="AL50" s="73">
        <v>574.1</v>
      </c>
      <c r="AM50" s="73">
        <v>611</v>
      </c>
      <c r="AN50" s="73">
        <v>612.5</v>
      </c>
      <c r="AO50" s="73">
        <v>734.3</v>
      </c>
      <c r="AP50" s="73">
        <v>707.2</v>
      </c>
      <c r="AQ50" s="73">
        <v>783.3</v>
      </c>
      <c r="AR50" s="73">
        <v>797.8</v>
      </c>
      <c r="AS50" s="73">
        <v>946.3</v>
      </c>
      <c r="AT50" s="73">
        <v>1197.2</v>
      </c>
      <c r="AU50" s="73">
        <v>1263.5</v>
      </c>
      <c r="AV50" s="73">
        <v>1364</v>
      </c>
      <c r="AW50" s="73">
        <v>1382.8</v>
      </c>
      <c r="AX50" s="73">
        <v>1582.4</v>
      </c>
      <c r="AY50" s="73">
        <v>1784.5</v>
      </c>
      <c r="AZ50" s="73">
        <v>1988.1</v>
      </c>
      <c r="BA50" s="73">
        <v>2087.4</v>
      </c>
      <c r="BB50" s="73">
        <v>2090.1</v>
      </c>
      <c r="BC50" s="73">
        <v>2402</v>
      </c>
      <c r="BD50" s="73">
        <v>2420.1999999999998</v>
      </c>
      <c r="BE50" s="73">
        <v>2722.2</v>
      </c>
      <c r="BF50" s="73">
        <v>3245.2</v>
      </c>
      <c r="BG50" s="73">
        <v>3245.3</v>
      </c>
      <c r="BH50" s="73">
        <v>3245.5</v>
      </c>
      <c r="BI50" s="73">
        <v>3464</v>
      </c>
      <c r="BJ50" s="73">
        <v>3473</v>
      </c>
      <c r="BK50" s="73">
        <v>3478.9</v>
      </c>
      <c r="BL50" s="73">
        <v>3484.1</v>
      </c>
    </row>
    <row r="51" spans="1:64" ht="20" customHeight="1">
      <c r="A51" s="25">
        <v>47</v>
      </c>
      <c r="B51" s="26" t="s">
        <v>97</v>
      </c>
      <c r="C51" s="27" t="b">
        <f t="array" ref="C51">_xlfn.SWITCH(LEFT(B51,FIND("|",B51)-1),"ابنیه",HLOOKUP(D51,'نمودار ابنیه'!$B$5:$AD$6,2,FALSE),"مکانیکی",HLOOKUP(D51,'نمودار مکانیکی'!$B$5:$AJ$6,2,FALSE),"برقی",HLOOKUP(D51,'نمودار تاسیسات برقی'!$B$5:$AK$6,2,FALSE),"خطوط",HLOOKUP(D51,'نمودار خطوط انتقال '!$B$5:$R$6,2,FALSE),"شبکه",HLOOKUP(D51,'نمودار شبکه توزیع آ'!$B$5:$O$6,2,FALSE),"سد",HLOOKUP(D51,'نمودار سدسازی'!$B$5:$P$6,2,FALSE),"فاضلاب",HLOOKUP(D51,'نمودار جمع‌آوری و ا'!$B$5:$S$6,2,FALSE),"تجهیزات",HLOOKUP(D51,'نمودار تجهیزات آب و'!$B$5:$AG$6,2,FALSE),"پست",HLOOKUP(D51,'نمودار پست های انتق'!$B$5:$AH$6,2,FALSE),"نیرو",HLOOKUP(D51,'نمودار توزیع نیرو ب'!$B$5:$AE$6,2,FALSE),FALSE)</f>
        <v>0</v>
      </c>
      <c r="D51" s="28" t="s">
        <v>115</v>
      </c>
      <c r="E51" s="15"/>
      <c r="F51" s="29"/>
      <c r="G51" s="32">
        <v>257.10000000000002</v>
      </c>
      <c r="H51" s="32">
        <v>262.5</v>
      </c>
      <c r="I51" s="32">
        <v>277.89999999999998</v>
      </c>
      <c r="J51" s="32">
        <v>296.60000000000002</v>
      </c>
      <c r="K51" s="32">
        <v>317.7</v>
      </c>
      <c r="L51" s="32">
        <v>355.2</v>
      </c>
      <c r="M51" s="32">
        <v>435</v>
      </c>
      <c r="N51" s="32">
        <v>274</v>
      </c>
      <c r="O51" s="32">
        <v>472.6</v>
      </c>
      <c r="P51" s="32">
        <v>462.5</v>
      </c>
      <c r="Q51" s="32">
        <v>463.9</v>
      </c>
      <c r="R51" s="32">
        <v>457.8</v>
      </c>
      <c r="S51" s="32">
        <v>502.8</v>
      </c>
      <c r="T51" s="32">
        <v>504.6</v>
      </c>
      <c r="U51" s="32">
        <v>518.29999999999995</v>
      </c>
      <c r="V51" s="32">
        <v>511.5</v>
      </c>
      <c r="W51" s="32">
        <v>516.29999999999995</v>
      </c>
      <c r="X51" s="32">
        <v>505.3</v>
      </c>
      <c r="Y51" s="32">
        <v>495.9</v>
      </c>
      <c r="Z51" s="32">
        <v>483.6</v>
      </c>
      <c r="AA51" s="32">
        <v>536.20000000000005</v>
      </c>
      <c r="AB51" s="32">
        <v>541.6</v>
      </c>
      <c r="AC51" s="32">
        <v>569.29999999999995</v>
      </c>
      <c r="AD51" s="32">
        <v>588.9</v>
      </c>
      <c r="AE51" s="32">
        <v>616.4</v>
      </c>
      <c r="AF51" s="32">
        <v>639.70000000000005</v>
      </c>
      <c r="AG51" s="32">
        <v>673.6</v>
      </c>
      <c r="AH51" s="32">
        <v>688.4</v>
      </c>
      <c r="AI51" s="32">
        <v>771.4</v>
      </c>
      <c r="AJ51" s="32">
        <v>859.7</v>
      </c>
      <c r="AK51" s="32">
        <v>995.7</v>
      </c>
      <c r="AL51" s="32">
        <v>1057.3</v>
      </c>
      <c r="AM51" s="32">
        <v>1149.9000000000001</v>
      </c>
      <c r="AN51" s="32">
        <v>1167.4000000000001</v>
      </c>
      <c r="AO51" s="32">
        <v>1380.5</v>
      </c>
      <c r="AP51" s="32">
        <v>1304.7</v>
      </c>
      <c r="AQ51" s="32">
        <v>1351.6</v>
      </c>
      <c r="AR51" s="32">
        <v>1599.1</v>
      </c>
      <c r="AS51" s="32">
        <v>1880.7</v>
      </c>
      <c r="AT51" s="32">
        <v>2499.4</v>
      </c>
      <c r="AU51" s="32">
        <v>2613.9</v>
      </c>
      <c r="AV51" s="32">
        <v>2642.9</v>
      </c>
      <c r="AW51" s="32">
        <v>3187.2</v>
      </c>
      <c r="AX51" s="32">
        <v>3229.6</v>
      </c>
      <c r="AY51" s="32">
        <v>3777.6</v>
      </c>
      <c r="AZ51" s="32">
        <v>4051.8</v>
      </c>
      <c r="BA51" s="32">
        <v>4101.8</v>
      </c>
      <c r="BB51" s="32">
        <v>4062.3</v>
      </c>
      <c r="BC51" s="32">
        <v>4642.7</v>
      </c>
      <c r="BD51" s="32">
        <v>4634.3</v>
      </c>
      <c r="BE51" s="32">
        <v>4804</v>
      </c>
      <c r="BF51" s="32">
        <v>5618.2</v>
      </c>
      <c r="BG51" s="32">
        <v>5940.7</v>
      </c>
      <c r="BH51" s="32">
        <v>6621.1</v>
      </c>
      <c r="BI51" s="32">
        <v>6981.6</v>
      </c>
      <c r="BJ51" s="32">
        <v>6967.3</v>
      </c>
      <c r="BK51" s="32">
        <v>7042.5</v>
      </c>
      <c r="BL51" s="32">
        <v>7168.1</v>
      </c>
    </row>
    <row r="52" spans="1:64" ht="20" customHeight="1">
      <c r="A52" s="68">
        <v>48</v>
      </c>
      <c r="B52" s="69" t="s">
        <v>97</v>
      </c>
      <c r="C52" s="70" t="b">
        <f t="array" ref="C52">_xlfn.SWITCH(LEFT(B52,FIND("|",B52)-1),"ابنیه",HLOOKUP(D52,'نمودار ابنیه'!$B$5:$AD$6,2,FALSE),"مکانیکی",HLOOKUP(D52,'نمودار مکانیکی'!$B$5:$AJ$6,2,FALSE),"برقی",HLOOKUP(D52,'نمودار تاسیسات برقی'!$B$5:$AK$6,2,FALSE),"خطوط",HLOOKUP(D52,'نمودار خطوط انتقال '!$B$5:$R$6,2,FALSE),"شبکه",HLOOKUP(D52,'نمودار شبکه توزیع آ'!$B$5:$O$6,2,FALSE),"سد",HLOOKUP(D52,'نمودار سدسازی'!$B$5:$P$6,2,FALSE),"فاضلاب",HLOOKUP(D52,'نمودار جمع‌آوری و ا'!$B$5:$S$6,2,FALSE),"تجهیزات",HLOOKUP(D52,'نمودار تجهیزات آب و'!$B$5:$AG$6,2,FALSE),"پست",HLOOKUP(D52,'نمودار پست های انتق'!$B$5:$AH$6,2,FALSE),"نیرو",HLOOKUP(D52,'نمودار توزیع نیرو ب'!$B$5:$AE$6,2,FALSE),FALSE)</f>
        <v>0</v>
      </c>
      <c r="D52" s="71" t="s">
        <v>116</v>
      </c>
      <c r="E52" s="15"/>
      <c r="F52" s="72"/>
      <c r="G52" s="73">
        <v>239.7</v>
      </c>
      <c r="H52" s="73">
        <v>242</v>
      </c>
      <c r="I52" s="73">
        <v>242.5</v>
      </c>
      <c r="J52" s="73">
        <v>243</v>
      </c>
      <c r="K52" s="73">
        <v>276.60000000000002</v>
      </c>
      <c r="L52" s="73">
        <v>277.39999999999998</v>
      </c>
      <c r="M52" s="73">
        <v>290.60000000000002</v>
      </c>
      <c r="N52" s="73">
        <v>305.5</v>
      </c>
      <c r="O52" s="73">
        <v>327.2</v>
      </c>
      <c r="P52" s="73">
        <v>327.7</v>
      </c>
      <c r="Q52" s="73">
        <v>328.5</v>
      </c>
      <c r="R52" s="73">
        <v>329.1</v>
      </c>
      <c r="S52" s="73">
        <v>358.4</v>
      </c>
      <c r="T52" s="73">
        <v>359</v>
      </c>
      <c r="U52" s="73">
        <v>378.7</v>
      </c>
      <c r="V52" s="73">
        <v>379.1</v>
      </c>
      <c r="W52" s="73">
        <v>373.4</v>
      </c>
      <c r="X52" s="73">
        <v>373.8</v>
      </c>
      <c r="Y52" s="73">
        <v>403.1</v>
      </c>
      <c r="Z52" s="73">
        <v>403.3</v>
      </c>
      <c r="AA52" s="73">
        <v>434.3</v>
      </c>
      <c r="AB52" s="73">
        <v>434.7</v>
      </c>
      <c r="AC52" s="73">
        <v>426.6</v>
      </c>
      <c r="AD52" s="73">
        <v>431</v>
      </c>
      <c r="AE52" s="73">
        <v>469.9</v>
      </c>
      <c r="AF52" s="73">
        <v>473.5</v>
      </c>
      <c r="AG52" s="73">
        <v>506.8</v>
      </c>
      <c r="AH52" s="73">
        <v>520.20000000000005</v>
      </c>
      <c r="AI52" s="73">
        <v>576.20000000000005</v>
      </c>
      <c r="AJ52" s="73">
        <v>704.8</v>
      </c>
      <c r="AK52" s="73">
        <v>716.1</v>
      </c>
      <c r="AL52" s="73">
        <v>720</v>
      </c>
      <c r="AM52" s="73">
        <v>734.6</v>
      </c>
      <c r="AN52" s="73">
        <v>786</v>
      </c>
      <c r="AO52" s="73">
        <v>826.3</v>
      </c>
      <c r="AP52" s="73">
        <v>829.6</v>
      </c>
      <c r="AQ52" s="73">
        <v>951.3</v>
      </c>
      <c r="AR52" s="73">
        <v>973.1</v>
      </c>
      <c r="AS52" s="73">
        <v>1255.3</v>
      </c>
      <c r="AT52" s="73">
        <v>1361.8</v>
      </c>
      <c r="AU52" s="73">
        <v>1414.8</v>
      </c>
      <c r="AV52" s="73">
        <v>1522.7</v>
      </c>
      <c r="AW52" s="73">
        <v>1633.2</v>
      </c>
      <c r="AX52" s="73">
        <v>1639.3</v>
      </c>
      <c r="AY52" s="73">
        <v>1888.5</v>
      </c>
      <c r="AZ52" s="73">
        <v>1920.9</v>
      </c>
      <c r="BA52" s="73">
        <v>1828.8</v>
      </c>
      <c r="BB52" s="73">
        <v>1882.7</v>
      </c>
      <c r="BC52" s="73">
        <v>2346.1</v>
      </c>
      <c r="BD52" s="73">
        <v>2352.6</v>
      </c>
      <c r="BE52" s="73">
        <v>2905.9</v>
      </c>
      <c r="BF52" s="73">
        <v>3022.2</v>
      </c>
      <c r="BG52" s="73">
        <v>3022.4</v>
      </c>
      <c r="BH52" s="73">
        <v>3022.7</v>
      </c>
      <c r="BI52" s="73">
        <v>3682</v>
      </c>
      <c r="BJ52" s="73">
        <v>3740.8</v>
      </c>
      <c r="BK52" s="73">
        <v>4064.4</v>
      </c>
      <c r="BL52" s="73">
        <v>4239.6000000000004</v>
      </c>
    </row>
    <row r="53" spans="1:64" ht="20" customHeight="1">
      <c r="A53" s="25">
        <v>49</v>
      </c>
      <c r="B53" s="26" t="s">
        <v>97</v>
      </c>
      <c r="C53" s="27" t="b">
        <f t="array" ref="C53">_xlfn.SWITCH(LEFT(B53,FIND("|",B53)-1),"ابنیه",HLOOKUP(D53,'نمودار ابنیه'!$B$5:$AD$6,2,FALSE),"مکانیکی",HLOOKUP(D53,'نمودار مکانیکی'!$B$5:$AJ$6,2,FALSE),"برقی",HLOOKUP(D53,'نمودار تاسیسات برقی'!$B$5:$AK$6,2,FALSE),"خطوط",HLOOKUP(D53,'نمودار خطوط انتقال '!$B$5:$R$6,2,FALSE),"شبکه",HLOOKUP(D53,'نمودار شبکه توزیع آ'!$B$5:$O$6,2,FALSE),"سد",HLOOKUP(D53,'نمودار سدسازی'!$B$5:$P$6,2,FALSE),"فاضلاب",HLOOKUP(D53,'نمودار جمع‌آوری و ا'!$B$5:$S$6,2,FALSE),"تجهیزات",HLOOKUP(D53,'نمودار تجهیزات آب و'!$B$5:$AG$6,2,FALSE),"پست",HLOOKUP(D53,'نمودار پست های انتق'!$B$5:$AH$6,2,FALSE),"نیرو",HLOOKUP(D53,'نمودار توزیع نیرو ب'!$B$5:$AE$6,2,FALSE),FALSE)</f>
        <v>0</v>
      </c>
      <c r="D53" s="28" t="s">
        <v>117</v>
      </c>
      <c r="E53" s="15"/>
      <c r="F53" s="29"/>
      <c r="G53" s="32">
        <v>263.89999999999998</v>
      </c>
      <c r="H53" s="32">
        <v>264.39999999999998</v>
      </c>
      <c r="I53" s="32">
        <v>264.8</v>
      </c>
      <c r="J53" s="32">
        <v>265.3</v>
      </c>
      <c r="K53" s="32">
        <v>333.5</v>
      </c>
      <c r="L53" s="32">
        <v>366</v>
      </c>
      <c r="M53" s="32">
        <v>522.4</v>
      </c>
      <c r="N53" s="32">
        <v>523</v>
      </c>
      <c r="O53" s="32">
        <v>546.20000000000005</v>
      </c>
      <c r="P53" s="32">
        <v>546.79999999999995</v>
      </c>
      <c r="Q53" s="32">
        <v>548</v>
      </c>
      <c r="R53" s="32">
        <v>548.79999999999995</v>
      </c>
      <c r="S53" s="32">
        <v>577.70000000000005</v>
      </c>
      <c r="T53" s="32">
        <v>578.4</v>
      </c>
      <c r="U53" s="32">
        <v>573.29999999999995</v>
      </c>
      <c r="V53" s="32">
        <v>573.79999999999995</v>
      </c>
      <c r="W53" s="32">
        <v>595.4</v>
      </c>
      <c r="X53" s="32">
        <v>595.79999999999995</v>
      </c>
      <c r="Y53" s="32">
        <v>606.4</v>
      </c>
      <c r="Z53" s="32">
        <v>606.70000000000005</v>
      </c>
      <c r="AA53" s="32">
        <v>610.1</v>
      </c>
      <c r="AB53" s="32">
        <v>610.5</v>
      </c>
      <c r="AC53" s="32">
        <v>610.9</v>
      </c>
      <c r="AD53" s="32">
        <v>611.29999999999995</v>
      </c>
      <c r="AE53" s="32">
        <v>657.5</v>
      </c>
      <c r="AF53" s="32">
        <v>657.9</v>
      </c>
      <c r="AG53" s="32">
        <v>658.6</v>
      </c>
      <c r="AH53" s="32">
        <v>659.1</v>
      </c>
      <c r="AI53" s="32">
        <v>769.3</v>
      </c>
      <c r="AJ53" s="32">
        <v>890.3</v>
      </c>
      <c r="AK53" s="32">
        <v>1068.2</v>
      </c>
      <c r="AL53" s="32">
        <v>1186.8</v>
      </c>
      <c r="AM53" s="32">
        <v>1188</v>
      </c>
      <c r="AN53" s="32">
        <v>1190.0999999999999</v>
      </c>
      <c r="AO53" s="32">
        <v>1457.5</v>
      </c>
      <c r="AP53" s="32">
        <v>1461.4</v>
      </c>
      <c r="AQ53" s="32">
        <v>1562.5</v>
      </c>
      <c r="AR53" s="32">
        <v>1564.9</v>
      </c>
      <c r="AS53" s="32">
        <v>1997.6</v>
      </c>
      <c r="AT53" s="32">
        <v>2112.5</v>
      </c>
      <c r="AU53" s="32">
        <v>2290.5</v>
      </c>
      <c r="AV53" s="32">
        <v>2411.4</v>
      </c>
      <c r="AW53" s="32">
        <v>2776.4</v>
      </c>
      <c r="AX53" s="32">
        <v>2783.5</v>
      </c>
      <c r="AY53" s="32">
        <v>2960.1</v>
      </c>
      <c r="AZ53" s="32">
        <v>3237.3</v>
      </c>
      <c r="BA53" s="32">
        <v>3552.2</v>
      </c>
      <c r="BB53" s="32">
        <v>3554.8</v>
      </c>
      <c r="BC53" s="32">
        <v>4197.7</v>
      </c>
      <c r="BD53" s="32">
        <v>4357.6000000000004</v>
      </c>
      <c r="BE53" s="32">
        <v>4446.7</v>
      </c>
      <c r="BF53" s="32">
        <v>5376.7</v>
      </c>
      <c r="BG53" s="32">
        <v>5376.8</v>
      </c>
      <c r="BH53" s="32">
        <v>5376.9</v>
      </c>
      <c r="BI53" s="32">
        <v>6257.9</v>
      </c>
      <c r="BJ53" s="32">
        <v>6272.5</v>
      </c>
      <c r="BK53" s="32">
        <v>6282.9</v>
      </c>
      <c r="BL53" s="32">
        <v>6618.6</v>
      </c>
    </row>
    <row r="54" spans="1:64" ht="20" customHeight="1">
      <c r="A54" s="68">
        <v>50</v>
      </c>
      <c r="B54" s="69" t="s">
        <v>97</v>
      </c>
      <c r="C54" s="70" t="b">
        <f t="array" ref="C54">_xlfn.SWITCH(LEFT(B54,FIND("|",B54)-1),"ابنیه",HLOOKUP(D54,'نمودار ابنیه'!$B$5:$AD$6,2,FALSE),"مکانیکی",HLOOKUP(D54,'نمودار مکانیکی'!$B$5:$AJ$6,2,FALSE),"برقی",HLOOKUP(D54,'نمودار تاسیسات برقی'!$B$5:$AK$6,2,FALSE),"خطوط",HLOOKUP(D54,'نمودار خطوط انتقال '!$B$5:$R$6,2,FALSE),"شبکه",HLOOKUP(D54,'نمودار شبکه توزیع آ'!$B$5:$O$6,2,FALSE),"سد",HLOOKUP(D54,'نمودار سدسازی'!$B$5:$P$6,2,FALSE),"فاضلاب",HLOOKUP(D54,'نمودار جمع‌آوری و ا'!$B$5:$S$6,2,FALSE),"تجهیزات",HLOOKUP(D54,'نمودار تجهیزات آب و'!$B$5:$AG$6,2,FALSE),"پست",HLOOKUP(D54,'نمودار پست های انتق'!$B$5:$AH$6,2,FALSE),"نیرو",HLOOKUP(D54,'نمودار توزیع نیرو ب'!$B$5:$AE$6,2,FALSE),FALSE)</f>
        <v>0</v>
      </c>
      <c r="D54" s="71" t="s">
        <v>118</v>
      </c>
      <c r="E54" s="15"/>
      <c r="F54" s="72"/>
      <c r="G54" s="73">
        <v>174.9</v>
      </c>
      <c r="H54" s="73">
        <v>175.3</v>
      </c>
      <c r="I54" s="73">
        <v>189.1</v>
      </c>
      <c r="J54" s="73">
        <v>189.7</v>
      </c>
      <c r="K54" s="73">
        <v>241.6</v>
      </c>
      <c r="L54" s="73">
        <v>264.5</v>
      </c>
      <c r="M54" s="73">
        <v>354</v>
      </c>
      <c r="N54" s="73">
        <v>412.1</v>
      </c>
      <c r="O54" s="73">
        <v>369.5</v>
      </c>
      <c r="P54" s="73">
        <v>370.1</v>
      </c>
      <c r="Q54" s="73">
        <v>370.9</v>
      </c>
      <c r="R54" s="73">
        <v>371.6</v>
      </c>
      <c r="S54" s="73">
        <v>383.5</v>
      </c>
      <c r="T54" s="73">
        <v>384.2</v>
      </c>
      <c r="U54" s="73">
        <v>573.29999999999995</v>
      </c>
      <c r="V54" s="73">
        <v>573.79999999999995</v>
      </c>
      <c r="W54" s="73">
        <v>415.7</v>
      </c>
      <c r="X54" s="73">
        <v>416</v>
      </c>
      <c r="Y54" s="73">
        <v>416.5</v>
      </c>
      <c r="Z54" s="73">
        <v>416.7</v>
      </c>
      <c r="AA54" s="73">
        <v>439.9</v>
      </c>
      <c r="AB54" s="73">
        <v>440.4</v>
      </c>
      <c r="AC54" s="73">
        <v>420.1</v>
      </c>
      <c r="AD54" s="73">
        <v>420.4</v>
      </c>
      <c r="AE54" s="73">
        <v>438.7</v>
      </c>
      <c r="AF54" s="73">
        <v>458.1</v>
      </c>
      <c r="AG54" s="73">
        <v>450.8</v>
      </c>
      <c r="AH54" s="73">
        <v>451.2</v>
      </c>
      <c r="AI54" s="73">
        <v>506.9</v>
      </c>
      <c r="AJ54" s="73">
        <v>551.6</v>
      </c>
      <c r="AK54" s="73">
        <v>553.6</v>
      </c>
      <c r="AL54" s="73">
        <v>554.4</v>
      </c>
      <c r="AM54" s="73">
        <v>720.2</v>
      </c>
      <c r="AN54" s="73">
        <v>764.1</v>
      </c>
      <c r="AO54" s="73">
        <v>845.8</v>
      </c>
      <c r="AP54" s="73">
        <v>884.4</v>
      </c>
      <c r="AQ54" s="73">
        <v>888.5</v>
      </c>
      <c r="AR54" s="73">
        <v>891.4</v>
      </c>
      <c r="AS54" s="73">
        <v>1087.5</v>
      </c>
      <c r="AT54" s="73">
        <v>1101.9000000000001</v>
      </c>
      <c r="AU54" s="73">
        <v>1168.4000000000001</v>
      </c>
      <c r="AV54" s="73">
        <v>1173.9000000000001</v>
      </c>
      <c r="AW54" s="73">
        <v>1379.1</v>
      </c>
      <c r="AX54" s="73">
        <v>1559.4</v>
      </c>
      <c r="AY54" s="73">
        <v>1805.1</v>
      </c>
      <c r="AZ54" s="73">
        <v>1820.1</v>
      </c>
      <c r="BA54" s="73">
        <v>1830.5</v>
      </c>
      <c r="BB54" s="73">
        <v>1850.2</v>
      </c>
      <c r="BC54" s="73">
        <v>2034.3</v>
      </c>
      <c r="BD54" s="73">
        <v>2042.4</v>
      </c>
      <c r="BE54" s="73">
        <v>2062.6999999999998</v>
      </c>
      <c r="BF54" s="73">
        <v>2077.9</v>
      </c>
      <c r="BG54" s="73">
        <v>2078.3000000000002</v>
      </c>
      <c r="BH54" s="73">
        <v>2078.6999999999998</v>
      </c>
      <c r="BI54" s="73">
        <v>2463.5</v>
      </c>
      <c r="BJ54" s="73">
        <v>2481.8000000000002</v>
      </c>
      <c r="BK54" s="73">
        <v>2489.6</v>
      </c>
      <c r="BL54" s="73">
        <v>2834.3</v>
      </c>
    </row>
    <row r="55" spans="1:64" ht="20" customHeight="1">
      <c r="A55" s="25">
        <v>51</v>
      </c>
      <c r="B55" s="26" t="s">
        <v>97</v>
      </c>
      <c r="C55" s="27" t="b">
        <f t="array" ref="C55">_xlfn.SWITCH(LEFT(B55,FIND("|",B55)-1),"ابنیه",HLOOKUP(D55,'نمودار ابنیه'!$B$5:$AD$6,2,FALSE),"مکانیکی",HLOOKUP(D55,'نمودار مکانیکی'!$B$5:$AJ$6,2,FALSE),"برقی",HLOOKUP(D55,'نمودار تاسیسات برقی'!$B$5:$AK$6,2,FALSE),"خطوط",HLOOKUP(D55,'نمودار خطوط انتقال '!$B$5:$R$6,2,FALSE),"شبکه",HLOOKUP(D55,'نمودار شبکه توزیع آ'!$B$5:$O$6,2,FALSE),"سد",HLOOKUP(D55,'نمودار سدسازی'!$B$5:$P$6,2,FALSE),"فاضلاب",HLOOKUP(D55,'نمودار جمع‌آوری و ا'!$B$5:$S$6,2,FALSE),"تجهیزات",HLOOKUP(D55,'نمودار تجهیزات آب و'!$B$5:$AG$6,2,FALSE),"پست",HLOOKUP(D55,'نمودار پست های انتق'!$B$5:$AH$6,2,FALSE),"نیرو",HLOOKUP(D55,'نمودار توزیع نیرو ب'!$B$5:$AE$6,2,FALSE),FALSE)</f>
        <v>0</v>
      </c>
      <c r="D55" s="28" t="s">
        <v>119</v>
      </c>
      <c r="E55" s="15"/>
      <c r="F55" s="29"/>
      <c r="G55" s="32">
        <v>221.2</v>
      </c>
      <c r="H55" s="32">
        <v>223.1</v>
      </c>
      <c r="I55" s="32">
        <v>224.9</v>
      </c>
      <c r="J55" s="32">
        <v>269.2</v>
      </c>
      <c r="K55" s="32">
        <v>317.8</v>
      </c>
      <c r="L55" s="32">
        <v>356</v>
      </c>
      <c r="M55" s="32">
        <v>451.3</v>
      </c>
      <c r="N55" s="32">
        <v>478.8</v>
      </c>
      <c r="O55" s="32">
        <v>530</v>
      </c>
      <c r="P55" s="32">
        <v>532.5</v>
      </c>
      <c r="Q55" s="32">
        <v>536.20000000000005</v>
      </c>
      <c r="R55" s="32">
        <v>539.4</v>
      </c>
      <c r="S55" s="32">
        <v>600</v>
      </c>
      <c r="T55" s="32">
        <v>602.9</v>
      </c>
      <c r="U55" s="32">
        <v>605.79999999999995</v>
      </c>
      <c r="V55" s="32">
        <v>607.5</v>
      </c>
      <c r="W55" s="32">
        <v>621.1</v>
      </c>
      <c r="X55" s="32">
        <v>623.1</v>
      </c>
      <c r="Y55" s="32">
        <v>625.29999999999995</v>
      </c>
      <c r="Z55" s="32">
        <v>626.4</v>
      </c>
      <c r="AA55" s="32">
        <v>639.20000000000005</v>
      </c>
      <c r="AB55" s="32">
        <v>641.29999999999995</v>
      </c>
      <c r="AC55" s="32">
        <v>665.2</v>
      </c>
      <c r="AD55" s="32">
        <v>671.1</v>
      </c>
      <c r="AE55" s="32">
        <v>734.2</v>
      </c>
      <c r="AF55" s="32">
        <v>760.2</v>
      </c>
      <c r="AG55" s="32">
        <v>786.9</v>
      </c>
      <c r="AH55" s="32">
        <v>812.5</v>
      </c>
      <c r="AI55" s="32">
        <v>932.9</v>
      </c>
      <c r="AJ55" s="32">
        <v>1213.0999999999999</v>
      </c>
      <c r="AK55" s="32">
        <v>1338.1</v>
      </c>
      <c r="AL55" s="32">
        <v>1518.4</v>
      </c>
      <c r="AM55" s="32">
        <v>1524.3</v>
      </c>
      <c r="AN55" s="32">
        <v>1534.8</v>
      </c>
      <c r="AO55" s="32">
        <v>1778.3</v>
      </c>
      <c r="AP55" s="32">
        <v>1644.5</v>
      </c>
      <c r="AQ55" s="32">
        <v>1872.4</v>
      </c>
      <c r="AR55" s="32">
        <v>2007.1</v>
      </c>
      <c r="AS55" s="32">
        <v>2224.9</v>
      </c>
      <c r="AT55" s="32">
        <v>2626.5</v>
      </c>
      <c r="AU55" s="32">
        <v>2902.4</v>
      </c>
      <c r="AV55" s="32">
        <v>3397.8</v>
      </c>
      <c r="AW55" s="32">
        <v>3926.2</v>
      </c>
      <c r="AX55" s="32">
        <v>3776</v>
      </c>
      <c r="AY55" s="32">
        <v>4158.7</v>
      </c>
      <c r="AZ55" s="32">
        <v>4216.8</v>
      </c>
      <c r="BA55" s="32">
        <v>4262</v>
      </c>
      <c r="BB55" s="32">
        <v>4312.1000000000004</v>
      </c>
      <c r="BC55" s="32">
        <v>4903</v>
      </c>
      <c r="BD55" s="32">
        <v>5172.6000000000004</v>
      </c>
      <c r="BE55" s="32">
        <v>5279.9</v>
      </c>
      <c r="BF55" s="32">
        <v>5750.9</v>
      </c>
      <c r="BG55" s="32">
        <v>5752.5</v>
      </c>
      <c r="BH55" s="32">
        <v>5753.8</v>
      </c>
      <c r="BI55" s="32">
        <v>6047.8</v>
      </c>
      <c r="BJ55" s="32">
        <v>6121.3</v>
      </c>
      <c r="BK55" s="32">
        <v>7241.3</v>
      </c>
      <c r="BL55" s="32">
        <v>7281.3</v>
      </c>
    </row>
    <row r="56" spans="1:64" ht="20" customHeight="1">
      <c r="A56" s="68">
        <v>52</v>
      </c>
      <c r="B56" s="69" t="s">
        <v>97</v>
      </c>
      <c r="C56" s="70" t="b">
        <f t="array" ref="C56">_xlfn.SWITCH(LEFT(B56,FIND("|",B56)-1),"ابنیه",HLOOKUP(D56,'نمودار ابنیه'!$B$5:$AD$6,2,FALSE),"مکانیکی",HLOOKUP(D56,'نمودار مکانیکی'!$B$5:$AJ$6,2,FALSE),"برقی",HLOOKUP(D56,'نمودار تاسیسات برقی'!$B$5:$AK$6,2,FALSE),"خطوط",HLOOKUP(D56,'نمودار خطوط انتقال '!$B$5:$R$6,2,FALSE),"شبکه",HLOOKUP(D56,'نمودار شبکه توزیع آ'!$B$5:$O$6,2,FALSE),"سد",HLOOKUP(D56,'نمودار سدسازی'!$B$5:$P$6,2,FALSE),"فاضلاب",HLOOKUP(D56,'نمودار جمع‌آوری و ا'!$B$5:$S$6,2,FALSE),"تجهیزات",HLOOKUP(D56,'نمودار تجهیزات آب و'!$B$5:$AG$6,2,FALSE),"پست",HLOOKUP(D56,'نمودار پست های انتق'!$B$5:$AH$6,2,FALSE),"نیرو",HLOOKUP(D56,'نمودار توزیع نیرو ب'!$B$5:$AE$6,2,FALSE),FALSE)</f>
        <v>0</v>
      </c>
      <c r="D56" s="71" t="s">
        <v>120</v>
      </c>
      <c r="E56" s="15"/>
      <c r="F56" s="72"/>
      <c r="G56" s="73">
        <v>255.1</v>
      </c>
      <c r="H56" s="73">
        <v>255.7</v>
      </c>
      <c r="I56" s="73">
        <v>255.5</v>
      </c>
      <c r="J56" s="73">
        <v>256.3</v>
      </c>
      <c r="K56" s="73">
        <v>295.60000000000002</v>
      </c>
      <c r="L56" s="73">
        <v>306.3</v>
      </c>
      <c r="M56" s="73">
        <v>344.5</v>
      </c>
      <c r="N56" s="73">
        <v>346.4</v>
      </c>
      <c r="O56" s="73">
        <v>372</v>
      </c>
      <c r="P56" s="73">
        <v>383</v>
      </c>
      <c r="Q56" s="73">
        <v>426.3</v>
      </c>
      <c r="R56" s="73">
        <v>427.7</v>
      </c>
      <c r="S56" s="73">
        <v>452.9</v>
      </c>
      <c r="T56" s="73">
        <v>454</v>
      </c>
      <c r="U56" s="73">
        <v>464.6</v>
      </c>
      <c r="V56" s="73">
        <v>465.5</v>
      </c>
      <c r="W56" s="73">
        <v>500.9</v>
      </c>
      <c r="X56" s="73">
        <v>501.6</v>
      </c>
      <c r="Y56" s="73">
        <v>501.9</v>
      </c>
      <c r="Z56" s="73">
        <v>502.4</v>
      </c>
      <c r="AA56" s="73">
        <v>520.29999999999995</v>
      </c>
      <c r="AB56" s="73">
        <v>521</v>
      </c>
      <c r="AC56" s="73">
        <v>528</v>
      </c>
      <c r="AD56" s="73">
        <v>530.20000000000005</v>
      </c>
      <c r="AE56" s="73">
        <v>548.4</v>
      </c>
      <c r="AF56" s="73">
        <v>549</v>
      </c>
      <c r="AG56" s="73">
        <v>574</v>
      </c>
      <c r="AH56" s="73">
        <v>574.79999999999995</v>
      </c>
      <c r="AI56" s="73">
        <v>630.5</v>
      </c>
      <c r="AJ56" s="73">
        <v>677.6</v>
      </c>
      <c r="AK56" s="73">
        <v>714.1</v>
      </c>
      <c r="AL56" s="73">
        <v>736.9</v>
      </c>
      <c r="AM56" s="73">
        <v>891.9</v>
      </c>
      <c r="AN56" s="73">
        <v>895.5</v>
      </c>
      <c r="AO56" s="73">
        <v>1128.5</v>
      </c>
      <c r="AP56" s="73">
        <v>1098.9000000000001</v>
      </c>
      <c r="AQ56" s="73">
        <v>1193.2</v>
      </c>
      <c r="AR56" s="73">
        <v>1208.2</v>
      </c>
      <c r="AS56" s="73">
        <v>1475.3</v>
      </c>
      <c r="AT56" s="73">
        <v>1747.2</v>
      </c>
      <c r="AU56" s="73">
        <v>1860.1</v>
      </c>
      <c r="AV56" s="73">
        <v>1902.5</v>
      </c>
      <c r="AW56" s="73">
        <v>2421.6999999999998</v>
      </c>
      <c r="AX56" s="73">
        <v>2433.4</v>
      </c>
      <c r="AY56" s="73">
        <v>3057.2</v>
      </c>
      <c r="AZ56" s="73">
        <v>3171.3</v>
      </c>
      <c r="BA56" s="73">
        <v>3221.6</v>
      </c>
      <c r="BB56" s="73">
        <v>3336.1</v>
      </c>
      <c r="BC56" s="73">
        <v>4047.7</v>
      </c>
      <c r="BD56" s="73">
        <v>4079.8</v>
      </c>
      <c r="BE56" s="73">
        <v>4420.2</v>
      </c>
      <c r="BF56" s="73">
        <v>4794.3999999999996</v>
      </c>
      <c r="BG56" s="73">
        <v>4795</v>
      </c>
      <c r="BH56" s="73">
        <v>4795.8</v>
      </c>
      <c r="BI56" s="73">
        <v>5220.2</v>
      </c>
      <c r="BJ56" s="73">
        <v>5430.6</v>
      </c>
      <c r="BK56" s="73">
        <v>5472.1</v>
      </c>
      <c r="BL56" s="73">
        <v>5489.9</v>
      </c>
    </row>
    <row r="57" spans="1:64" ht="20" customHeight="1">
      <c r="A57" s="25">
        <v>53</v>
      </c>
      <c r="B57" s="26" t="s">
        <v>97</v>
      </c>
      <c r="C57" s="27" t="b">
        <f t="array" ref="C57">_xlfn.SWITCH(LEFT(B57,FIND("|",B57)-1),"ابنیه",HLOOKUP(D57,'نمودار ابنیه'!$B$5:$AD$6,2,FALSE),"مکانیکی",HLOOKUP(D57,'نمودار مکانیکی'!$B$5:$AJ$6,2,FALSE),"برقی",HLOOKUP(D57,'نمودار تاسیسات برقی'!$B$5:$AK$6,2,FALSE),"خطوط",HLOOKUP(D57,'نمودار خطوط انتقال '!$B$5:$R$6,2,FALSE),"شبکه",HLOOKUP(D57,'نمودار شبکه توزیع آ'!$B$5:$O$6,2,FALSE),"سد",HLOOKUP(D57,'نمودار سدسازی'!$B$5:$P$6,2,FALSE),"فاضلاب",HLOOKUP(D57,'نمودار جمع‌آوری و ا'!$B$5:$S$6,2,FALSE),"تجهیزات",HLOOKUP(D57,'نمودار تجهیزات آب و'!$B$5:$AG$6,2,FALSE),"پست",HLOOKUP(D57,'نمودار پست های انتق'!$B$5:$AH$6,2,FALSE),"نیرو",HLOOKUP(D57,'نمودار توزیع نیرو ب'!$B$5:$AE$6,2,FALSE),FALSE)</f>
        <v>0</v>
      </c>
      <c r="D57" s="28" t="s">
        <v>121</v>
      </c>
      <c r="E57" s="15"/>
      <c r="F57" s="29"/>
      <c r="G57" s="32">
        <v>209</v>
      </c>
      <c r="H57" s="32">
        <v>212.6</v>
      </c>
      <c r="I57" s="32">
        <v>215.8</v>
      </c>
      <c r="J57" s="32">
        <v>217.2</v>
      </c>
      <c r="K57" s="32">
        <v>252.1</v>
      </c>
      <c r="L57" s="32">
        <v>261.3</v>
      </c>
      <c r="M57" s="32">
        <v>311.89999999999998</v>
      </c>
      <c r="N57" s="32">
        <v>313.5</v>
      </c>
      <c r="O57" s="32">
        <v>330</v>
      </c>
      <c r="P57" s="32">
        <v>331.3</v>
      </c>
      <c r="Q57" s="32">
        <v>332.7</v>
      </c>
      <c r="R57" s="32">
        <v>335.1</v>
      </c>
      <c r="S57" s="32">
        <v>349.8</v>
      </c>
      <c r="T57" s="32">
        <v>351.9</v>
      </c>
      <c r="U57" s="32">
        <v>355.1</v>
      </c>
      <c r="V57" s="32">
        <v>356.5</v>
      </c>
      <c r="W57" s="32">
        <v>366.9</v>
      </c>
      <c r="X57" s="32">
        <v>368.1</v>
      </c>
      <c r="Y57" s="32">
        <v>369.4</v>
      </c>
      <c r="Z57" s="32">
        <v>370.2</v>
      </c>
      <c r="AA57" s="32">
        <v>381.1</v>
      </c>
      <c r="AB57" s="32">
        <v>382.4</v>
      </c>
      <c r="AC57" s="32">
        <v>386.9</v>
      </c>
      <c r="AD57" s="32">
        <v>388</v>
      </c>
      <c r="AE57" s="32">
        <v>414</v>
      </c>
      <c r="AF57" s="32">
        <v>424.1</v>
      </c>
      <c r="AG57" s="32">
        <v>435.6</v>
      </c>
      <c r="AH57" s="32">
        <v>437.5</v>
      </c>
      <c r="AI57" s="32">
        <v>489.1</v>
      </c>
      <c r="AJ57" s="32">
        <v>513.4</v>
      </c>
      <c r="AK57" s="32">
        <v>531.20000000000005</v>
      </c>
      <c r="AL57" s="32">
        <v>538.5</v>
      </c>
      <c r="AM57" s="32">
        <v>543.9</v>
      </c>
      <c r="AN57" s="32">
        <v>549.4</v>
      </c>
      <c r="AO57" s="32">
        <v>603.70000000000005</v>
      </c>
      <c r="AP57" s="32">
        <v>612.79999999999995</v>
      </c>
      <c r="AQ57" s="32">
        <v>623.4</v>
      </c>
      <c r="AR57" s="32">
        <v>632.70000000000005</v>
      </c>
      <c r="AS57" s="32">
        <v>697.2</v>
      </c>
      <c r="AT57" s="32">
        <v>758.4</v>
      </c>
      <c r="AU57" s="32">
        <v>761.9</v>
      </c>
      <c r="AV57" s="32">
        <v>778.6</v>
      </c>
      <c r="AW57" s="32">
        <v>1090</v>
      </c>
      <c r="AX57" s="32">
        <v>1159.9000000000001</v>
      </c>
      <c r="AY57" s="32">
        <v>1651.9</v>
      </c>
      <c r="AZ57" s="32">
        <v>1731.4</v>
      </c>
      <c r="BA57" s="32">
        <v>1730.7</v>
      </c>
      <c r="BB57" s="32">
        <v>1758.8</v>
      </c>
      <c r="BC57" s="32">
        <v>2159.8000000000002</v>
      </c>
      <c r="BD57" s="32">
        <v>2248.6999999999998</v>
      </c>
      <c r="BE57" s="32">
        <v>2715.7</v>
      </c>
      <c r="BF57" s="32">
        <v>2840.7</v>
      </c>
      <c r="BG57" s="32">
        <v>2848</v>
      </c>
      <c r="BH57" s="32">
        <v>3389.7</v>
      </c>
      <c r="BI57" s="32">
        <v>3762.9</v>
      </c>
      <c r="BJ57" s="32">
        <v>3927.5</v>
      </c>
      <c r="BK57" s="32">
        <v>4335.2</v>
      </c>
      <c r="BL57" s="32">
        <v>4384.8999999999996</v>
      </c>
    </row>
    <row r="58" spans="1:64" ht="20" customHeight="1">
      <c r="A58" s="68">
        <v>54</v>
      </c>
      <c r="B58" s="69" t="s">
        <v>97</v>
      </c>
      <c r="C58" s="70" t="b">
        <f t="array" ref="C58">_xlfn.SWITCH(LEFT(B58,FIND("|",B58)-1),"ابنیه",HLOOKUP(D58,'نمودار ابنیه'!$B$5:$AD$6,2,FALSE),"مکانیکی",HLOOKUP(D58,'نمودار مکانیکی'!$B$5:$AJ$6,2,FALSE),"برقی",HLOOKUP(D58,'نمودار تاسیسات برقی'!$B$5:$AK$6,2,FALSE),"خطوط",HLOOKUP(D58,'نمودار خطوط انتقال '!$B$5:$R$6,2,FALSE),"شبکه",HLOOKUP(D58,'نمودار شبکه توزیع آ'!$B$5:$O$6,2,FALSE),"سد",HLOOKUP(D58,'نمودار سدسازی'!$B$5:$P$6,2,FALSE),"فاضلاب",HLOOKUP(D58,'نمودار جمع‌آوری و ا'!$B$5:$S$6,2,FALSE),"تجهیزات",HLOOKUP(D58,'نمودار تجهیزات آب و'!$B$5:$AG$6,2,FALSE),"پست",HLOOKUP(D58,'نمودار پست های انتق'!$B$5:$AH$6,2,FALSE),"نیرو",HLOOKUP(D58,'نمودار توزیع نیرو ب'!$B$5:$AE$6,2,FALSE),FALSE)</f>
        <v>0</v>
      </c>
      <c r="D58" s="71" t="s">
        <v>122</v>
      </c>
      <c r="E58" s="15"/>
      <c r="F58" s="72"/>
      <c r="G58" s="73">
        <v>208.2</v>
      </c>
      <c r="H58" s="73">
        <v>208.6</v>
      </c>
      <c r="I58" s="73">
        <v>228.4</v>
      </c>
      <c r="J58" s="73">
        <v>228.8</v>
      </c>
      <c r="K58" s="73">
        <v>291.7</v>
      </c>
      <c r="L58" s="73">
        <v>308.8</v>
      </c>
      <c r="M58" s="73">
        <v>381.3</v>
      </c>
      <c r="N58" s="73">
        <v>465.2</v>
      </c>
      <c r="O58" s="73">
        <v>467.5</v>
      </c>
      <c r="P58" s="73">
        <v>468</v>
      </c>
      <c r="Q58" s="73">
        <v>468.7</v>
      </c>
      <c r="R58" s="73">
        <v>469.4</v>
      </c>
      <c r="S58" s="73">
        <v>495</v>
      </c>
      <c r="T58" s="73">
        <v>495.5</v>
      </c>
      <c r="U58" s="73">
        <v>518.1</v>
      </c>
      <c r="V58" s="73">
        <v>518.5</v>
      </c>
      <c r="W58" s="73">
        <v>521.20000000000005</v>
      </c>
      <c r="X58" s="73">
        <v>521.4</v>
      </c>
      <c r="Y58" s="73">
        <v>521.6</v>
      </c>
      <c r="Z58" s="73">
        <v>521.79999999999995</v>
      </c>
      <c r="AA58" s="73">
        <v>524.29999999999995</v>
      </c>
      <c r="AB58" s="73">
        <v>524.6</v>
      </c>
      <c r="AC58" s="73">
        <v>549.4</v>
      </c>
      <c r="AD58" s="73">
        <v>549.70000000000005</v>
      </c>
      <c r="AE58" s="73">
        <v>578.29999999999995</v>
      </c>
      <c r="AF58" s="73">
        <v>604.20000000000005</v>
      </c>
      <c r="AG58" s="73">
        <v>656.2</v>
      </c>
      <c r="AH58" s="73">
        <v>682.3</v>
      </c>
      <c r="AI58" s="73">
        <v>803.5</v>
      </c>
      <c r="AJ58" s="73">
        <v>851.3</v>
      </c>
      <c r="AK58" s="73">
        <v>897.2</v>
      </c>
      <c r="AL58" s="73">
        <v>1071.5999999999999</v>
      </c>
      <c r="AM58" s="73">
        <v>1072.4000000000001</v>
      </c>
      <c r="AN58" s="73">
        <v>1074.0999999999999</v>
      </c>
      <c r="AO58" s="73">
        <v>1186.4000000000001</v>
      </c>
      <c r="AP58" s="73">
        <v>1189.5999999999999</v>
      </c>
      <c r="AQ58" s="73">
        <v>1293.5</v>
      </c>
      <c r="AR58" s="73">
        <v>1397.9</v>
      </c>
      <c r="AS58" s="73">
        <v>1803.3</v>
      </c>
      <c r="AT58" s="73">
        <v>1915.4</v>
      </c>
      <c r="AU58" s="73">
        <v>2076.4</v>
      </c>
      <c r="AV58" s="73">
        <v>2205.6</v>
      </c>
      <c r="AW58" s="73">
        <v>2432.4</v>
      </c>
      <c r="AX58" s="73">
        <v>2438</v>
      </c>
      <c r="AY58" s="73">
        <v>2774.3</v>
      </c>
      <c r="AZ58" s="73">
        <v>3016.1</v>
      </c>
      <c r="BA58" s="73">
        <v>3109.8</v>
      </c>
      <c r="BB58" s="73">
        <v>3112.3</v>
      </c>
      <c r="BC58" s="73">
        <v>3661.3</v>
      </c>
      <c r="BD58" s="73">
        <v>3666.4</v>
      </c>
      <c r="BE58" s="73">
        <v>3673.7</v>
      </c>
      <c r="BF58" s="73">
        <v>4315.3</v>
      </c>
      <c r="BG58" s="73">
        <v>4315.3</v>
      </c>
      <c r="BH58" s="73">
        <v>4315.3</v>
      </c>
      <c r="BI58" s="73">
        <v>5020.6000000000004</v>
      </c>
      <c r="BJ58" s="73">
        <v>5031.7</v>
      </c>
      <c r="BK58" s="73">
        <v>5035.3</v>
      </c>
      <c r="BL58" s="73">
        <v>5293</v>
      </c>
    </row>
    <row r="59" spans="1:64" ht="20" customHeight="1">
      <c r="A59" s="25">
        <v>55</v>
      </c>
      <c r="B59" s="26" t="s">
        <v>97</v>
      </c>
      <c r="C59" s="27" t="b">
        <f t="array" ref="C59">_xlfn.SWITCH(LEFT(B59,FIND("|",B59)-1),"ابنیه",HLOOKUP(D59,'نمودار ابنیه'!$B$5:$AD$6,2,FALSE),"مکانیکی",HLOOKUP(D59,'نمودار مکانیکی'!$B$5:$AJ$6,2,FALSE),"برقی",HLOOKUP(D59,'نمودار تاسیسات برقی'!$B$5:$AK$6,2,FALSE),"خطوط",HLOOKUP(D59,'نمودار خطوط انتقال '!$B$5:$R$6,2,FALSE),"شبکه",HLOOKUP(D59,'نمودار شبکه توزیع آ'!$B$5:$O$6,2,FALSE),"سد",HLOOKUP(D59,'نمودار سدسازی'!$B$5:$P$6,2,FALSE),"فاضلاب",HLOOKUP(D59,'نمودار جمع‌آوری و ا'!$B$5:$S$6,2,FALSE),"تجهیزات",HLOOKUP(D59,'نمودار تجهیزات آب و'!$B$5:$AG$6,2,FALSE),"پست",HLOOKUP(D59,'نمودار پست های انتق'!$B$5:$AH$6,2,FALSE),"نیرو",HLOOKUP(D59,'نمودار توزیع نیرو ب'!$B$5:$AE$6,2,FALSE),FALSE)</f>
        <v>0</v>
      </c>
      <c r="D59" s="28" t="s">
        <v>123</v>
      </c>
      <c r="E59" s="15"/>
      <c r="F59" s="29"/>
      <c r="G59" s="32">
        <v>308</v>
      </c>
      <c r="H59" s="32">
        <v>348</v>
      </c>
      <c r="I59" s="32">
        <v>365</v>
      </c>
      <c r="J59" s="32">
        <v>365.9</v>
      </c>
      <c r="K59" s="32">
        <v>383.4</v>
      </c>
      <c r="L59" s="32">
        <v>389.7</v>
      </c>
      <c r="M59" s="32">
        <v>407.4</v>
      </c>
      <c r="N59" s="32">
        <v>414.6</v>
      </c>
      <c r="O59" s="32">
        <v>456.5</v>
      </c>
      <c r="P59" s="32">
        <v>457.4</v>
      </c>
      <c r="Q59" s="32">
        <v>454.6</v>
      </c>
      <c r="R59" s="32">
        <v>472.1</v>
      </c>
      <c r="S59" s="32">
        <v>525.29999999999995</v>
      </c>
      <c r="T59" s="32">
        <v>526.20000000000005</v>
      </c>
      <c r="U59" s="32">
        <v>519.9</v>
      </c>
      <c r="V59" s="32">
        <v>544.9</v>
      </c>
      <c r="W59" s="32">
        <v>574.29999999999995</v>
      </c>
      <c r="X59" s="32">
        <v>574.70000000000005</v>
      </c>
      <c r="Y59" s="32">
        <v>575.1</v>
      </c>
      <c r="Z59" s="32">
        <v>575.4</v>
      </c>
      <c r="AA59" s="32">
        <v>579.79999999999995</v>
      </c>
      <c r="AB59" s="32">
        <v>580.4</v>
      </c>
      <c r="AC59" s="32">
        <v>581</v>
      </c>
      <c r="AD59" s="32">
        <v>581.6</v>
      </c>
      <c r="AE59" s="32">
        <v>586.9</v>
      </c>
      <c r="AF59" s="32">
        <v>649</v>
      </c>
      <c r="AG59" s="32">
        <v>691.4</v>
      </c>
      <c r="AH59" s="32">
        <v>692.1</v>
      </c>
      <c r="AI59" s="32">
        <v>764</v>
      </c>
      <c r="AJ59" s="32">
        <v>862.6</v>
      </c>
      <c r="AK59" s="32">
        <v>895.7</v>
      </c>
      <c r="AL59" s="32">
        <v>1021.1</v>
      </c>
      <c r="AM59" s="32">
        <v>1022.6</v>
      </c>
      <c r="AN59" s="32">
        <v>1026.3</v>
      </c>
      <c r="AO59" s="32">
        <v>1137.9000000000001</v>
      </c>
      <c r="AP59" s="32">
        <v>1144.0999999999999</v>
      </c>
      <c r="AQ59" s="32">
        <v>1240.9000000000001</v>
      </c>
      <c r="AR59" s="32">
        <v>1338.1</v>
      </c>
      <c r="AS59" s="32">
        <v>1702.6</v>
      </c>
      <c r="AT59" s="32">
        <v>1806.3</v>
      </c>
      <c r="AU59" s="32">
        <v>1954.6</v>
      </c>
      <c r="AV59" s="32">
        <v>2059</v>
      </c>
      <c r="AW59" s="32">
        <v>2318.9</v>
      </c>
      <c r="AX59" s="32">
        <v>2330</v>
      </c>
      <c r="AY59" s="32">
        <v>2818</v>
      </c>
      <c r="AZ59" s="32">
        <v>2837.3</v>
      </c>
      <c r="BA59" s="32">
        <v>2986.7</v>
      </c>
      <c r="BB59" s="32">
        <v>2992.7</v>
      </c>
      <c r="BC59" s="32">
        <v>3536.7</v>
      </c>
      <c r="BD59" s="32">
        <v>3547.2</v>
      </c>
      <c r="BE59" s="32">
        <v>3860.9</v>
      </c>
      <c r="BF59" s="32">
        <v>4474.8</v>
      </c>
      <c r="BG59" s="32">
        <v>4474.8999999999996</v>
      </c>
      <c r="BH59" s="32">
        <v>4474.8999999999996</v>
      </c>
      <c r="BI59" s="32">
        <v>5379</v>
      </c>
      <c r="BJ59" s="32">
        <v>5602.2</v>
      </c>
      <c r="BK59" s="32">
        <v>5616.7</v>
      </c>
      <c r="BL59" s="32">
        <v>5634</v>
      </c>
    </row>
    <row r="60" spans="1:64" ht="20" customHeight="1">
      <c r="A60" s="68">
        <v>56</v>
      </c>
      <c r="B60" s="69" t="s">
        <v>97</v>
      </c>
      <c r="C60" s="70" t="b">
        <f t="array" ref="C60">_xlfn.SWITCH(LEFT(B60,FIND("|",B60)-1),"ابنیه",HLOOKUP(D60,'نمودار ابنیه'!$B$5:$AD$6,2,FALSE),"مکانیکی",HLOOKUP(D60,'نمودار مکانیکی'!$B$5:$AJ$6,2,FALSE),"برقی",HLOOKUP(D60,'نمودار تاسیسات برقی'!$B$5:$AK$6,2,FALSE),"خطوط",HLOOKUP(D60,'نمودار خطوط انتقال '!$B$5:$R$6,2,FALSE),"شبکه",HLOOKUP(D60,'نمودار شبکه توزیع آ'!$B$5:$O$6,2,FALSE),"سد",HLOOKUP(D60,'نمودار سدسازی'!$B$5:$P$6,2,FALSE),"فاضلاب",HLOOKUP(D60,'نمودار جمع‌آوری و ا'!$B$5:$S$6,2,FALSE),"تجهیزات",HLOOKUP(D60,'نمودار تجهیزات آب و'!$B$5:$AG$6,2,FALSE),"پست",HLOOKUP(D60,'نمودار پست های انتق'!$B$5:$AH$6,2,FALSE),"نیرو",HLOOKUP(D60,'نمودار توزیع نیرو ب'!$B$5:$AE$6,2,FALSE),FALSE)</f>
        <v>0</v>
      </c>
      <c r="D60" s="71" t="s">
        <v>124</v>
      </c>
      <c r="E60" s="15"/>
      <c r="F60" s="72"/>
      <c r="G60" s="73">
        <v>302.3</v>
      </c>
      <c r="H60" s="73">
        <v>303.5</v>
      </c>
      <c r="I60" s="73">
        <v>333.1</v>
      </c>
      <c r="J60" s="73">
        <v>334.6</v>
      </c>
      <c r="K60" s="73">
        <v>355</v>
      </c>
      <c r="L60" s="73">
        <v>399.2</v>
      </c>
      <c r="M60" s="73">
        <v>443.6</v>
      </c>
      <c r="N60" s="73">
        <v>482.7</v>
      </c>
      <c r="O60" s="73">
        <v>501.3</v>
      </c>
      <c r="P60" s="73">
        <v>504.7</v>
      </c>
      <c r="Q60" s="73">
        <v>510</v>
      </c>
      <c r="R60" s="73">
        <v>511.6</v>
      </c>
      <c r="S60" s="73">
        <v>576.9</v>
      </c>
      <c r="T60" s="73">
        <v>579.4</v>
      </c>
      <c r="U60" s="73">
        <v>578.9</v>
      </c>
      <c r="V60" s="73">
        <v>580.79999999999995</v>
      </c>
      <c r="W60" s="73">
        <v>594.6</v>
      </c>
      <c r="X60" s="73">
        <v>596.1</v>
      </c>
      <c r="Y60" s="73">
        <v>597.6</v>
      </c>
      <c r="Z60" s="73">
        <v>598.70000000000005</v>
      </c>
      <c r="AA60" s="73">
        <v>627.9</v>
      </c>
      <c r="AB60" s="73">
        <v>629.6</v>
      </c>
      <c r="AC60" s="73">
        <v>658.6</v>
      </c>
      <c r="AD60" s="73">
        <v>681.8</v>
      </c>
      <c r="AE60" s="73">
        <v>722.3</v>
      </c>
      <c r="AF60" s="73">
        <v>754.4</v>
      </c>
      <c r="AG60" s="73">
        <v>776.1</v>
      </c>
      <c r="AH60" s="73">
        <v>799.7</v>
      </c>
      <c r="AI60" s="73">
        <v>889</v>
      </c>
      <c r="AJ60" s="73">
        <v>959.7</v>
      </c>
      <c r="AK60" s="73">
        <v>1083</v>
      </c>
      <c r="AL60" s="73">
        <v>1084.3</v>
      </c>
      <c r="AM60" s="73">
        <v>1038.8</v>
      </c>
      <c r="AN60" s="73">
        <v>1099</v>
      </c>
      <c r="AO60" s="73">
        <v>1318.8</v>
      </c>
      <c r="AP60" s="73">
        <v>1332.7</v>
      </c>
      <c r="AQ60" s="73">
        <v>1378.9</v>
      </c>
      <c r="AR60" s="73">
        <v>1406.9</v>
      </c>
      <c r="AS60" s="73">
        <v>1640.9</v>
      </c>
      <c r="AT60" s="73">
        <v>1862.3</v>
      </c>
      <c r="AU60" s="73">
        <v>1949.8</v>
      </c>
      <c r="AV60" s="73">
        <v>2085.3000000000002</v>
      </c>
      <c r="AW60" s="73">
        <v>2212.5</v>
      </c>
      <c r="AX60" s="73">
        <v>2286.1999999999998</v>
      </c>
      <c r="AY60" s="73">
        <v>2855.8</v>
      </c>
      <c r="AZ60" s="73">
        <v>3057.6</v>
      </c>
      <c r="BA60" s="73">
        <v>3101.4</v>
      </c>
      <c r="BB60" s="73">
        <v>3187.2</v>
      </c>
      <c r="BC60" s="73">
        <v>3842.5</v>
      </c>
      <c r="BD60" s="73">
        <v>3901.5</v>
      </c>
      <c r="BE60" s="73">
        <v>4038.6</v>
      </c>
      <c r="BF60" s="73">
        <v>4797.8999999999996</v>
      </c>
      <c r="BG60" s="73">
        <v>4798.3</v>
      </c>
      <c r="BH60" s="73">
        <v>4799.1000000000004</v>
      </c>
      <c r="BI60" s="73">
        <v>5371.7</v>
      </c>
      <c r="BJ60" s="73">
        <v>5701.9</v>
      </c>
      <c r="BK60" s="73">
        <v>6106.9</v>
      </c>
      <c r="BL60" s="73">
        <v>6243.4</v>
      </c>
    </row>
    <row r="61" spans="1:64" ht="20" customHeight="1">
      <c r="A61" s="25">
        <v>57</v>
      </c>
      <c r="B61" s="26" t="s">
        <v>97</v>
      </c>
      <c r="C61" s="27" t="b">
        <f t="array" ref="C61">_xlfn.SWITCH(LEFT(B61,FIND("|",B61)-1),"ابنیه",HLOOKUP(D61,'نمودار ابنیه'!$B$5:$AD$6,2,FALSE),"مکانیکی",HLOOKUP(D61,'نمودار مکانیکی'!$B$5:$AJ$6,2,FALSE),"برقی",HLOOKUP(D61,'نمودار تاسیسات برقی'!$B$5:$AK$6,2,FALSE),"خطوط",HLOOKUP(D61,'نمودار خطوط انتقال '!$B$5:$R$6,2,FALSE),"شبکه",HLOOKUP(D61,'نمودار شبکه توزیع آ'!$B$5:$O$6,2,FALSE),"سد",HLOOKUP(D61,'نمودار سدسازی'!$B$5:$P$6,2,FALSE),"فاضلاب",HLOOKUP(D61,'نمودار جمع‌آوری و ا'!$B$5:$S$6,2,FALSE),"تجهیزات",HLOOKUP(D61,'نمودار تجهیزات آب و'!$B$5:$AG$6,2,FALSE),"پست",HLOOKUP(D61,'نمودار پست های انتق'!$B$5:$AH$6,2,FALSE),"نیرو",HLOOKUP(D61,'نمودار توزیع نیرو ب'!$B$5:$AE$6,2,FALSE),FALSE)</f>
        <v>0</v>
      </c>
      <c r="D61" s="28" t="s">
        <v>125</v>
      </c>
      <c r="E61" s="15"/>
      <c r="F61" s="29"/>
      <c r="G61" s="32">
        <v>277.89999999999998</v>
      </c>
      <c r="H61" s="32">
        <v>312.8</v>
      </c>
      <c r="I61" s="32">
        <v>336</v>
      </c>
      <c r="J61" s="32">
        <v>336.6</v>
      </c>
      <c r="K61" s="32">
        <v>378.4</v>
      </c>
      <c r="L61" s="32">
        <v>412.2</v>
      </c>
      <c r="M61" s="32">
        <v>478.3</v>
      </c>
      <c r="N61" s="32">
        <v>546.79999999999995</v>
      </c>
      <c r="O61" s="32">
        <v>510.7</v>
      </c>
      <c r="P61" s="32">
        <v>637.70000000000005</v>
      </c>
      <c r="Q61" s="32">
        <v>642.5</v>
      </c>
      <c r="R61" s="32">
        <v>643.79999999999995</v>
      </c>
      <c r="S61" s="32">
        <v>633.6</v>
      </c>
      <c r="T61" s="32">
        <v>694.8</v>
      </c>
      <c r="U61" s="32">
        <v>703</v>
      </c>
      <c r="V61" s="32">
        <v>772.5</v>
      </c>
      <c r="W61" s="32">
        <v>723.9</v>
      </c>
      <c r="X61" s="32">
        <v>729.8</v>
      </c>
      <c r="Y61" s="32">
        <v>753.1</v>
      </c>
      <c r="Z61" s="32">
        <v>753.5</v>
      </c>
      <c r="AA61" s="32">
        <v>753.5</v>
      </c>
      <c r="AB61" s="32">
        <v>776.4</v>
      </c>
      <c r="AC61" s="32">
        <v>898.7</v>
      </c>
      <c r="AD61" s="32">
        <v>919.2</v>
      </c>
      <c r="AE61" s="32">
        <v>969</v>
      </c>
      <c r="AF61" s="32">
        <v>1028.5999999999999</v>
      </c>
      <c r="AG61" s="32">
        <v>1059.7</v>
      </c>
      <c r="AH61" s="32">
        <v>1080.5999999999999</v>
      </c>
      <c r="AI61" s="32">
        <v>1301.9000000000001</v>
      </c>
      <c r="AJ61" s="32">
        <v>1695.1</v>
      </c>
      <c r="AK61" s="32">
        <v>1696.7</v>
      </c>
      <c r="AL61" s="32">
        <v>1897.9</v>
      </c>
      <c r="AM61" s="32">
        <v>1864.1</v>
      </c>
      <c r="AN61" s="32">
        <v>1953.7</v>
      </c>
      <c r="AO61" s="32">
        <v>2214.1999999999998</v>
      </c>
      <c r="AP61" s="32">
        <v>2294.6</v>
      </c>
      <c r="AQ61" s="32">
        <v>2234.9</v>
      </c>
      <c r="AR61" s="32">
        <v>2396.8000000000002</v>
      </c>
      <c r="AS61" s="32">
        <v>2724.3</v>
      </c>
      <c r="AT61" s="32">
        <v>3407.3</v>
      </c>
      <c r="AU61" s="32">
        <v>3759.1</v>
      </c>
      <c r="AV61" s="32">
        <v>5150.8999999999996</v>
      </c>
      <c r="AW61" s="32">
        <v>4673</v>
      </c>
      <c r="AX61" s="32">
        <v>4925.8</v>
      </c>
      <c r="AY61" s="32">
        <v>4984.3999999999996</v>
      </c>
      <c r="AZ61" s="32">
        <v>5316.7</v>
      </c>
      <c r="BA61" s="32">
        <v>5443</v>
      </c>
      <c r="BB61" s="32">
        <v>5473</v>
      </c>
      <c r="BC61" s="32">
        <v>6406.3</v>
      </c>
      <c r="BD61" s="32">
        <v>6415.1</v>
      </c>
      <c r="BE61" s="32">
        <v>6979.7</v>
      </c>
      <c r="BF61" s="32">
        <v>8039.6</v>
      </c>
      <c r="BG61" s="32">
        <v>8039.7</v>
      </c>
      <c r="BH61" s="32">
        <v>8039.8</v>
      </c>
      <c r="BI61" s="32">
        <v>8897.5</v>
      </c>
      <c r="BJ61" s="32">
        <v>8917.7000000000007</v>
      </c>
      <c r="BK61" s="32">
        <v>9369.4</v>
      </c>
      <c r="BL61" s="32">
        <v>9871.2000000000007</v>
      </c>
    </row>
    <row r="62" spans="1:64" ht="20" customHeight="1">
      <c r="A62" s="68">
        <v>58</v>
      </c>
      <c r="B62" s="69" t="s">
        <v>97</v>
      </c>
      <c r="C62" s="70" t="b">
        <f t="array" ref="C62">_xlfn.SWITCH(LEFT(B62,FIND("|",B62)-1),"ابنیه",HLOOKUP(D62,'نمودار ابنیه'!$B$5:$AD$6,2,FALSE),"مکانیکی",HLOOKUP(D62,'نمودار مکانیکی'!$B$5:$AJ$6,2,FALSE),"برقی",HLOOKUP(D62,'نمودار تاسیسات برقی'!$B$5:$AK$6,2,FALSE),"خطوط",HLOOKUP(D62,'نمودار خطوط انتقال '!$B$5:$R$6,2,FALSE),"شبکه",HLOOKUP(D62,'نمودار شبکه توزیع آ'!$B$5:$O$6,2,FALSE),"سد",HLOOKUP(D62,'نمودار سدسازی'!$B$5:$P$6,2,FALSE),"فاضلاب",HLOOKUP(D62,'نمودار جمع‌آوری و ا'!$B$5:$S$6,2,FALSE),"تجهیزات",HLOOKUP(D62,'نمودار تجهیزات آب و'!$B$5:$AG$6,2,FALSE),"پست",HLOOKUP(D62,'نمودار پست های انتق'!$B$5:$AH$6,2,FALSE),"نیرو",HLOOKUP(D62,'نمودار توزیع نیرو ب'!$B$5:$AE$6,2,FALSE),FALSE)</f>
        <v>0</v>
      </c>
      <c r="D62" s="71" t="s">
        <v>126</v>
      </c>
      <c r="E62" s="15"/>
      <c r="F62" s="72"/>
      <c r="G62" s="73">
        <v>290.60000000000002</v>
      </c>
      <c r="H62" s="73">
        <v>291</v>
      </c>
      <c r="I62" s="73">
        <v>332.7</v>
      </c>
      <c r="J62" s="73">
        <v>333.2</v>
      </c>
      <c r="K62" s="73">
        <v>335</v>
      </c>
      <c r="L62" s="73">
        <v>343.7</v>
      </c>
      <c r="M62" s="73">
        <v>354.9</v>
      </c>
      <c r="N62" s="73">
        <v>355.6</v>
      </c>
      <c r="O62" s="73">
        <v>358.1</v>
      </c>
      <c r="P62" s="73">
        <v>358.7</v>
      </c>
      <c r="Q62" s="73">
        <v>359.4</v>
      </c>
      <c r="R62" s="73">
        <v>360.1</v>
      </c>
      <c r="S62" s="73">
        <v>373.7</v>
      </c>
      <c r="T62" s="73">
        <v>374.2</v>
      </c>
      <c r="U62" s="73">
        <v>371.6</v>
      </c>
      <c r="V62" s="73">
        <v>372</v>
      </c>
      <c r="W62" s="73">
        <v>425.8</v>
      </c>
      <c r="X62" s="73">
        <v>426.1</v>
      </c>
      <c r="Y62" s="73">
        <v>443</v>
      </c>
      <c r="Z62" s="73">
        <v>443.1</v>
      </c>
      <c r="AA62" s="73">
        <v>486</v>
      </c>
      <c r="AB62" s="73">
        <v>486.4</v>
      </c>
      <c r="AC62" s="73">
        <v>444.2</v>
      </c>
      <c r="AD62" s="73">
        <v>444.5</v>
      </c>
      <c r="AE62" s="73">
        <v>453.6</v>
      </c>
      <c r="AF62" s="73">
        <v>453.9</v>
      </c>
      <c r="AG62" s="73">
        <v>498.4</v>
      </c>
      <c r="AH62" s="73">
        <v>498.8</v>
      </c>
      <c r="AI62" s="73">
        <v>535.9</v>
      </c>
      <c r="AJ62" s="73">
        <v>539.20000000000005</v>
      </c>
      <c r="AK62" s="73">
        <v>575.5</v>
      </c>
      <c r="AL62" s="73">
        <v>592.1</v>
      </c>
      <c r="AM62" s="73">
        <v>595.4</v>
      </c>
      <c r="AN62" s="73">
        <v>597.6</v>
      </c>
      <c r="AO62" s="73">
        <v>688.5</v>
      </c>
      <c r="AP62" s="73">
        <v>693.3</v>
      </c>
      <c r="AQ62" s="73">
        <v>652.79999999999995</v>
      </c>
      <c r="AR62" s="73">
        <v>655.4</v>
      </c>
      <c r="AS62" s="73">
        <v>713.5</v>
      </c>
      <c r="AT62" s="73">
        <v>856.6</v>
      </c>
      <c r="AU62" s="73">
        <v>997.6</v>
      </c>
      <c r="AV62" s="73">
        <v>1097.4000000000001</v>
      </c>
      <c r="AW62" s="73">
        <v>1108.5999999999999</v>
      </c>
      <c r="AX62" s="73">
        <v>1115</v>
      </c>
      <c r="AY62" s="73">
        <v>1321.3</v>
      </c>
      <c r="AZ62" s="73">
        <v>1339.7</v>
      </c>
      <c r="BA62" s="73">
        <v>1449.3</v>
      </c>
      <c r="BB62" s="73">
        <v>1471.4</v>
      </c>
      <c r="BC62" s="73">
        <v>1792.2</v>
      </c>
      <c r="BD62" s="73">
        <v>1798.4</v>
      </c>
      <c r="BE62" s="73">
        <v>1965.7</v>
      </c>
      <c r="BF62" s="73">
        <v>2152.3000000000002</v>
      </c>
      <c r="BG62" s="73">
        <v>2152.4</v>
      </c>
      <c r="BH62" s="73">
        <v>2152.5</v>
      </c>
      <c r="BI62" s="73">
        <v>2588.3000000000002</v>
      </c>
      <c r="BJ62" s="73">
        <v>2602.5</v>
      </c>
      <c r="BK62" s="73">
        <v>2626</v>
      </c>
      <c r="BL62" s="73">
        <v>2635.8</v>
      </c>
    </row>
    <row r="63" spans="1:64" ht="20" customHeight="1">
      <c r="A63" s="25" t="s">
        <v>127</v>
      </c>
      <c r="B63" s="26" t="s">
        <v>97</v>
      </c>
      <c r="C63" s="27" t="b">
        <f t="array" ref="C63">_xlfn.SWITCH(LEFT(B63,FIND("|",B63)-1),"ابنیه",HLOOKUP(D63,'نمودار ابنیه'!$B$5:$AD$6,2,FALSE),"مکانیکی",HLOOKUP(D63,'نمودار مکانیکی'!$B$5:$AJ$6,2,FALSE),"برقی",HLOOKUP(D63,'نمودار تاسیسات برقی'!$B$5:$AK$6,2,FALSE),"خطوط",HLOOKUP(D63,'نمودار خطوط انتقال '!$B$5:$R$6,2,FALSE),"شبکه",HLOOKUP(D63,'نمودار شبکه توزیع آ'!$B$5:$O$6,2,FALSE),"سد",HLOOKUP(D63,'نمودار سدسازی'!$B$5:$P$6,2,FALSE),"فاضلاب",HLOOKUP(D63,'نمودار جمع‌آوری و ا'!$B$5:$S$6,2,FALSE),"تجهیزات",HLOOKUP(D63,'نمودار تجهیزات آب و'!$B$5:$AG$6,2,FALSE),"پست",HLOOKUP(D63,'نمودار پست های انتق'!$B$5:$AH$6,2,FALSE),"نیرو",HLOOKUP(D63,'نمودار توزیع نیرو ب'!$B$5:$AE$6,2,FALSE),FALSE)</f>
        <v>0</v>
      </c>
      <c r="D63" s="28" t="s">
        <v>128</v>
      </c>
      <c r="E63" s="15"/>
      <c r="F63" s="29"/>
      <c r="G63" s="32">
        <v>240.8</v>
      </c>
      <c r="H63" s="32">
        <v>242.2</v>
      </c>
      <c r="I63" s="32">
        <v>259.8</v>
      </c>
      <c r="J63" s="32">
        <v>261.3</v>
      </c>
      <c r="K63" s="32">
        <v>282.3</v>
      </c>
      <c r="L63" s="32">
        <v>292.2</v>
      </c>
      <c r="M63" s="32">
        <v>390.4</v>
      </c>
      <c r="N63" s="32">
        <v>392.8</v>
      </c>
      <c r="O63" s="32">
        <v>413.6</v>
      </c>
      <c r="P63" s="32">
        <v>419.2</v>
      </c>
      <c r="Q63" s="32">
        <v>434.9</v>
      </c>
      <c r="R63" s="32">
        <v>438.1</v>
      </c>
      <c r="S63" s="32">
        <v>468.8</v>
      </c>
      <c r="T63" s="32">
        <v>471.2</v>
      </c>
      <c r="U63" s="32">
        <v>470</v>
      </c>
      <c r="V63" s="32">
        <v>475.1</v>
      </c>
      <c r="W63" s="32">
        <v>502.1</v>
      </c>
      <c r="X63" s="32">
        <v>503.4</v>
      </c>
      <c r="Y63" s="32">
        <v>508.6</v>
      </c>
      <c r="Z63" s="32">
        <v>509.6</v>
      </c>
      <c r="AA63" s="32">
        <v>539.5</v>
      </c>
      <c r="AB63" s="32">
        <v>541.1</v>
      </c>
      <c r="AC63" s="32">
        <v>554.1</v>
      </c>
      <c r="AD63" s="32">
        <v>555.6</v>
      </c>
      <c r="AE63" s="32">
        <v>607.1</v>
      </c>
      <c r="AF63" s="32">
        <v>627.1</v>
      </c>
      <c r="AG63" s="32">
        <v>614.20000000000005</v>
      </c>
      <c r="AH63" s="32">
        <v>615.9</v>
      </c>
      <c r="AI63" s="32">
        <v>808.5</v>
      </c>
      <c r="AJ63" s="32">
        <v>839.6</v>
      </c>
      <c r="AK63" s="32">
        <v>843.1</v>
      </c>
      <c r="AL63" s="32">
        <v>845.9</v>
      </c>
      <c r="AM63" s="32">
        <v>1068.2</v>
      </c>
      <c r="AN63" s="32">
        <v>1107.2</v>
      </c>
      <c r="AO63" s="32">
        <v>1275.0999999999999</v>
      </c>
      <c r="AP63" s="32">
        <v>1318.3</v>
      </c>
      <c r="AQ63" s="32">
        <v>1408.5</v>
      </c>
      <c r="AR63" s="32">
        <v>1417</v>
      </c>
      <c r="AS63" s="32">
        <v>1677.6</v>
      </c>
      <c r="AT63" s="32">
        <v>1792</v>
      </c>
      <c r="AU63" s="32">
        <v>1956.2</v>
      </c>
      <c r="AV63" s="32">
        <v>2349.9</v>
      </c>
      <c r="AW63" s="32">
        <v>2326.1999999999998</v>
      </c>
      <c r="AX63" s="32">
        <v>2472.8000000000002</v>
      </c>
      <c r="AY63" s="32">
        <v>2849.7</v>
      </c>
      <c r="AZ63" s="32">
        <v>3032.9</v>
      </c>
      <c r="BA63" s="32">
        <v>3180.9</v>
      </c>
      <c r="BB63" s="32">
        <v>3263</v>
      </c>
      <c r="BC63" s="32">
        <v>4090.6</v>
      </c>
      <c r="BD63" s="32">
        <v>4415</v>
      </c>
      <c r="BE63" s="32">
        <v>4805.6000000000004</v>
      </c>
      <c r="BF63" s="32">
        <v>5834.3</v>
      </c>
      <c r="BG63" s="32">
        <v>5834.5</v>
      </c>
      <c r="BH63" s="32">
        <v>5834.7</v>
      </c>
      <c r="BI63" s="32">
        <v>6673.4</v>
      </c>
      <c r="BJ63" s="32">
        <v>6724.6</v>
      </c>
      <c r="BK63" s="32">
        <v>6880.9</v>
      </c>
      <c r="BL63" s="32">
        <v>7061.4</v>
      </c>
    </row>
    <row r="64" spans="1:64" ht="20" customHeight="1">
      <c r="A64" s="68">
        <v>60</v>
      </c>
      <c r="B64" s="69" t="s">
        <v>97</v>
      </c>
      <c r="C64" s="70" t="b">
        <f t="array" ref="C64">_xlfn.SWITCH(LEFT(B64,FIND("|",B64)-1),"ابنیه",HLOOKUP(D64,'نمودار ابنیه'!$B$5:$AD$6,2,FALSE),"مکانیکی",HLOOKUP(D64,'نمودار مکانیکی'!$B$5:$AJ$6,2,FALSE),"برقی",HLOOKUP(D64,'نمودار تاسیسات برقی'!$B$5:$AK$6,2,FALSE),"خطوط",HLOOKUP(D64,'نمودار خطوط انتقال '!$B$5:$R$6,2,FALSE),"شبکه",HLOOKUP(D64,'نمودار شبکه توزیع آ'!$B$5:$O$6,2,FALSE),"سد",HLOOKUP(D64,'نمودار سدسازی'!$B$5:$P$6,2,FALSE),"فاضلاب",HLOOKUP(D64,'نمودار جمع‌آوری و ا'!$B$5:$S$6,2,FALSE),"تجهیزات",HLOOKUP(D64,'نمودار تجهیزات آب و'!$B$5:$AG$6,2,FALSE),"پست",HLOOKUP(D64,'نمودار پست های انتق'!$B$5:$AH$6,2,FALSE),"نیرو",HLOOKUP(D64,'نمودار توزیع نیرو ب'!$B$5:$AE$6,2,FALSE),FALSE)</f>
        <v>0</v>
      </c>
      <c r="D64" s="71" t="s">
        <v>129</v>
      </c>
      <c r="E64" s="15"/>
      <c r="F64" s="72"/>
      <c r="G64" s="73">
        <v>387.4</v>
      </c>
      <c r="H64" s="73">
        <v>404.3</v>
      </c>
      <c r="I64" s="73">
        <v>422.1</v>
      </c>
      <c r="J64" s="73">
        <v>424.3</v>
      </c>
      <c r="K64" s="73">
        <v>451.5</v>
      </c>
      <c r="L64" s="73">
        <v>519.5</v>
      </c>
      <c r="M64" s="73">
        <v>619.6</v>
      </c>
      <c r="N64" s="73">
        <v>662.3</v>
      </c>
      <c r="O64" s="73">
        <v>729</v>
      </c>
      <c r="P64" s="73">
        <v>689</v>
      </c>
      <c r="Q64" s="73">
        <v>708.9</v>
      </c>
      <c r="R64" s="73">
        <v>711.5</v>
      </c>
      <c r="S64" s="73">
        <v>781.6</v>
      </c>
      <c r="T64" s="73">
        <v>790.2</v>
      </c>
      <c r="U64" s="73">
        <v>795.9</v>
      </c>
      <c r="V64" s="73">
        <v>797.2</v>
      </c>
      <c r="W64" s="73">
        <v>789.3</v>
      </c>
      <c r="X64" s="73">
        <v>784.6</v>
      </c>
      <c r="Y64" s="73">
        <v>723</v>
      </c>
      <c r="Z64" s="73">
        <v>708.6</v>
      </c>
      <c r="AA64" s="73">
        <v>791.5</v>
      </c>
      <c r="AB64" s="73">
        <v>798.9</v>
      </c>
      <c r="AC64" s="73">
        <v>858.8</v>
      </c>
      <c r="AD64" s="73">
        <v>927.4</v>
      </c>
      <c r="AE64" s="73">
        <v>939.5</v>
      </c>
      <c r="AF64" s="73">
        <v>999.7</v>
      </c>
      <c r="AG64" s="73">
        <v>1104.2</v>
      </c>
      <c r="AH64" s="73">
        <v>1131</v>
      </c>
      <c r="AI64" s="73">
        <v>1215.5</v>
      </c>
      <c r="AJ64" s="73">
        <v>1373</v>
      </c>
      <c r="AK64" s="73">
        <v>1571.6</v>
      </c>
      <c r="AL64" s="73">
        <v>1633.7</v>
      </c>
      <c r="AM64" s="73">
        <v>1882.5</v>
      </c>
      <c r="AN64" s="73">
        <v>1924.9</v>
      </c>
      <c r="AO64" s="73">
        <v>2344.8000000000002</v>
      </c>
      <c r="AP64" s="73">
        <v>2168.1999999999998</v>
      </c>
      <c r="AQ64" s="73">
        <v>2182.6</v>
      </c>
      <c r="AR64" s="73">
        <v>2667.9</v>
      </c>
      <c r="AS64" s="73">
        <v>3081.2</v>
      </c>
      <c r="AT64" s="73">
        <v>3879.3</v>
      </c>
      <c r="AU64" s="73">
        <v>4273.3999999999996</v>
      </c>
      <c r="AV64" s="73">
        <v>4318.8999999999996</v>
      </c>
      <c r="AW64" s="73">
        <v>5591.8</v>
      </c>
      <c r="AX64" s="73">
        <v>6005.9</v>
      </c>
      <c r="AY64" s="73">
        <v>7020.1</v>
      </c>
      <c r="AZ64" s="73">
        <v>7433.1</v>
      </c>
      <c r="BA64" s="73">
        <v>7667.1</v>
      </c>
      <c r="BB64" s="73">
        <v>7585.9</v>
      </c>
      <c r="BC64" s="73">
        <v>8467.7999999999993</v>
      </c>
      <c r="BD64" s="73">
        <v>8152.2</v>
      </c>
      <c r="BE64" s="73">
        <v>9062</v>
      </c>
      <c r="BF64" s="73">
        <v>11156</v>
      </c>
      <c r="BG64" s="73">
        <v>11399.8</v>
      </c>
      <c r="BH64" s="73">
        <v>11730.5</v>
      </c>
      <c r="BI64" s="73">
        <v>11946.5</v>
      </c>
      <c r="BJ64" s="73">
        <v>11902.7</v>
      </c>
      <c r="BK64" s="73">
        <v>12091.9</v>
      </c>
      <c r="BL64" s="73">
        <v>12616.6</v>
      </c>
    </row>
    <row r="65" spans="1:64" ht="20" customHeight="1">
      <c r="A65" s="25">
        <v>61</v>
      </c>
      <c r="B65" s="26" t="s">
        <v>97</v>
      </c>
      <c r="C65" s="27" t="b">
        <f t="array" ref="C65">_xlfn.SWITCH(LEFT(B65,FIND("|",B65)-1),"ابنیه",HLOOKUP(D65,'نمودار ابنیه'!$B$5:$AD$6,2,FALSE),"مکانیکی",HLOOKUP(D65,'نمودار مکانیکی'!$B$5:$AJ$6,2,FALSE),"برقی",HLOOKUP(D65,'نمودار تاسیسات برقی'!$B$5:$AK$6,2,FALSE),"خطوط",HLOOKUP(D65,'نمودار خطوط انتقال '!$B$5:$R$6,2,FALSE),"شبکه",HLOOKUP(D65,'نمودار شبکه توزیع آ'!$B$5:$O$6,2,FALSE),"سد",HLOOKUP(D65,'نمودار سدسازی'!$B$5:$P$6,2,FALSE),"فاضلاب",HLOOKUP(D65,'نمودار جمع‌آوری و ا'!$B$5:$S$6,2,FALSE),"تجهیزات",HLOOKUP(D65,'نمودار تجهیزات آب و'!$B$5:$AG$6,2,FALSE),"پست",HLOOKUP(D65,'نمودار پست های انتق'!$B$5:$AH$6,2,FALSE),"نیرو",HLOOKUP(D65,'نمودار توزیع نیرو ب'!$B$5:$AE$6,2,FALSE),FALSE)</f>
        <v>0</v>
      </c>
      <c r="D65" s="28" t="s">
        <v>130</v>
      </c>
      <c r="E65" s="15"/>
      <c r="F65" s="29"/>
      <c r="G65" s="32">
        <v>258.39999999999998</v>
      </c>
      <c r="H65" s="32">
        <v>260.2</v>
      </c>
      <c r="I65" s="32">
        <v>263.5</v>
      </c>
      <c r="J65" s="32">
        <v>265.7</v>
      </c>
      <c r="K65" s="32">
        <v>284.60000000000002</v>
      </c>
      <c r="L65" s="32">
        <v>319.60000000000002</v>
      </c>
      <c r="M65" s="32">
        <v>377.6</v>
      </c>
      <c r="N65" s="32">
        <v>397.4</v>
      </c>
      <c r="O65" s="32">
        <v>423.1</v>
      </c>
      <c r="P65" s="32">
        <v>410.4</v>
      </c>
      <c r="Q65" s="32">
        <v>402.9</v>
      </c>
      <c r="R65" s="32">
        <v>406.4</v>
      </c>
      <c r="S65" s="32">
        <v>455</v>
      </c>
      <c r="T65" s="32">
        <v>458.6</v>
      </c>
      <c r="U65" s="32">
        <v>438.9</v>
      </c>
      <c r="V65" s="32">
        <v>441.8</v>
      </c>
      <c r="W65" s="32">
        <v>461.4</v>
      </c>
      <c r="X65" s="32">
        <v>463.3</v>
      </c>
      <c r="Y65" s="32">
        <v>442</v>
      </c>
      <c r="Z65" s="32">
        <v>437.6</v>
      </c>
      <c r="AA65" s="32">
        <v>485.9</v>
      </c>
      <c r="AB65" s="32">
        <v>489.2</v>
      </c>
      <c r="AC65" s="32">
        <v>512.6</v>
      </c>
      <c r="AD65" s="32">
        <v>514.70000000000005</v>
      </c>
      <c r="AE65" s="32">
        <v>540</v>
      </c>
      <c r="AF65" s="32">
        <v>564.6</v>
      </c>
      <c r="AG65" s="32">
        <v>608.6</v>
      </c>
      <c r="AH65" s="32">
        <v>638.1</v>
      </c>
      <c r="AI65" s="32">
        <v>708.2</v>
      </c>
      <c r="AJ65" s="32">
        <v>786.7</v>
      </c>
      <c r="AK65" s="32">
        <v>863.1</v>
      </c>
      <c r="AL65" s="32">
        <v>882.7</v>
      </c>
      <c r="AM65" s="32">
        <v>892.7</v>
      </c>
      <c r="AN65" s="32">
        <v>907.7</v>
      </c>
      <c r="AO65" s="32">
        <v>1067.5</v>
      </c>
      <c r="AP65" s="32">
        <v>974.7</v>
      </c>
      <c r="AQ65" s="32">
        <v>1000.3</v>
      </c>
      <c r="AR65" s="32">
        <v>1149.5999999999999</v>
      </c>
      <c r="AS65" s="32">
        <v>1318.2</v>
      </c>
      <c r="AT65" s="32">
        <v>1688.8</v>
      </c>
      <c r="AU65" s="32">
        <v>1834.6</v>
      </c>
      <c r="AV65" s="32">
        <v>1917.9</v>
      </c>
      <c r="AW65" s="32">
        <v>1990.9</v>
      </c>
      <c r="AX65" s="32">
        <v>2090</v>
      </c>
      <c r="AY65" s="32">
        <v>2501.9</v>
      </c>
      <c r="AZ65" s="32">
        <v>2644.9</v>
      </c>
      <c r="BA65" s="32">
        <v>2760.4</v>
      </c>
      <c r="BB65" s="32">
        <v>2774.8</v>
      </c>
      <c r="BC65" s="32">
        <v>3420.6</v>
      </c>
      <c r="BD65" s="32">
        <v>3546.3</v>
      </c>
      <c r="BE65" s="32">
        <v>3450.9</v>
      </c>
      <c r="BF65" s="32">
        <v>4006.4</v>
      </c>
      <c r="BG65" s="32">
        <v>4028.9</v>
      </c>
      <c r="BH65" s="32">
        <v>4053.8</v>
      </c>
      <c r="BI65" s="32">
        <v>4447</v>
      </c>
      <c r="BJ65" s="32">
        <v>4533.1000000000004</v>
      </c>
      <c r="BK65" s="32">
        <v>5041.8999999999996</v>
      </c>
      <c r="BL65" s="32">
        <v>5180.6000000000004</v>
      </c>
    </row>
    <row r="66" spans="1:64" ht="20" customHeight="1">
      <c r="A66" s="68">
        <v>62</v>
      </c>
      <c r="B66" s="69" t="s">
        <v>97</v>
      </c>
      <c r="C66" s="70" t="b">
        <f t="array" ref="C66">_xlfn.SWITCH(LEFT(B66,FIND("|",B66)-1),"ابنیه",HLOOKUP(D66,'نمودار ابنیه'!$B$5:$AD$6,2,FALSE),"مکانیکی",HLOOKUP(D66,'نمودار مکانیکی'!$B$5:$AJ$6,2,FALSE),"برقی",HLOOKUP(D66,'نمودار تاسیسات برقی'!$B$5:$AK$6,2,FALSE),"خطوط",HLOOKUP(D66,'نمودار خطوط انتقال '!$B$5:$R$6,2,FALSE),"شبکه",HLOOKUP(D66,'نمودار شبکه توزیع آ'!$B$5:$O$6,2,FALSE),"سد",HLOOKUP(D66,'نمودار سدسازی'!$B$5:$P$6,2,FALSE),"فاضلاب",HLOOKUP(D66,'نمودار جمع‌آوری و ا'!$B$5:$S$6,2,FALSE),"تجهیزات",HLOOKUP(D66,'نمودار تجهیزات آب و'!$B$5:$AG$6,2,FALSE),"پست",HLOOKUP(D66,'نمودار پست های انتق'!$B$5:$AH$6,2,FALSE),"نیرو",HLOOKUP(D66,'نمودار توزیع نیرو ب'!$B$5:$AE$6,2,FALSE),FALSE)</f>
        <v>0</v>
      </c>
      <c r="D66" s="71" t="s">
        <v>96</v>
      </c>
      <c r="E66" s="15"/>
      <c r="F66" s="72"/>
      <c r="G66" s="73">
        <v>323.10000000000002</v>
      </c>
      <c r="H66" s="73">
        <v>329.7</v>
      </c>
      <c r="I66" s="73">
        <v>337.1</v>
      </c>
      <c r="J66" s="73">
        <v>342.6</v>
      </c>
      <c r="K66" s="73">
        <v>380.3</v>
      </c>
      <c r="L66" s="73">
        <v>399.9</v>
      </c>
      <c r="M66" s="73">
        <v>420.3</v>
      </c>
      <c r="N66" s="73">
        <v>429.7</v>
      </c>
      <c r="O66" s="73">
        <v>486.1</v>
      </c>
      <c r="P66" s="73">
        <v>495.3</v>
      </c>
      <c r="Q66" s="73">
        <v>510.1</v>
      </c>
      <c r="R66" s="73">
        <v>524.1</v>
      </c>
      <c r="S66" s="73">
        <v>607.9</v>
      </c>
      <c r="T66" s="73">
        <v>618.6</v>
      </c>
      <c r="U66" s="73">
        <v>628.1</v>
      </c>
      <c r="V66" s="73">
        <v>637.79999999999995</v>
      </c>
      <c r="W66" s="73">
        <v>703.7</v>
      </c>
      <c r="X66" s="73">
        <v>709.7</v>
      </c>
      <c r="Y66" s="73">
        <v>715</v>
      </c>
      <c r="Z66" s="73">
        <v>720.4</v>
      </c>
      <c r="AA66" s="73">
        <v>778.8</v>
      </c>
      <c r="AB66" s="73">
        <v>786</v>
      </c>
      <c r="AC66" s="73">
        <v>793.2</v>
      </c>
      <c r="AD66" s="73">
        <v>800.4</v>
      </c>
      <c r="AE66" s="73">
        <v>871.2</v>
      </c>
      <c r="AF66" s="73">
        <v>875.6</v>
      </c>
      <c r="AG66" s="73">
        <v>888.4</v>
      </c>
      <c r="AH66" s="73">
        <v>896.4</v>
      </c>
      <c r="AI66" s="73">
        <v>1029.0999999999999</v>
      </c>
      <c r="AJ66" s="73">
        <v>1075.7</v>
      </c>
      <c r="AK66" s="73">
        <v>1085.5</v>
      </c>
      <c r="AL66" s="73">
        <v>1095</v>
      </c>
      <c r="AM66" s="73">
        <v>1112.3</v>
      </c>
      <c r="AN66" s="73">
        <v>1141</v>
      </c>
      <c r="AO66" s="73">
        <v>1390.2</v>
      </c>
      <c r="AP66" s="73">
        <v>1452.4</v>
      </c>
      <c r="AQ66" s="73">
        <v>1479.2</v>
      </c>
      <c r="AR66" s="73">
        <v>1514</v>
      </c>
      <c r="AS66" s="73">
        <v>1848.6</v>
      </c>
      <c r="AT66" s="73">
        <v>2019.7</v>
      </c>
      <c r="AU66" s="73">
        <v>2033.3</v>
      </c>
      <c r="AV66" s="73">
        <v>2063.6</v>
      </c>
      <c r="AW66" s="73">
        <v>2266.5</v>
      </c>
      <c r="AX66" s="73">
        <v>2380</v>
      </c>
      <c r="AY66" s="73">
        <v>3124.9</v>
      </c>
      <c r="AZ66" s="73">
        <v>3272.5</v>
      </c>
      <c r="BA66" s="73">
        <v>3279.6</v>
      </c>
      <c r="BB66" s="73">
        <v>3296.3</v>
      </c>
      <c r="BC66" s="73">
        <v>4285.2</v>
      </c>
      <c r="BD66" s="73">
        <v>4367.6000000000004</v>
      </c>
      <c r="BE66" s="73">
        <v>4641.2</v>
      </c>
      <c r="BF66" s="73">
        <v>4812.6000000000004</v>
      </c>
      <c r="BG66" s="73">
        <v>4812.6000000000004</v>
      </c>
      <c r="BH66" s="73">
        <v>4812.6000000000004</v>
      </c>
      <c r="BI66" s="73">
        <v>5948.4</v>
      </c>
      <c r="BJ66" s="73">
        <v>6150.5</v>
      </c>
      <c r="BK66" s="73">
        <v>6309.3</v>
      </c>
      <c r="BL66" s="73">
        <v>6472.9</v>
      </c>
    </row>
    <row r="67" spans="1:64" ht="20" customHeight="1">
      <c r="A67" s="20">
        <v>63</v>
      </c>
      <c r="B67" s="21" t="s">
        <v>131</v>
      </c>
      <c r="C67" s="22" t="b">
        <f t="array" ref="C67">_xlfn.SWITCH(LEFT(B67,FIND("|",B67)-1),"ابنیه",HLOOKUP(D67,'نمودار ابنیه'!$B$5:$AD$6,2,FALSE),"مکانیکی",HLOOKUP(D67,'نمودار مکانیکی'!$B$5:$AJ$6,2,FALSE),"برقی",HLOOKUP(D67,'نمودار تاسیسات برقی'!$B$5:$AK$6,2,FALSE),"خطوط",HLOOKUP(D67,'نمودار خطوط انتقال '!$B$5:$R$6,2,FALSE),"شبکه",HLOOKUP(D67,'نمودار شبکه توزیع آ'!$B$5:$O$6,2,FALSE),"سد",HLOOKUP(D67,'نمودار سدسازی'!$B$5:$P$6,2,FALSE),"فاضلاب",HLOOKUP(D67,'نمودار جمع‌آوری و ا'!$B$5:$S$6,2,FALSE),"تجهیزات",HLOOKUP(D67,'نمودار تجهیزات آب و'!$B$5:$AG$6,2,FALSE),"پست",HLOOKUP(D67,'نمودار پست های انتق'!$B$5:$AH$6,2,FALSE),"نیرو",HLOOKUP(D67,'نمودار توزیع نیرو ب'!$B$5:$AE$6,2,FALSE),FALSE)</f>
        <v>1</v>
      </c>
      <c r="D67" s="23" t="s">
        <v>132</v>
      </c>
      <c r="E67" s="15"/>
      <c r="F67" s="24"/>
      <c r="G67" s="31">
        <v>219</v>
      </c>
      <c r="H67" s="31">
        <v>219.3</v>
      </c>
      <c r="I67" s="31">
        <v>219.8</v>
      </c>
      <c r="J67" s="31">
        <v>249.5</v>
      </c>
      <c r="K67" s="31">
        <v>287.89999999999998</v>
      </c>
      <c r="L67" s="31">
        <v>334.4</v>
      </c>
      <c r="M67" s="31">
        <v>348.6</v>
      </c>
      <c r="N67" s="31">
        <v>349.3</v>
      </c>
      <c r="O67" s="31">
        <v>385.2</v>
      </c>
      <c r="P67" s="31">
        <v>385.9</v>
      </c>
      <c r="Q67" s="31">
        <v>387.3</v>
      </c>
      <c r="R67" s="31">
        <v>388.5</v>
      </c>
      <c r="S67" s="31">
        <v>429.3</v>
      </c>
      <c r="T67" s="31">
        <v>430.2</v>
      </c>
      <c r="U67" s="31">
        <v>431.4</v>
      </c>
      <c r="V67" s="31">
        <v>432</v>
      </c>
      <c r="W67" s="31">
        <v>449.9</v>
      </c>
      <c r="X67" s="31">
        <v>450.5</v>
      </c>
      <c r="Y67" s="31">
        <v>457</v>
      </c>
      <c r="Z67" s="31">
        <v>457.5</v>
      </c>
      <c r="AA67" s="31">
        <v>461.9</v>
      </c>
      <c r="AB67" s="31">
        <v>462.6</v>
      </c>
      <c r="AC67" s="31">
        <v>508.4</v>
      </c>
      <c r="AD67" s="31">
        <v>508.9</v>
      </c>
      <c r="AE67" s="31">
        <v>563.29999999999995</v>
      </c>
      <c r="AF67" s="31">
        <v>559.5</v>
      </c>
      <c r="AG67" s="31">
        <v>560.20000000000005</v>
      </c>
      <c r="AH67" s="31">
        <v>601</v>
      </c>
      <c r="AI67" s="31">
        <v>733.7</v>
      </c>
      <c r="AJ67" s="31">
        <v>760.6</v>
      </c>
      <c r="AK67" s="31">
        <v>887.1</v>
      </c>
      <c r="AL67" s="31">
        <v>924.4</v>
      </c>
      <c r="AM67" s="31">
        <v>936.9</v>
      </c>
      <c r="AN67" s="31">
        <v>992.5</v>
      </c>
      <c r="AO67" s="31">
        <v>1082.5</v>
      </c>
      <c r="AP67" s="31">
        <v>1150.0999999999999</v>
      </c>
      <c r="AQ67" s="31">
        <v>1163</v>
      </c>
      <c r="AR67" s="31">
        <v>1192.3</v>
      </c>
      <c r="AS67" s="31">
        <v>1400.6</v>
      </c>
      <c r="AT67" s="31">
        <v>1604.3</v>
      </c>
      <c r="AU67" s="31">
        <v>1668.2</v>
      </c>
      <c r="AV67" s="31">
        <v>1849.3</v>
      </c>
      <c r="AW67" s="31">
        <v>1998</v>
      </c>
      <c r="AX67" s="31">
        <v>2108.9</v>
      </c>
      <c r="AY67" s="31">
        <v>2392.6999999999998</v>
      </c>
      <c r="AZ67" s="31">
        <v>2505</v>
      </c>
      <c r="BA67" s="31">
        <v>2526.8000000000002</v>
      </c>
      <c r="BB67" s="31">
        <v>2607.9</v>
      </c>
      <c r="BC67" s="31">
        <v>2812.4</v>
      </c>
      <c r="BD67" s="31">
        <v>2951.3</v>
      </c>
      <c r="BE67" s="31">
        <v>3292.7</v>
      </c>
      <c r="BF67" s="31">
        <v>3546.4</v>
      </c>
      <c r="BG67" s="31">
        <v>3781.8</v>
      </c>
      <c r="BH67" s="31">
        <v>4017.1</v>
      </c>
      <c r="BI67" s="31">
        <v>4336.3</v>
      </c>
      <c r="BJ67" s="31">
        <v>4356.5</v>
      </c>
      <c r="BK67" s="31">
        <v>4571.7</v>
      </c>
      <c r="BL67" s="31">
        <v>4582.8</v>
      </c>
    </row>
    <row r="68" spans="1:64" ht="20" customHeight="1">
      <c r="A68" s="68">
        <v>64</v>
      </c>
      <c r="B68" s="69" t="s">
        <v>131</v>
      </c>
      <c r="C68" s="70" t="b">
        <f t="array" ref="C68">_xlfn.SWITCH(LEFT(B68,FIND("|",B68)-1),"ابنیه",HLOOKUP(D68,'نمودار ابنیه'!$B$5:$AD$6,2,FALSE),"مکانیکی",HLOOKUP(D68,'نمودار مکانیکی'!$B$5:$AJ$6,2,FALSE),"برقی",HLOOKUP(D68,'نمودار تاسیسات برقی'!$B$5:$AK$6,2,FALSE),"خطوط",HLOOKUP(D68,'نمودار خطوط انتقال '!$B$5:$R$6,2,FALSE),"شبکه",HLOOKUP(D68,'نمودار شبکه توزیع آ'!$B$5:$O$6,2,FALSE),"سد",HLOOKUP(D68,'نمودار سدسازی'!$B$5:$P$6,2,FALSE),"فاضلاب",HLOOKUP(D68,'نمودار جمع‌آوری و ا'!$B$5:$S$6,2,FALSE),"تجهیزات",HLOOKUP(D68,'نمودار تجهیزات آب و'!$B$5:$AG$6,2,FALSE),"پست",HLOOKUP(D68,'نمودار پست های انتق'!$B$5:$AH$6,2,FALSE),"نیرو",HLOOKUP(D68,'نمودار توزیع نیرو ب'!$B$5:$AE$6,2,FALSE),FALSE)</f>
        <v>1</v>
      </c>
      <c r="D68" s="71" t="s">
        <v>133</v>
      </c>
      <c r="E68" s="15"/>
      <c r="F68" s="72"/>
      <c r="G68" s="73">
        <v>268.3</v>
      </c>
      <c r="H68" s="73">
        <v>269.3</v>
      </c>
      <c r="I68" s="73">
        <v>271.10000000000002</v>
      </c>
      <c r="J68" s="73">
        <v>296.7</v>
      </c>
      <c r="K68" s="73">
        <v>358.4</v>
      </c>
      <c r="L68" s="73">
        <v>397.7</v>
      </c>
      <c r="M68" s="73">
        <v>469.7</v>
      </c>
      <c r="N68" s="73">
        <v>471.8</v>
      </c>
      <c r="O68" s="73">
        <v>522.1</v>
      </c>
      <c r="P68" s="73">
        <v>524.70000000000005</v>
      </c>
      <c r="Q68" s="73">
        <v>530.20000000000005</v>
      </c>
      <c r="R68" s="73">
        <v>535.1</v>
      </c>
      <c r="S68" s="73">
        <v>597.70000000000005</v>
      </c>
      <c r="T68" s="73">
        <v>600.79999999999995</v>
      </c>
      <c r="U68" s="73">
        <v>604</v>
      </c>
      <c r="V68" s="73">
        <v>606.9</v>
      </c>
      <c r="W68" s="73">
        <v>642.20000000000005</v>
      </c>
      <c r="X68" s="73">
        <v>644.1</v>
      </c>
      <c r="Y68" s="73">
        <v>646.1</v>
      </c>
      <c r="Z68" s="73">
        <v>648</v>
      </c>
      <c r="AA68" s="73">
        <v>666.9</v>
      </c>
      <c r="AB68" s="73">
        <v>669.1</v>
      </c>
      <c r="AC68" s="73">
        <v>701.1</v>
      </c>
      <c r="AD68" s="73">
        <v>703.2</v>
      </c>
      <c r="AE68" s="73">
        <v>747.6</v>
      </c>
      <c r="AF68" s="73">
        <v>773.4</v>
      </c>
      <c r="AG68" s="73">
        <v>771.2</v>
      </c>
      <c r="AH68" s="73">
        <v>787.5</v>
      </c>
      <c r="AI68" s="73">
        <v>948.3</v>
      </c>
      <c r="AJ68" s="73">
        <v>984.1</v>
      </c>
      <c r="AK68" s="73">
        <v>1104.4000000000001</v>
      </c>
      <c r="AL68" s="73">
        <v>1140.9000000000001</v>
      </c>
      <c r="AM68" s="73">
        <v>1156.9000000000001</v>
      </c>
      <c r="AN68" s="73">
        <v>1214.8</v>
      </c>
      <c r="AO68" s="73">
        <v>1366.1</v>
      </c>
      <c r="AP68" s="73">
        <v>1462.2</v>
      </c>
      <c r="AQ68" s="73">
        <v>1467.1</v>
      </c>
      <c r="AR68" s="73">
        <v>1491.6</v>
      </c>
      <c r="AS68" s="73">
        <v>1731.9</v>
      </c>
      <c r="AT68" s="73">
        <v>2002.5</v>
      </c>
      <c r="AU68" s="73">
        <v>2159.5</v>
      </c>
      <c r="AV68" s="73">
        <v>2338.4</v>
      </c>
      <c r="AW68" s="73">
        <v>2394.3000000000002</v>
      </c>
      <c r="AX68" s="73">
        <v>2566</v>
      </c>
      <c r="AY68" s="73">
        <v>2995.4</v>
      </c>
      <c r="AZ68" s="73">
        <v>3132.9</v>
      </c>
      <c r="BA68" s="73">
        <v>3153.4</v>
      </c>
      <c r="BB68" s="73">
        <v>3232.1</v>
      </c>
      <c r="BC68" s="73">
        <v>3630.9</v>
      </c>
      <c r="BD68" s="73">
        <v>3729.3</v>
      </c>
      <c r="BE68" s="73">
        <v>4188.3</v>
      </c>
      <c r="BF68" s="73">
        <v>4468.8</v>
      </c>
      <c r="BG68" s="73">
        <v>4695.8</v>
      </c>
      <c r="BH68" s="73">
        <v>4908.3</v>
      </c>
      <c r="BI68" s="73">
        <v>5461</v>
      </c>
      <c r="BJ68" s="73">
        <v>5516.7</v>
      </c>
      <c r="BK68" s="73">
        <v>5669.3</v>
      </c>
      <c r="BL68" s="73">
        <v>5713.6</v>
      </c>
    </row>
    <row r="69" spans="1:64" ht="20" customHeight="1">
      <c r="A69" s="25">
        <v>65</v>
      </c>
      <c r="B69" s="26" t="s">
        <v>131</v>
      </c>
      <c r="C69" s="27" t="b">
        <f t="array" ref="C69">_xlfn.SWITCH(LEFT(B69,FIND("|",B69)-1),"ابنیه",HLOOKUP(D69,'نمودار ابنیه'!$B$5:$AD$6,2,FALSE),"مکانیکی",HLOOKUP(D69,'نمودار مکانیکی'!$B$5:$AJ$6,2,FALSE),"برقی",HLOOKUP(D69,'نمودار تاسیسات برقی'!$B$5:$AK$6,2,FALSE),"خطوط",HLOOKUP(D69,'نمودار خطوط انتقال '!$B$5:$R$6,2,FALSE),"شبکه",HLOOKUP(D69,'نمودار شبکه توزیع آ'!$B$5:$O$6,2,FALSE),"سد",HLOOKUP(D69,'نمودار سدسازی'!$B$5:$P$6,2,FALSE),"فاضلاب",HLOOKUP(D69,'نمودار جمع‌آوری و ا'!$B$5:$S$6,2,FALSE),"تجهیزات",HLOOKUP(D69,'نمودار تجهیزات آب و'!$B$5:$AG$6,2,FALSE),"پست",HLOOKUP(D69,'نمودار پست های انتق'!$B$5:$AH$6,2,FALSE),"نیرو",HLOOKUP(D69,'نمودار توزیع نیرو ب'!$B$5:$AE$6,2,FALSE),FALSE)</f>
        <v>1</v>
      </c>
      <c r="D69" s="28" t="s">
        <v>134</v>
      </c>
      <c r="E69" s="15"/>
      <c r="F69" s="29"/>
      <c r="G69" s="32">
        <v>253.6</v>
      </c>
      <c r="H69" s="32">
        <v>254.1</v>
      </c>
      <c r="I69" s="32">
        <v>254.7</v>
      </c>
      <c r="J69" s="32">
        <v>288.10000000000002</v>
      </c>
      <c r="K69" s="32">
        <v>350</v>
      </c>
      <c r="L69" s="32">
        <v>398.3</v>
      </c>
      <c r="M69" s="32">
        <v>411.6</v>
      </c>
      <c r="N69" s="32">
        <v>412.5</v>
      </c>
      <c r="O69" s="32">
        <v>455.3</v>
      </c>
      <c r="P69" s="32">
        <v>456.4</v>
      </c>
      <c r="Q69" s="32">
        <v>458.4</v>
      </c>
      <c r="R69" s="32">
        <v>460.3</v>
      </c>
      <c r="S69" s="32">
        <v>525.1</v>
      </c>
      <c r="T69" s="32">
        <v>526.4</v>
      </c>
      <c r="U69" s="32">
        <v>512.20000000000005</v>
      </c>
      <c r="V69" s="32">
        <v>513.20000000000005</v>
      </c>
      <c r="W69" s="32">
        <v>536.6</v>
      </c>
      <c r="X69" s="32">
        <v>537.5</v>
      </c>
      <c r="Y69" s="32">
        <v>539.79999999999995</v>
      </c>
      <c r="Z69" s="32">
        <v>540.4</v>
      </c>
      <c r="AA69" s="32">
        <v>561</v>
      </c>
      <c r="AB69" s="32">
        <v>561.9</v>
      </c>
      <c r="AC69" s="32">
        <v>591.6</v>
      </c>
      <c r="AD69" s="32">
        <v>592.29999999999995</v>
      </c>
      <c r="AE69" s="32">
        <v>625.1</v>
      </c>
      <c r="AF69" s="32">
        <v>651.4</v>
      </c>
      <c r="AG69" s="32">
        <v>652.29999999999995</v>
      </c>
      <c r="AH69" s="32">
        <v>678.2</v>
      </c>
      <c r="AI69" s="32">
        <v>849.3</v>
      </c>
      <c r="AJ69" s="32">
        <v>934.2</v>
      </c>
      <c r="AK69" s="32">
        <v>1044.8</v>
      </c>
      <c r="AL69" s="32">
        <v>1091</v>
      </c>
      <c r="AM69" s="32">
        <v>1162.5999999999999</v>
      </c>
      <c r="AN69" s="32">
        <v>1280.8</v>
      </c>
      <c r="AO69" s="32">
        <v>1376.6</v>
      </c>
      <c r="AP69" s="32">
        <v>1486.7</v>
      </c>
      <c r="AQ69" s="32">
        <v>1490.6</v>
      </c>
      <c r="AR69" s="32">
        <v>1516.5</v>
      </c>
      <c r="AS69" s="32">
        <v>1753.4</v>
      </c>
      <c r="AT69" s="32">
        <v>1965.9</v>
      </c>
      <c r="AU69" s="32">
        <v>2044.2</v>
      </c>
      <c r="AV69" s="32">
        <v>2304.9</v>
      </c>
      <c r="AW69" s="32">
        <v>2544.1999999999998</v>
      </c>
      <c r="AX69" s="32">
        <v>2335.1999999999998</v>
      </c>
      <c r="AY69" s="32">
        <v>2702.7</v>
      </c>
      <c r="AZ69" s="32">
        <v>2826.5</v>
      </c>
      <c r="BA69" s="32">
        <v>2828.7</v>
      </c>
      <c r="BB69" s="32">
        <v>2977.4</v>
      </c>
      <c r="BC69" s="32">
        <v>3208.4</v>
      </c>
      <c r="BD69" s="32">
        <v>3377.1</v>
      </c>
      <c r="BE69" s="32">
        <v>3766.6</v>
      </c>
      <c r="BF69" s="32">
        <v>4055.2</v>
      </c>
      <c r="BG69" s="32">
        <v>4317.1000000000004</v>
      </c>
      <c r="BH69" s="32">
        <v>4585.6000000000004</v>
      </c>
      <c r="BI69" s="32">
        <v>5155.7</v>
      </c>
      <c r="BJ69" s="32">
        <v>5184.8</v>
      </c>
      <c r="BK69" s="32">
        <v>5368.5</v>
      </c>
      <c r="BL69" s="32">
        <v>5385.2</v>
      </c>
    </row>
    <row r="70" spans="1:64" ht="20" customHeight="1">
      <c r="A70" s="68">
        <v>66</v>
      </c>
      <c r="B70" s="69" t="s">
        <v>131</v>
      </c>
      <c r="C70" s="70" t="b">
        <f t="array" ref="C70">_xlfn.SWITCH(LEFT(B70,FIND("|",B70)-1),"ابنیه",HLOOKUP(D70,'نمودار ابنیه'!$B$5:$AD$6,2,FALSE),"مکانیکی",HLOOKUP(D70,'نمودار مکانیکی'!$B$5:$AJ$6,2,FALSE),"برقی",HLOOKUP(D70,'نمودار تاسیسات برقی'!$B$5:$AK$6,2,FALSE),"خطوط",HLOOKUP(D70,'نمودار خطوط انتقال '!$B$5:$R$6,2,FALSE),"شبکه",HLOOKUP(D70,'نمودار شبکه توزیع آ'!$B$5:$O$6,2,FALSE),"سد",HLOOKUP(D70,'نمودار سدسازی'!$B$5:$P$6,2,FALSE),"فاضلاب",HLOOKUP(D70,'نمودار جمع‌آوری و ا'!$B$5:$S$6,2,FALSE),"تجهیزات",HLOOKUP(D70,'نمودار تجهیزات آب و'!$B$5:$AG$6,2,FALSE),"پست",HLOOKUP(D70,'نمودار پست های انتق'!$B$5:$AH$6,2,FALSE),"نیرو",HLOOKUP(D70,'نمودار توزیع نیرو ب'!$B$5:$AE$6,2,FALSE),FALSE)</f>
        <v>1</v>
      </c>
      <c r="D70" s="71" t="s">
        <v>135</v>
      </c>
      <c r="E70" s="15"/>
      <c r="F70" s="72"/>
      <c r="G70" s="73">
        <v>230.8</v>
      </c>
      <c r="H70" s="73">
        <v>232.1</v>
      </c>
      <c r="I70" s="73">
        <v>233.8</v>
      </c>
      <c r="J70" s="73">
        <v>275</v>
      </c>
      <c r="K70" s="73">
        <v>325.8</v>
      </c>
      <c r="L70" s="73">
        <v>364.6</v>
      </c>
      <c r="M70" s="73">
        <v>394.2</v>
      </c>
      <c r="N70" s="73">
        <v>396.4</v>
      </c>
      <c r="O70" s="73">
        <v>436.3</v>
      </c>
      <c r="P70" s="73">
        <v>437.9</v>
      </c>
      <c r="Q70" s="73">
        <v>439.7</v>
      </c>
      <c r="R70" s="73">
        <v>441.3</v>
      </c>
      <c r="S70" s="73">
        <v>505.7</v>
      </c>
      <c r="T70" s="73">
        <v>507.4</v>
      </c>
      <c r="U70" s="73">
        <v>490</v>
      </c>
      <c r="V70" s="73">
        <v>490.8</v>
      </c>
      <c r="W70" s="73">
        <v>512.20000000000005</v>
      </c>
      <c r="X70" s="73">
        <v>513</v>
      </c>
      <c r="Y70" s="73">
        <v>519</v>
      </c>
      <c r="Z70" s="73">
        <v>519.29999999999995</v>
      </c>
      <c r="AA70" s="73">
        <v>537.9</v>
      </c>
      <c r="AB70" s="73">
        <v>539</v>
      </c>
      <c r="AC70" s="73">
        <v>578.70000000000005</v>
      </c>
      <c r="AD70" s="73">
        <v>579.5</v>
      </c>
      <c r="AE70" s="73">
        <v>610.4</v>
      </c>
      <c r="AF70" s="73">
        <v>635.29999999999995</v>
      </c>
      <c r="AG70" s="73">
        <v>661.2</v>
      </c>
      <c r="AH70" s="73">
        <v>700.5</v>
      </c>
      <c r="AI70" s="73">
        <v>862.2</v>
      </c>
      <c r="AJ70" s="73">
        <v>943.7</v>
      </c>
      <c r="AK70" s="73">
        <v>1008</v>
      </c>
      <c r="AL70" s="73">
        <v>1076.5999999999999</v>
      </c>
      <c r="AM70" s="73">
        <v>1091.0999999999999</v>
      </c>
      <c r="AN70" s="73">
        <v>1157.7</v>
      </c>
      <c r="AO70" s="73">
        <v>1254.4000000000001</v>
      </c>
      <c r="AP70" s="73">
        <v>1324.5</v>
      </c>
      <c r="AQ70" s="73">
        <v>1334.6</v>
      </c>
      <c r="AR70" s="73">
        <v>1372.9</v>
      </c>
      <c r="AS70" s="73">
        <v>1554.9</v>
      </c>
      <c r="AT70" s="73">
        <v>1748.3</v>
      </c>
      <c r="AU70" s="73">
        <v>1857.3</v>
      </c>
      <c r="AV70" s="73">
        <v>2077.1</v>
      </c>
      <c r="AW70" s="73">
        <v>2040.1</v>
      </c>
      <c r="AX70" s="73">
        <v>2050.8000000000002</v>
      </c>
      <c r="AY70" s="73">
        <v>2373.8000000000002</v>
      </c>
      <c r="AZ70" s="73">
        <v>2496.3000000000002</v>
      </c>
      <c r="BA70" s="73">
        <v>2502.1999999999998</v>
      </c>
      <c r="BB70" s="73">
        <v>2635.2</v>
      </c>
      <c r="BC70" s="73">
        <v>2859.6</v>
      </c>
      <c r="BD70" s="73">
        <v>3028.9</v>
      </c>
      <c r="BE70" s="73">
        <v>3361.4</v>
      </c>
      <c r="BF70" s="73">
        <v>3620.2</v>
      </c>
      <c r="BG70" s="73">
        <v>3781.7</v>
      </c>
      <c r="BH70" s="73">
        <v>4035.2</v>
      </c>
      <c r="BI70" s="73">
        <v>4448.8999999999996</v>
      </c>
      <c r="BJ70" s="73">
        <v>4494.3</v>
      </c>
      <c r="BK70" s="73">
        <v>4646.8999999999996</v>
      </c>
      <c r="BL70" s="73">
        <v>4674.7</v>
      </c>
    </row>
    <row r="71" spans="1:64" ht="20" customHeight="1">
      <c r="A71" s="25">
        <v>67</v>
      </c>
      <c r="B71" s="26" t="s">
        <v>131</v>
      </c>
      <c r="C71" s="27" t="b">
        <f t="array" ref="C71">_xlfn.SWITCH(LEFT(B71,FIND("|",B71)-1),"ابنیه",HLOOKUP(D71,'نمودار ابنیه'!$B$5:$AD$6,2,FALSE),"مکانیکی",HLOOKUP(D71,'نمودار مکانیکی'!$B$5:$AJ$6,2,FALSE),"برقی",HLOOKUP(D71,'نمودار تاسیسات برقی'!$B$5:$AK$6,2,FALSE),"خطوط",HLOOKUP(D71,'نمودار خطوط انتقال '!$B$5:$R$6,2,FALSE),"شبکه",HLOOKUP(D71,'نمودار شبکه توزیع آ'!$B$5:$O$6,2,FALSE),"سد",HLOOKUP(D71,'نمودار سدسازی'!$B$5:$P$6,2,FALSE),"فاضلاب",HLOOKUP(D71,'نمودار جمع‌آوری و ا'!$B$5:$S$6,2,FALSE),"تجهیزات",HLOOKUP(D71,'نمودار تجهیزات آب و'!$B$5:$AG$6,2,FALSE),"پست",HLOOKUP(D71,'نمودار پست های انتق'!$B$5:$AH$6,2,FALSE),"نیرو",HLOOKUP(D71,'نمودار توزیع نیرو ب'!$B$5:$AE$6,2,FALSE),FALSE)</f>
        <v>1</v>
      </c>
      <c r="D71" s="28" t="s">
        <v>136</v>
      </c>
      <c r="E71" s="15"/>
      <c r="F71" s="29"/>
      <c r="G71" s="32">
        <v>238.1</v>
      </c>
      <c r="H71" s="32">
        <v>238.6</v>
      </c>
      <c r="I71" s="32">
        <v>239.1</v>
      </c>
      <c r="J71" s="32">
        <v>275.60000000000002</v>
      </c>
      <c r="K71" s="32">
        <v>330.8</v>
      </c>
      <c r="L71" s="32">
        <v>391.8</v>
      </c>
      <c r="M71" s="32">
        <v>396.3</v>
      </c>
      <c r="N71" s="32">
        <v>409.8</v>
      </c>
      <c r="O71" s="32">
        <v>451.2</v>
      </c>
      <c r="P71" s="32">
        <v>451.9</v>
      </c>
      <c r="Q71" s="32">
        <v>453.2</v>
      </c>
      <c r="R71" s="32">
        <v>454.1</v>
      </c>
      <c r="S71" s="32">
        <v>521.70000000000005</v>
      </c>
      <c r="T71" s="32">
        <v>522.5</v>
      </c>
      <c r="U71" s="32">
        <v>502.3</v>
      </c>
      <c r="V71" s="32">
        <v>502.7</v>
      </c>
      <c r="W71" s="32">
        <v>522.4</v>
      </c>
      <c r="X71" s="32">
        <v>522.9</v>
      </c>
      <c r="Y71" s="32">
        <v>525.70000000000005</v>
      </c>
      <c r="Z71" s="32">
        <v>526</v>
      </c>
      <c r="AA71" s="32">
        <v>553.29999999999995</v>
      </c>
      <c r="AB71" s="32">
        <v>553.9</v>
      </c>
      <c r="AC71" s="32">
        <v>556.70000000000005</v>
      </c>
      <c r="AD71" s="32">
        <v>557</v>
      </c>
      <c r="AE71" s="32">
        <v>586.20000000000005</v>
      </c>
      <c r="AF71" s="32">
        <v>612.20000000000005</v>
      </c>
      <c r="AG71" s="32">
        <v>643.20000000000005</v>
      </c>
      <c r="AH71" s="32">
        <v>684.1</v>
      </c>
      <c r="AI71" s="32">
        <v>886.3</v>
      </c>
      <c r="AJ71" s="32">
        <v>965.4</v>
      </c>
      <c r="AK71" s="32">
        <v>1042.5</v>
      </c>
      <c r="AL71" s="32">
        <v>1118.5</v>
      </c>
      <c r="AM71" s="32">
        <v>1201.4000000000001</v>
      </c>
      <c r="AN71" s="32">
        <v>1329.5</v>
      </c>
      <c r="AO71" s="32">
        <v>1444</v>
      </c>
      <c r="AP71" s="32">
        <v>1548.5</v>
      </c>
      <c r="AQ71" s="32">
        <v>1552.9</v>
      </c>
      <c r="AR71" s="32">
        <v>1593.4</v>
      </c>
      <c r="AS71" s="32">
        <v>1781.4</v>
      </c>
      <c r="AT71" s="32">
        <v>2056.3000000000002</v>
      </c>
      <c r="AU71" s="32">
        <v>2159.4</v>
      </c>
      <c r="AV71" s="32">
        <v>2524.9</v>
      </c>
      <c r="AW71" s="32">
        <v>2452.1</v>
      </c>
      <c r="AX71" s="32">
        <v>2513.3000000000002</v>
      </c>
      <c r="AY71" s="32">
        <v>2866.3</v>
      </c>
      <c r="AZ71" s="32">
        <v>2976.8</v>
      </c>
      <c r="BA71" s="32">
        <v>3143.7</v>
      </c>
      <c r="BB71" s="32">
        <v>3219.6</v>
      </c>
      <c r="BC71" s="32">
        <v>3492.2</v>
      </c>
      <c r="BD71" s="32">
        <v>3718.3</v>
      </c>
      <c r="BE71" s="32">
        <v>4055.4</v>
      </c>
      <c r="BF71" s="32">
        <v>4371.3</v>
      </c>
      <c r="BG71" s="32">
        <v>4580</v>
      </c>
      <c r="BH71" s="32">
        <v>4967.2</v>
      </c>
      <c r="BI71" s="32">
        <v>5684.4</v>
      </c>
      <c r="BJ71" s="32">
        <v>5705</v>
      </c>
      <c r="BK71" s="32">
        <v>5588.5</v>
      </c>
      <c r="BL71" s="32">
        <v>5599.9</v>
      </c>
    </row>
    <row r="72" spans="1:64" ht="20" customHeight="1">
      <c r="A72" s="68">
        <v>68</v>
      </c>
      <c r="B72" s="69" t="s">
        <v>131</v>
      </c>
      <c r="C72" s="70" t="b">
        <f t="array" ref="C72">_xlfn.SWITCH(LEFT(B72,FIND("|",B72)-1),"ابنیه",HLOOKUP(D72,'نمودار ابنیه'!$B$5:$AD$6,2,FALSE),"مکانیکی",HLOOKUP(D72,'نمودار مکانیکی'!$B$5:$AJ$6,2,FALSE),"برقی",HLOOKUP(D72,'نمودار تاسیسات برقی'!$B$5:$AK$6,2,FALSE),"خطوط",HLOOKUP(D72,'نمودار خطوط انتقال '!$B$5:$R$6,2,FALSE),"شبکه",HLOOKUP(D72,'نمودار شبکه توزیع آ'!$B$5:$O$6,2,FALSE),"سد",HLOOKUP(D72,'نمودار سدسازی'!$B$5:$P$6,2,FALSE),"فاضلاب",HLOOKUP(D72,'نمودار جمع‌آوری و ا'!$B$5:$S$6,2,FALSE),"تجهیزات",HLOOKUP(D72,'نمودار تجهیزات آب و'!$B$5:$AG$6,2,FALSE),"پست",HLOOKUP(D72,'نمودار پست های انتق'!$B$5:$AH$6,2,FALSE),"نیرو",HLOOKUP(D72,'نمودار توزیع نیرو ب'!$B$5:$AE$6,2,FALSE),FALSE)</f>
        <v>0</v>
      </c>
      <c r="D72" s="71" t="s">
        <v>137</v>
      </c>
      <c r="E72" s="15"/>
      <c r="F72" s="72"/>
      <c r="G72" s="73">
        <v>362.8</v>
      </c>
      <c r="H72" s="73">
        <v>363.9</v>
      </c>
      <c r="I72" s="73">
        <v>366</v>
      </c>
      <c r="J72" s="73">
        <v>422.4</v>
      </c>
      <c r="K72" s="73">
        <v>493.6</v>
      </c>
      <c r="L72" s="73">
        <v>653.70000000000005</v>
      </c>
      <c r="M72" s="73">
        <v>900.4</v>
      </c>
      <c r="N72" s="73">
        <v>803.8</v>
      </c>
      <c r="O72" s="73">
        <v>888.2</v>
      </c>
      <c r="P72" s="73">
        <v>850.3</v>
      </c>
      <c r="Q72" s="73">
        <v>767.5</v>
      </c>
      <c r="R72" s="73">
        <v>773.2</v>
      </c>
      <c r="S72" s="73">
        <v>868.4</v>
      </c>
      <c r="T72" s="73">
        <v>921.6</v>
      </c>
      <c r="U72" s="73">
        <v>832.6</v>
      </c>
      <c r="V72" s="73">
        <v>836.1</v>
      </c>
      <c r="W72" s="73">
        <v>776</v>
      </c>
      <c r="X72" s="73">
        <v>778.2</v>
      </c>
      <c r="Y72" s="73">
        <v>771.2</v>
      </c>
      <c r="Z72" s="73">
        <v>773.3</v>
      </c>
      <c r="AA72" s="73">
        <v>776.9</v>
      </c>
      <c r="AB72" s="73">
        <v>779.4</v>
      </c>
      <c r="AC72" s="73">
        <v>866.1</v>
      </c>
      <c r="AD72" s="73">
        <v>906.2</v>
      </c>
      <c r="AE72" s="73">
        <v>998.9</v>
      </c>
      <c r="AF72" s="73">
        <v>1050</v>
      </c>
      <c r="AG72" s="73">
        <v>1091.5999999999999</v>
      </c>
      <c r="AH72" s="73">
        <v>1169.3</v>
      </c>
      <c r="AI72" s="73">
        <v>1388.9</v>
      </c>
      <c r="AJ72" s="73">
        <v>1424.9</v>
      </c>
      <c r="AK72" s="73">
        <v>1656.3</v>
      </c>
      <c r="AL72" s="73">
        <v>1882.5</v>
      </c>
      <c r="AM72" s="73">
        <v>1806</v>
      </c>
      <c r="AN72" s="73">
        <v>1633.4</v>
      </c>
      <c r="AO72" s="73">
        <v>2102.1999999999998</v>
      </c>
      <c r="AP72" s="73">
        <v>2084.1999999999998</v>
      </c>
      <c r="AQ72" s="73">
        <v>2066.3000000000002</v>
      </c>
      <c r="AR72" s="73">
        <v>2142.6</v>
      </c>
      <c r="AS72" s="73">
        <v>2417.8000000000002</v>
      </c>
      <c r="AT72" s="73">
        <v>2997</v>
      </c>
      <c r="AU72" s="73">
        <v>3231.6</v>
      </c>
      <c r="AV72" s="73">
        <v>3529.2</v>
      </c>
      <c r="AW72" s="73">
        <v>3991.8</v>
      </c>
      <c r="AX72" s="73">
        <v>4526.2</v>
      </c>
      <c r="AY72" s="73">
        <v>4946.8999999999996</v>
      </c>
      <c r="AZ72" s="73">
        <v>4956.8</v>
      </c>
      <c r="BA72" s="73">
        <v>5485.9</v>
      </c>
      <c r="BB72" s="73">
        <v>5714.1</v>
      </c>
      <c r="BC72" s="73">
        <v>6135.1</v>
      </c>
      <c r="BD72" s="73">
        <v>6150.6</v>
      </c>
      <c r="BE72" s="73">
        <v>6752.8</v>
      </c>
      <c r="BF72" s="73">
        <v>7161.1</v>
      </c>
      <c r="BG72" s="73">
        <v>8384</v>
      </c>
      <c r="BH72" s="73">
        <v>8749.2000000000007</v>
      </c>
      <c r="BI72" s="73">
        <v>9033.4</v>
      </c>
      <c r="BJ72" s="73">
        <v>9006.2999999999993</v>
      </c>
      <c r="BK72" s="73">
        <v>9382.7000000000007</v>
      </c>
      <c r="BL72" s="73">
        <v>10038.200000000001</v>
      </c>
    </row>
    <row r="73" spans="1:64" ht="20" customHeight="1">
      <c r="A73" s="25">
        <v>69</v>
      </c>
      <c r="B73" s="26" t="s">
        <v>131</v>
      </c>
      <c r="C73" s="27" t="b">
        <f t="array" ref="C73">_xlfn.SWITCH(LEFT(B73,FIND("|",B73)-1),"ابنیه",HLOOKUP(D73,'نمودار ابنیه'!$B$5:$AD$6,2,FALSE),"مکانیکی",HLOOKUP(D73,'نمودار مکانیکی'!$B$5:$AJ$6,2,FALSE),"برقی",HLOOKUP(D73,'نمودار تاسیسات برقی'!$B$5:$AK$6,2,FALSE),"خطوط",HLOOKUP(D73,'نمودار خطوط انتقال '!$B$5:$R$6,2,FALSE),"شبکه",HLOOKUP(D73,'نمودار شبکه توزیع آ'!$B$5:$O$6,2,FALSE),"سد",HLOOKUP(D73,'نمودار سدسازی'!$B$5:$P$6,2,FALSE),"فاضلاب",HLOOKUP(D73,'نمودار جمع‌آوری و ا'!$B$5:$S$6,2,FALSE),"تجهیزات",HLOOKUP(D73,'نمودار تجهیزات آب و'!$B$5:$AG$6,2,FALSE),"پست",HLOOKUP(D73,'نمودار پست های انتق'!$B$5:$AH$6,2,FALSE),"نیرو",HLOOKUP(D73,'نمودار توزیع نیرو ب'!$B$5:$AE$6,2,FALSE),FALSE)</f>
        <v>0</v>
      </c>
      <c r="D73" s="28" t="s">
        <v>138</v>
      </c>
      <c r="E73" s="15"/>
      <c r="F73" s="29"/>
      <c r="G73" s="32">
        <v>416.7</v>
      </c>
      <c r="H73" s="32">
        <v>424.3</v>
      </c>
      <c r="I73" s="32">
        <v>424.8</v>
      </c>
      <c r="J73" s="32">
        <v>490.9</v>
      </c>
      <c r="K73" s="32">
        <v>569</v>
      </c>
      <c r="L73" s="32">
        <v>704.5</v>
      </c>
      <c r="M73" s="32">
        <v>897.2</v>
      </c>
      <c r="N73" s="32">
        <v>866</v>
      </c>
      <c r="O73" s="32">
        <v>860</v>
      </c>
      <c r="P73" s="32">
        <v>791.1</v>
      </c>
      <c r="Q73" s="32">
        <v>756.2</v>
      </c>
      <c r="R73" s="32">
        <v>775.6</v>
      </c>
      <c r="S73" s="32">
        <v>798.7</v>
      </c>
      <c r="T73" s="32">
        <v>865.1</v>
      </c>
      <c r="U73" s="32">
        <v>868.1</v>
      </c>
      <c r="V73" s="32">
        <v>868.5</v>
      </c>
      <c r="W73" s="32">
        <v>880.7</v>
      </c>
      <c r="X73" s="32">
        <v>881.1</v>
      </c>
      <c r="Y73" s="32">
        <v>740.9</v>
      </c>
      <c r="Z73" s="32">
        <v>741.2</v>
      </c>
      <c r="AA73" s="32">
        <v>740.4</v>
      </c>
      <c r="AB73" s="32">
        <v>740.9</v>
      </c>
      <c r="AC73" s="32">
        <v>845.5</v>
      </c>
      <c r="AD73" s="32">
        <v>896</v>
      </c>
      <c r="AE73" s="32">
        <v>1009.5</v>
      </c>
      <c r="AF73" s="32">
        <v>1030.8</v>
      </c>
      <c r="AG73" s="32">
        <v>1108.2</v>
      </c>
      <c r="AH73" s="32">
        <v>1218.3</v>
      </c>
      <c r="AI73" s="32">
        <v>1459.9</v>
      </c>
      <c r="AJ73" s="32">
        <v>1819</v>
      </c>
      <c r="AK73" s="32">
        <v>1839.8</v>
      </c>
      <c r="AL73" s="32">
        <v>2206.6999999999998</v>
      </c>
      <c r="AM73" s="32">
        <v>2313</v>
      </c>
      <c r="AN73" s="32">
        <v>2058.6</v>
      </c>
      <c r="AO73" s="32">
        <v>2568</v>
      </c>
      <c r="AP73" s="32">
        <v>2504.6</v>
      </c>
      <c r="AQ73" s="32">
        <v>2480.9</v>
      </c>
      <c r="AR73" s="32">
        <v>2590.8000000000002</v>
      </c>
      <c r="AS73" s="32">
        <v>2853.4</v>
      </c>
      <c r="AT73" s="32">
        <v>3690.8</v>
      </c>
      <c r="AU73" s="32">
        <v>4041.5</v>
      </c>
      <c r="AV73" s="32">
        <v>4545.5</v>
      </c>
      <c r="AW73" s="32">
        <v>6138.6</v>
      </c>
      <c r="AX73" s="32">
        <v>6841</v>
      </c>
      <c r="AY73" s="32">
        <v>7216</v>
      </c>
      <c r="AZ73" s="32">
        <v>7227</v>
      </c>
      <c r="BA73" s="32">
        <v>7898.9</v>
      </c>
      <c r="BB73" s="32">
        <v>8505.4</v>
      </c>
      <c r="BC73" s="32">
        <v>8719.7000000000007</v>
      </c>
      <c r="BD73" s="32">
        <v>8773.4</v>
      </c>
      <c r="BE73" s="32">
        <v>9868.4</v>
      </c>
      <c r="BF73" s="32">
        <v>10109.9</v>
      </c>
      <c r="BG73" s="32">
        <v>12372.6</v>
      </c>
      <c r="BH73" s="32">
        <v>12481.5</v>
      </c>
      <c r="BI73" s="32">
        <v>12297.7</v>
      </c>
      <c r="BJ73" s="32">
        <v>12145.4</v>
      </c>
      <c r="BK73" s="32">
        <v>12811.7</v>
      </c>
      <c r="BL73" s="32">
        <v>13798</v>
      </c>
    </row>
    <row r="74" spans="1:64" ht="20" customHeight="1">
      <c r="A74" s="68">
        <v>70</v>
      </c>
      <c r="B74" s="69" t="s">
        <v>131</v>
      </c>
      <c r="C74" s="70" t="b">
        <f t="array" ref="C74">_xlfn.SWITCH(LEFT(B74,FIND("|",B74)-1),"ابنیه",HLOOKUP(D74,'نمودار ابنیه'!$B$5:$AD$6,2,FALSE),"مکانیکی",HLOOKUP(D74,'نمودار مکانیکی'!$B$5:$AJ$6,2,FALSE),"برقی",HLOOKUP(D74,'نمودار تاسیسات برقی'!$B$5:$AK$6,2,FALSE),"خطوط",HLOOKUP(D74,'نمودار خطوط انتقال '!$B$5:$R$6,2,FALSE),"شبکه",HLOOKUP(D74,'نمودار شبکه توزیع آ'!$B$5:$O$6,2,FALSE),"سد",HLOOKUP(D74,'نمودار سدسازی'!$B$5:$P$6,2,FALSE),"فاضلاب",HLOOKUP(D74,'نمودار جمع‌آوری و ا'!$B$5:$S$6,2,FALSE),"تجهیزات",HLOOKUP(D74,'نمودار تجهیزات آب و'!$B$5:$AG$6,2,FALSE),"پست",HLOOKUP(D74,'نمودار پست های انتق'!$B$5:$AH$6,2,FALSE),"نیرو",HLOOKUP(D74,'نمودار توزیع نیرو ب'!$B$5:$AE$6,2,FALSE),FALSE)</f>
        <v>0</v>
      </c>
      <c r="D74" s="71" t="s">
        <v>139</v>
      </c>
      <c r="E74" s="15"/>
      <c r="F74" s="72"/>
      <c r="G74" s="73">
        <v>386.2</v>
      </c>
      <c r="H74" s="73">
        <v>389.2</v>
      </c>
      <c r="I74" s="73">
        <v>394.3</v>
      </c>
      <c r="J74" s="73">
        <v>426.9</v>
      </c>
      <c r="K74" s="73">
        <v>474.7</v>
      </c>
      <c r="L74" s="73">
        <v>510.1</v>
      </c>
      <c r="M74" s="73">
        <v>587</v>
      </c>
      <c r="N74" s="73">
        <v>593.4</v>
      </c>
      <c r="O74" s="73">
        <v>651.1</v>
      </c>
      <c r="P74" s="73">
        <v>658.5</v>
      </c>
      <c r="Q74" s="73">
        <v>635.29999999999995</v>
      </c>
      <c r="R74" s="73">
        <v>649.4</v>
      </c>
      <c r="S74" s="73">
        <v>735.9</v>
      </c>
      <c r="T74" s="73">
        <v>745.1</v>
      </c>
      <c r="U74" s="73">
        <v>754.6</v>
      </c>
      <c r="V74" s="73">
        <v>762.8</v>
      </c>
      <c r="W74" s="73">
        <v>820.1</v>
      </c>
      <c r="X74" s="73">
        <v>826</v>
      </c>
      <c r="Y74" s="73">
        <v>832.3</v>
      </c>
      <c r="Z74" s="73">
        <v>837.5</v>
      </c>
      <c r="AA74" s="73">
        <v>862.4</v>
      </c>
      <c r="AB74" s="73">
        <v>868.9</v>
      </c>
      <c r="AC74" s="73">
        <v>914.8</v>
      </c>
      <c r="AD74" s="73">
        <v>920.7</v>
      </c>
      <c r="AE74" s="73">
        <v>1034.2</v>
      </c>
      <c r="AF74" s="73">
        <v>1042.0999999999999</v>
      </c>
      <c r="AG74" s="73">
        <v>1041.8</v>
      </c>
      <c r="AH74" s="73">
        <v>1055.5999999999999</v>
      </c>
      <c r="AI74" s="73">
        <v>1202.8</v>
      </c>
      <c r="AJ74" s="73">
        <v>1286.3</v>
      </c>
      <c r="AK74" s="73">
        <v>1347.1</v>
      </c>
      <c r="AL74" s="73">
        <v>1438.2</v>
      </c>
      <c r="AM74" s="73">
        <v>1409.7</v>
      </c>
      <c r="AN74" s="73">
        <v>1428.3</v>
      </c>
      <c r="AO74" s="73">
        <v>1817.6</v>
      </c>
      <c r="AP74" s="73">
        <v>1865.2</v>
      </c>
      <c r="AQ74" s="73">
        <v>1812.1</v>
      </c>
      <c r="AR74" s="73">
        <v>1876.5</v>
      </c>
      <c r="AS74" s="73">
        <v>2268.6999999999998</v>
      </c>
      <c r="AT74" s="73">
        <v>2525.6999999999998</v>
      </c>
      <c r="AU74" s="73">
        <v>2613.4</v>
      </c>
      <c r="AV74" s="73">
        <v>2690</v>
      </c>
      <c r="AW74" s="73">
        <v>3255.2</v>
      </c>
      <c r="AX74" s="73">
        <v>3385.8</v>
      </c>
      <c r="AY74" s="73">
        <v>4025.1</v>
      </c>
      <c r="AZ74" s="73">
        <v>4155.6000000000004</v>
      </c>
      <c r="BA74" s="73">
        <v>4413.8999999999996</v>
      </c>
      <c r="BB74" s="73">
        <v>4485.1000000000004</v>
      </c>
      <c r="BC74" s="73">
        <v>5416.2</v>
      </c>
      <c r="BD74" s="73">
        <v>5489.7</v>
      </c>
      <c r="BE74" s="73">
        <v>5784.8</v>
      </c>
      <c r="BF74" s="73">
        <v>6110.5</v>
      </c>
      <c r="BG74" s="73">
        <v>6249</v>
      </c>
      <c r="BH74" s="73">
        <v>6441.7</v>
      </c>
      <c r="BI74" s="73">
        <v>7276.3</v>
      </c>
      <c r="BJ74" s="73">
        <v>7396</v>
      </c>
      <c r="BK74" s="73">
        <v>8010.9</v>
      </c>
      <c r="BL74" s="73">
        <v>8347.6</v>
      </c>
    </row>
    <row r="75" spans="1:64" ht="20" customHeight="1">
      <c r="A75" s="25">
        <v>71</v>
      </c>
      <c r="B75" s="26" t="s">
        <v>131</v>
      </c>
      <c r="C75" s="27" t="b">
        <f t="array" ref="C75">_xlfn.SWITCH(LEFT(B75,FIND("|",B75)-1),"ابنیه",HLOOKUP(D75,'نمودار ابنیه'!$B$5:$AD$6,2,FALSE),"مکانیکی",HLOOKUP(D75,'نمودار مکانیکی'!$B$5:$AJ$6,2,FALSE),"برقی",HLOOKUP(D75,'نمودار تاسیسات برقی'!$B$5:$AK$6,2,FALSE),"خطوط",HLOOKUP(D75,'نمودار خطوط انتقال '!$B$5:$R$6,2,FALSE),"شبکه",HLOOKUP(D75,'نمودار شبکه توزیع آ'!$B$5:$O$6,2,FALSE),"سد",HLOOKUP(D75,'نمودار سدسازی'!$B$5:$P$6,2,FALSE),"فاضلاب",HLOOKUP(D75,'نمودار جمع‌آوری و ا'!$B$5:$S$6,2,FALSE),"تجهیزات",HLOOKUP(D75,'نمودار تجهیزات آب و'!$B$5:$AG$6,2,FALSE),"پست",HLOOKUP(D75,'نمودار پست های انتق'!$B$5:$AH$6,2,FALSE),"نیرو",HLOOKUP(D75,'نمودار توزیع نیرو ب'!$B$5:$AE$6,2,FALSE),FALSE)</f>
        <v>0</v>
      </c>
      <c r="D75" s="28" t="s">
        <v>140</v>
      </c>
      <c r="E75" s="15"/>
      <c r="F75" s="29"/>
      <c r="G75" s="32">
        <v>278</v>
      </c>
      <c r="H75" s="32">
        <v>283.3</v>
      </c>
      <c r="I75" s="32">
        <v>284</v>
      </c>
      <c r="J75" s="32">
        <v>329.2</v>
      </c>
      <c r="K75" s="32">
        <v>376.9</v>
      </c>
      <c r="L75" s="32">
        <v>450.7</v>
      </c>
      <c r="M75" s="32">
        <v>583.9</v>
      </c>
      <c r="N75" s="32">
        <v>574.1</v>
      </c>
      <c r="O75" s="32">
        <v>563.9</v>
      </c>
      <c r="P75" s="32">
        <v>527.6</v>
      </c>
      <c r="Q75" s="32">
        <v>570.20000000000005</v>
      </c>
      <c r="R75" s="32">
        <v>571.79999999999995</v>
      </c>
      <c r="S75" s="32">
        <v>585.20000000000005</v>
      </c>
      <c r="T75" s="32">
        <v>586.29999999999995</v>
      </c>
      <c r="U75" s="32">
        <v>634</v>
      </c>
      <c r="V75" s="32">
        <v>635</v>
      </c>
      <c r="W75" s="32">
        <v>641.79999999999995</v>
      </c>
      <c r="X75" s="32">
        <v>642.4</v>
      </c>
      <c r="Y75" s="32">
        <v>556.1</v>
      </c>
      <c r="Z75" s="32">
        <v>556.70000000000005</v>
      </c>
      <c r="AA75" s="32">
        <v>544.4</v>
      </c>
      <c r="AB75" s="32">
        <v>545.20000000000005</v>
      </c>
      <c r="AC75" s="32">
        <v>622.1</v>
      </c>
      <c r="AD75" s="32">
        <v>657.4</v>
      </c>
      <c r="AE75" s="32">
        <v>699</v>
      </c>
      <c r="AF75" s="32">
        <v>734.3</v>
      </c>
      <c r="AG75" s="32">
        <v>809.8</v>
      </c>
      <c r="AH75" s="32">
        <v>879</v>
      </c>
      <c r="AI75" s="32">
        <v>1187.2</v>
      </c>
      <c r="AJ75" s="32">
        <v>1232.2</v>
      </c>
      <c r="AK75" s="32">
        <v>1349.7</v>
      </c>
      <c r="AL75" s="32">
        <v>1582.5</v>
      </c>
      <c r="AM75" s="32">
        <v>1498.6</v>
      </c>
      <c r="AN75" s="32">
        <v>1338.7</v>
      </c>
      <c r="AO75" s="32">
        <v>1614.9</v>
      </c>
      <c r="AP75" s="32">
        <v>1569.3</v>
      </c>
      <c r="AQ75" s="32">
        <v>1597.6</v>
      </c>
      <c r="AR75" s="32">
        <v>1734.5</v>
      </c>
      <c r="AS75" s="32">
        <v>1868.3</v>
      </c>
      <c r="AT75" s="32">
        <v>2425.6</v>
      </c>
      <c r="AU75" s="32">
        <v>2708.1</v>
      </c>
      <c r="AV75" s="32">
        <v>2923.7</v>
      </c>
      <c r="AW75" s="32">
        <v>3573.9</v>
      </c>
      <c r="AX75" s="32">
        <v>3872.4</v>
      </c>
      <c r="AY75" s="32">
        <v>4160.1000000000004</v>
      </c>
      <c r="AZ75" s="32">
        <v>4363.2</v>
      </c>
      <c r="BA75" s="32">
        <v>4724.5</v>
      </c>
      <c r="BB75" s="32">
        <v>4835.6000000000004</v>
      </c>
      <c r="BC75" s="32">
        <v>5165.3</v>
      </c>
      <c r="BD75" s="32">
        <v>5031.3</v>
      </c>
      <c r="BE75" s="32">
        <v>5541.6</v>
      </c>
      <c r="BF75" s="32">
        <v>6424.4</v>
      </c>
      <c r="BG75" s="32">
        <v>7597.9</v>
      </c>
      <c r="BH75" s="32">
        <v>8049.3</v>
      </c>
      <c r="BI75" s="32">
        <v>8083.7</v>
      </c>
      <c r="BJ75" s="32">
        <v>8104.6</v>
      </c>
      <c r="BK75" s="32">
        <v>8881.1</v>
      </c>
      <c r="BL75" s="32">
        <v>9580</v>
      </c>
    </row>
    <row r="76" spans="1:64" ht="20" customHeight="1">
      <c r="A76" s="68">
        <v>72</v>
      </c>
      <c r="B76" s="69" t="s">
        <v>131</v>
      </c>
      <c r="C76" s="70" t="b">
        <f t="array" ref="C76">_xlfn.SWITCH(LEFT(B76,FIND("|",B76)-1),"ابنیه",HLOOKUP(D76,'نمودار ابنیه'!$B$5:$AD$6,2,FALSE),"مکانیکی",HLOOKUP(D76,'نمودار مکانیکی'!$B$5:$AJ$6,2,FALSE),"برقی",HLOOKUP(D76,'نمودار تاسیسات برقی'!$B$5:$AK$6,2,FALSE),"خطوط",HLOOKUP(D76,'نمودار خطوط انتقال '!$B$5:$R$6,2,FALSE),"شبکه",HLOOKUP(D76,'نمودار شبکه توزیع آ'!$B$5:$O$6,2,FALSE),"سد",HLOOKUP(D76,'نمودار سدسازی'!$B$5:$P$6,2,FALSE),"فاضلاب",HLOOKUP(D76,'نمودار جمع‌آوری و ا'!$B$5:$S$6,2,FALSE),"تجهیزات",HLOOKUP(D76,'نمودار تجهیزات آب و'!$B$5:$AG$6,2,FALSE),"پست",HLOOKUP(D76,'نمودار پست های انتق'!$B$5:$AH$6,2,FALSE),"نیرو",HLOOKUP(D76,'نمودار توزیع نیرو ب'!$B$5:$AE$6,2,FALSE),FALSE)</f>
        <v>0</v>
      </c>
      <c r="D76" s="71" t="s">
        <v>141</v>
      </c>
      <c r="E76" s="15"/>
      <c r="F76" s="72"/>
      <c r="G76" s="73">
        <v>187.9</v>
      </c>
      <c r="H76" s="73">
        <v>189.1</v>
      </c>
      <c r="I76" s="73">
        <v>191.3</v>
      </c>
      <c r="J76" s="73">
        <v>200.8</v>
      </c>
      <c r="K76" s="73">
        <v>219.9</v>
      </c>
      <c r="L76" s="73">
        <v>232.8</v>
      </c>
      <c r="M76" s="73">
        <v>240.7</v>
      </c>
      <c r="N76" s="73">
        <v>251.7</v>
      </c>
      <c r="O76" s="73">
        <v>281.3</v>
      </c>
      <c r="P76" s="73">
        <v>324.5</v>
      </c>
      <c r="Q76" s="73">
        <v>331.3</v>
      </c>
      <c r="R76" s="73">
        <v>337.5</v>
      </c>
      <c r="S76" s="73">
        <v>365</v>
      </c>
      <c r="T76" s="73">
        <v>368.8</v>
      </c>
      <c r="U76" s="73">
        <v>385.9</v>
      </c>
      <c r="V76" s="73">
        <v>389.6</v>
      </c>
      <c r="W76" s="73">
        <v>414.5</v>
      </c>
      <c r="X76" s="73">
        <v>417</v>
      </c>
      <c r="Y76" s="73">
        <v>419.5</v>
      </c>
      <c r="Z76" s="73">
        <v>421.7</v>
      </c>
      <c r="AA76" s="73">
        <v>418.2</v>
      </c>
      <c r="AB76" s="73">
        <v>420.9</v>
      </c>
      <c r="AC76" s="73">
        <v>458.3</v>
      </c>
      <c r="AD76" s="73">
        <v>460.9</v>
      </c>
      <c r="AE76" s="73">
        <v>502.6</v>
      </c>
      <c r="AF76" s="73">
        <v>505.8</v>
      </c>
      <c r="AG76" s="73">
        <v>526.29999999999995</v>
      </c>
      <c r="AH76" s="73">
        <v>534.20000000000005</v>
      </c>
      <c r="AI76" s="73">
        <v>606.4</v>
      </c>
      <c r="AJ76" s="73">
        <v>686.7</v>
      </c>
      <c r="AK76" s="73">
        <v>784.5</v>
      </c>
      <c r="AL76" s="73">
        <v>913.7</v>
      </c>
      <c r="AM76" s="73">
        <v>909.8</v>
      </c>
      <c r="AN76" s="73">
        <v>917.1</v>
      </c>
      <c r="AO76" s="73">
        <v>1204.7</v>
      </c>
      <c r="AP76" s="73">
        <v>1225.0999999999999</v>
      </c>
      <c r="AQ76" s="73">
        <v>1113.9000000000001</v>
      </c>
      <c r="AR76" s="73">
        <v>1122.4000000000001</v>
      </c>
      <c r="AS76" s="73">
        <v>1340.4</v>
      </c>
      <c r="AT76" s="73">
        <v>1518.5</v>
      </c>
      <c r="AU76" s="73">
        <v>1596.5</v>
      </c>
      <c r="AV76" s="73">
        <v>1660.3</v>
      </c>
      <c r="AW76" s="73">
        <v>1549.2</v>
      </c>
      <c r="AX76" s="73">
        <v>1596.7</v>
      </c>
      <c r="AY76" s="73">
        <v>1875.7</v>
      </c>
      <c r="AZ76" s="73">
        <v>1927.5</v>
      </c>
      <c r="BA76" s="73">
        <v>2063.4</v>
      </c>
      <c r="BB76" s="73">
        <v>2097.6999999999998</v>
      </c>
      <c r="BC76" s="73">
        <v>2615.9</v>
      </c>
      <c r="BD76" s="73">
        <v>2708.3</v>
      </c>
      <c r="BE76" s="73">
        <v>2720.9</v>
      </c>
      <c r="BF76" s="73">
        <v>2842.6</v>
      </c>
      <c r="BG76" s="73">
        <v>2862.4</v>
      </c>
      <c r="BH76" s="73">
        <v>3056.3</v>
      </c>
      <c r="BI76" s="73">
        <v>3588</v>
      </c>
      <c r="BJ76" s="73">
        <v>3642.7</v>
      </c>
      <c r="BK76" s="73">
        <v>3885.4</v>
      </c>
      <c r="BL76" s="73">
        <v>3940.4</v>
      </c>
    </row>
    <row r="77" spans="1:64" ht="20" customHeight="1">
      <c r="A77" s="25">
        <v>73</v>
      </c>
      <c r="B77" s="26" t="s">
        <v>131</v>
      </c>
      <c r="C77" s="27" t="b">
        <f t="array" ref="C77">_xlfn.SWITCH(LEFT(B77,FIND("|",B77)-1),"ابنیه",HLOOKUP(D77,'نمودار ابنیه'!$B$5:$AD$6,2,FALSE),"مکانیکی",HLOOKUP(D77,'نمودار مکانیکی'!$B$5:$AJ$6,2,FALSE),"برقی",HLOOKUP(D77,'نمودار تاسیسات برقی'!$B$5:$AK$6,2,FALSE),"خطوط",HLOOKUP(D77,'نمودار خطوط انتقال '!$B$5:$R$6,2,FALSE),"شبکه",HLOOKUP(D77,'نمودار شبکه توزیع آ'!$B$5:$O$6,2,FALSE),"سد",HLOOKUP(D77,'نمودار سدسازی'!$B$5:$P$6,2,FALSE),"فاضلاب",HLOOKUP(D77,'نمودار جمع‌آوری و ا'!$B$5:$S$6,2,FALSE),"تجهیزات",HLOOKUP(D77,'نمودار تجهیزات آب و'!$B$5:$AG$6,2,FALSE),"پست",HLOOKUP(D77,'نمودار پست های انتق'!$B$5:$AH$6,2,FALSE),"نیرو",HLOOKUP(D77,'نمودار توزیع نیرو ب'!$B$5:$AE$6,2,FALSE),FALSE)</f>
        <v>0</v>
      </c>
      <c r="D77" s="28" t="s">
        <v>142</v>
      </c>
      <c r="E77" s="15"/>
      <c r="F77" s="29"/>
      <c r="G77" s="32">
        <v>318.39999999999998</v>
      </c>
      <c r="H77" s="32">
        <v>319.89999999999998</v>
      </c>
      <c r="I77" s="32">
        <v>322.89999999999998</v>
      </c>
      <c r="J77" s="32">
        <v>325.10000000000002</v>
      </c>
      <c r="K77" s="32">
        <v>343.3</v>
      </c>
      <c r="L77" s="32">
        <v>379.4</v>
      </c>
      <c r="M77" s="32">
        <v>433.4</v>
      </c>
      <c r="N77" s="32">
        <v>436.7</v>
      </c>
      <c r="O77" s="32">
        <v>472.9</v>
      </c>
      <c r="P77" s="32">
        <v>477</v>
      </c>
      <c r="Q77" s="32">
        <v>479.3</v>
      </c>
      <c r="R77" s="32">
        <v>493.8</v>
      </c>
      <c r="S77" s="32">
        <v>535.1</v>
      </c>
      <c r="T77" s="32">
        <v>540.20000000000005</v>
      </c>
      <c r="U77" s="32">
        <v>544.29999999999995</v>
      </c>
      <c r="V77" s="32">
        <v>549.29999999999995</v>
      </c>
      <c r="W77" s="32">
        <v>583.29999999999995</v>
      </c>
      <c r="X77" s="32">
        <v>586.4</v>
      </c>
      <c r="Y77" s="32">
        <v>585.29999999999995</v>
      </c>
      <c r="Z77" s="32">
        <v>588.29999999999995</v>
      </c>
      <c r="AA77" s="32">
        <v>629.70000000000005</v>
      </c>
      <c r="AB77" s="32">
        <v>633.20000000000005</v>
      </c>
      <c r="AC77" s="32">
        <v>636.79999999999995</v>
      </c>
      <c r="AD77" s="32">
        <v>640.29999999999995</v>
      </c>
      <c r="AE77" s="32">
        <v>735.9</v>
      </c>
      <c r="AF77" s="32">
        <v>739.9</v>
      </c>
      <c r="AG77" s="32">
        <v>758.1</v>
      </c>
      <c r="AH77" s="32">
        <v>762.6</v>
      </c>
      <c r="AI77" s="32">
        <v>1029.0999999999999</v>
      </c>
      <c r="AJ77" s="32">
        <v>1073.3</v>
      </c>
      <c r="AK77" s="32">
        <v>1110.0999999999999</v>
      </c>
      <c r="AL77" s="32">
        <v>1297.0999999999999</v>
      </c>
      <c r="AM77" s="32">
        <v>1228.4000000000001</v>
      </c>
      <c r="AN77" s="32">
        <v>1237.5999999999999</v>
      </c>
      <c r="AO77" s="32">
        <v>1489.5</v>
      </c>
      <c r="AP77" s="32">
        <v>1516.6</v>
      </c>
      <c r="AQ77" s="32">
        <v>1578.8</v>
      </c>
      <c r="AR77" s="32">
        <v>1608.9</v>
      </c>
      <c r="AS77" s="32">
        <v>1826.8</v>
      </c>
      <c r="AT77" s="32">
        <v>2059.8000000000002</v>
      </c>
      <c r="AU77" s="32">
        <v>2201.5</v>
      </c>
      <c r="AV77" s="32">
        <v>2335.1</v>
      </c>
      <c r="AW77" s="32">
        <v>2382.4</v>
      </c>
      <c r="AX77" s="32">
        <v>2741.2</v>
      </c>
      <c r="AY77" s="32">
        <v>3236.9</v>
      </c>
      <c r="AZ77" s="32">
        <v>3336</v>
      </c>
      <c r="BA77" s="32">
        <v>3488</v>
      </c>
      <c r="BB77" s="32">
        <v>3506.2</v>
      </c>
      <c r="BC77" s="32">
        <v>4121.1000000000004</v>
      </c>
      <c r="BD77" s="32">
        <v>4158.3</v>
      </c>
      <c r="BE77" s="32">
        <v>4454.8999999999996</v>
      </c>
      <c r="BF77" s="32">
        <v>4765.6000000000004</v>
      </c>
      <c r="BG77" s="32">
        <v>4774.6000000000004</v>
      </c>
      <c r="BH77" s="32">
        <v>4875.3</v>
      </c>
      <c r="BI77" s="32">
        <v>5911.7</v>
      </c>
      <c r="BJ77" s="32">
        <v>5999.9</v>
      </c>
      <c r="BK77" s="32">
        <v>6310.9</v>
      </c>
      <c r="BL77" s="32">
        <v>6417.4</v>
      </c>
    </row>
    <row r="78" spans="1:64" ht="20" customHeight="1">
      <c r="A78" s="68">
        <v>74</v>
      </c>
      <c r="B78" s="69" t="s">
        <v>131</v>
      </c>
      <c r="C78" s="70" t="b">
        <f t="array" ref="C78">_xlfn.SWITCH(LEFT(B78,FIND("|",B78)-1),"ابنیه",HLOOKUP(D78,'نمودار ابنیه'!$B$5:$AD$6,2,FALSE),"مکانیکی",HLOOKUP(D78,'نمودار مکانیکی'!$B$5:$AJ$6,2,FALSE),"برقی",HLOOKUP(D78,'نمودار تاسیسات برقی'!$B$5:$AK$6,2,FALSE),"خطوط",HLOOKUP(D78,'نمودار خطوط انتقال '!$B$5:$R$6,2,FALSE),"شبکه",HLOOKUP(D78,'نمودار شبکه توزیع آ'!$B$5:$O$6,2,FALSE),"سد",HLOOKUP(D78,'نمودار سدسازی'!$B$5:$P$6,2,FALSE),"فاضلاب",HLOOKUP(D78,'نمودار جمع‌آوری و ا'!$B$5:$S$6,2,FALSE),"تجهیزات",HLOOKUP(D78,'نمودار تجهیزات آب و'!$B$5:$AG$6,2,FALSE),"پست",HLOOKUP(D78,'نمودار پست های انتق'!$B$5:$AH$6,2,FALSE),"نیرو",HLOOKUP(D78,'نمودار توزیع نیرو ب'!$B$5:$AE$6,2,FALSE),FALSE)</f>
        <v>0</v>
      </c>
      <c r="D78" s="71" t="s">
        <v>98</v>
      </c>
      <c r="E78" s="15"/>
      <c r="F78" s="72"/>
      <c r="G78" s="73">
        <v>302.89999999999998</v>
      </c>
      <c r="H78" s="73">
        <v>305.89999999999998</v>
      </c>
      <c r="I78" s="73">
        <v>316.7</v>
      </c>
      <c r="J78" s="73">
        <v>327</v>
      </c>
      <c r="K78" s="73">
        <v>375.8</v>
      </c>
      <c r="L78" s="73">
        <v>408.1</v>
      </c>
      <c r="M78" s="73">
        <v>489</v>
      </c>
      <c r="N78" s="73">
        <v>494.4</v>
      </c>
      <c r="O78" s="73">
        <v>524.9</v>
      </c>
      <c r="P78" s="73">
        <v>528.1</v>
      </c>
      <c r="Q78" s="73">
        <v>535.1</v>
      </c>
      <c r="R78" s="73">
        <v>541.4</v>
      </c>
      <c r="S78" s="73">
        <v>584.9</v>
      </c>
      <c r="T78" s="73">
        <v>564.6</v>
      </c>
      <c r="U78" s="73">
        <v>560.1</v>
      </c>
      <c r="V78" s="73">
        <v>563.79999999999995</v>
      </c>
      <c r="W78" s="73">
        <v>589.5</v>
      </c>
      <c r="X78" s="73">
        <v>592</v>
      </c>
      <c r="Y78" s="73">
        <v>587.9</v>
      </c>
      <c r="Z78" s="73">
        <v>590.20000000000005</v>
      </c>
      <c r="AA78" s="73">
        <v>614.29999999999995</v>
      </c>
      <c r="AB78" s="73">
        <v>617</v>
      </c>
      <c r="AC78" s="73">
        <v>671.4</v>
      </c>
      <c r="AD78" s="73">
        <v>697.7</v>
      </c>
      <c r="AE78" s="73">
        <v>736.6</v>
      </c>
      <c r="AF78" s="73">
        <v>775.1</v>
      </c>
      <c r="AG78" s="73">
        <v>795.1</v>
      </c>
      <c r="AH78" s="73">
        <v>821.4</v>
      </c>
      <c r="AI78" s="73">
        <v>873.7</v>
      </c>
      <c r="AJ78" s="73">
        <v>902</v>
      </c>
      <c r="AK78" s="73">
        <v>1077.4000000000001</v>
      </c>
      <c r="AL78" s="73">
        <v>1205.3</v>
      </c>
      <c r="AM78" s="73">
        <v>1228</v>
      </c>
      <c r="AN78" s="73">
        <v>1216.5999999999999</v>
      </c>
      <c r="AO78" s="73">
        <v>1268.5999999999999</v>
      </c>
      <c r="AP78" s="73">
        <v>1262.8</v>
      </c>
      <c r="AQ78" s="73">
        <v>1373.7</v>
      </c>
      <c r="AR78" s="73">
        <v>1435.8</v>
      </c>
      <c r="AS78" s="73">
        <v>1810.3</v>
      </c>
      <c r="AT78" s="73">
        <v>2101.4</v>
      </c>
      <c r="AU78" s="73">
        <v>2236.6999999999998</v>
      </c>
      <c r="AV78" s="73">
        <v>2361.1999999999998</v>
      </c>
      <c r="AW78" s="73">
        <v>2369.5</v>
      </c>
      <c r="AX78" s="73">
        <v>2662.6</v>
      </c>
      <c r="AY78" s="73">
        <v>3208.3</v>
      </c>
      <c r="AZ78" s="73">
        <v>3294.7</v>
      </c>
      <c r="BA78" s="73">
        <v>3399.8</v>
      </c>
      <c r="BB78" s="73">
        <v>3322.4</v>
      </c>
      <c r="BC78" s="73">
        <v>3847.9</v>
      </c>
      <c r="BD78" s="73">
        <v>3899.5</v>
      </c>
      <c r="BE78" s="73">
        <v>4076.8</v>
      </c>
      <c r="BF78" s="73">
        <v>4326.8999999999996</v>
      </c>
      <c r="BG78" s="73">
        <v>4680.8999999999996</v>
      </c>
      <c r="BH78" s="73">
        <v>4837.8</v>
      </c>
      <c r="BI78" s="73">
        <v>5369.9</v>
      </c>
      <c r="BJ78" s="73">
        <v>5441.8</v>
      </c>
      <c r="BK78" s="73">
        <v>5859.1</v>
      </c>
      <c r="BL78" s="73">
        <v>5943.1</v>
      </c>
    </row>
    <row r="79" spans="1:64" ht="20" customHeight="1">
      <c r="A79" s="25">
        <v>75</v>
      </c>
      <c r="B79" s="26" t="s">
        <v>131</v>
      </c>
      <c r="C79" s="27" t="b">
        <f t="array" ref="C79">_xlfn.SWITCH(LEFT(B79,FIND("|",B79)-1),"ابنیه",HLOOKUP(D79,'نمودار ابنیه'!$B$5:$AD$6,2,FALSE),"مکانیکی",HLOOKUP(D79,'نمودار مکانیکی'!$B$5:$AJ$6,2,FALSE),"برقی",HLOOKUP(D79,'نمودار تاسیسات برقی'!$B$5:$AK$6,2,FALSE),"خطوط",HLOOKUP(D79,'نمودار خطوط انتقال '!$B$5:$R$6,2,FALSE),"شبکه",HLOOKUP(D79,'نمودار شبکه توزیع آ'!$B$5:$O$6,2,FALSE),"سد",HLOOKUP(D79,'نمودار سدسازی'!$B$5:$P$6,2,FALSE),"فاضلاب",HLOOKUP(D79,'نمودار جمع‌آوری و ا'!$B$5:$S$6,2,FALSE),"تجهیزات",HLOOKUP(D79,'نمودار تجهیزات آب و'!$B$5:$AG$6,2,FALSE),"پست",HLOOKUP(D79,'نمودار پست های انتق'!$B$5:$AH$6,2,FALSE),"نیرو",HLOOKUP(D79,'نمودار توزیع نیرو ب'!$B$5:$AE$6,2,FALSE),FALSE)</f>
        <v>0</v>
      </c>
      <c r="D79" s="28" t="s">
        <v>143</v>
      </c>
      <c r="E79" s="15"/>
      <c r="F79" s="29"/>
      <c r="G79" s="32">
        <v>322.10000000000002</v>
      </c>
      <c r="H79" s="32">
        <v>324.60000000000002</v>
      </c>
      <c r="I79" s="32">
        <v>329.1</v>
      </c>
      <c r="J79" s="32">
        <v>331.7</v>
      </c>
      <c r="K79" s="32">
        <v>373.5</v>
      </c>
      <c r="L79" s="32">
        <v>400.2</v>
      </c>
      <c r="M79" s="32">
        <v>430</v>
      </c>
      <c r="N79" s="32">
        <v>435.4</v>
      </c>
      <c r="O79" s="32">
        <v>474</v>
      </c>
      <c r="P79" s="32">
        <v>480.4</v>
      </c>
      <c r="Q79" s="32">
        <v>498.4</v>
      </c>
      <c r="R79" s="32">
        <v>510.9</v>
      </c>
      <c r="S79" s="32">
        <v>579.1</v>
      </c>
      <c r="T79" s="32">
        <v>587</v>
      </c>
      <c r="U79" s="32">
        <v>607</v>
      </c>
      <c r="V79" s="32">
        <v>614.5</v>
      </c>
      <c r="W79" s="32">
        <v>665.8</v>
      </c>
      <c r="X79" s="32">
        <v>670.7</v>
      </c>
      <c r="Y79" s="32">
        <v>675.9</v>
      </c>
      <c r="Z79" s="32">
        <v>680.5</v>
      </c>
      <c r="AA79" s="32">
        <v>728.6</v>
      </c>
      <c r="AB79" s="32">
        <v>734.2</v>
      </c>
      <c r="AC79" s="32">
        <v>755.9</v>
      </c>
      <c r="AD79" s="32">
        <v>771</v>
      </c>
      <c r="AE79" s="32">
        <v>833.2</v>
      </c>
      <c r="AF79" s="32">
        <v>847.9</v>
      </c>
      <c r="AG79" s="32">
        <v>849</v>
      </c>
      <c r="AH79" s="32">
        <v>876.4</v>
      </c>
      <c r="AI79" s="32">
        <v>1000.9</v>
      </c>
      <c r="AJ79" s="32">
        <v>1047.2</v>
      </c>
      <c r="AK79" s="32">
        <v>1139.3</v>
      </c>
      <c r="AL79" s="32">
        <v>1270.8</v>
      </c>
      <c r="AM79" s="32">
        <v>1198.7</v>
      </c>
      <c r="AN79" s="32">
        <v>1213.7</v>
      </c>
      <c r="AO79" s="32">
        <v>1456</v>
      </c>
      <c r="AP79" s="32">
        <v>1509.1</v>
      </c>
      <c r="AQ79" s="32">
        <v>1517.9</v>
      </c>
      <c r="AR79" s="32">
        <v>1542.6</v>
      </c>
      <c r="AS79" s="32">
        <v>1915.7</v>
      </c>
      <c r="AT79" s="32">
        <v>2142.6</v>
      </c>
      <c r="AU79" s="32">
        <v>2143.9</v>
      </c>
      <c r="AV79" s="32">
        <v>2183.8000000000002</v>
      </c>
      <c r="AW79" s="32">
        <v>2498.8000000000002</v>
      </c>
      <c r="AX79" s="32">
        <v>2672.4</v>
      </c>
      <c r="AY79" s="32">
        <v>3287.2</v>
      </c>
      <c r="AZ79" s="32">
        <v>3437.4</v>
      </c>
      <c r="BA79" s="32">
        <v>3523.5</v>
      </c>
      <c r="BB79" s="32">
        <v>3579.8</v>
      </c>
      <c r="BC79" s="32">
        <v>4385.2</v>
      </c>
      <c r="BD79" s="32">
        <v>4463</v>
      </c>
      <c r="BE79" s="32">
        <v>4555.8</v>
      </c>
      <c r="BF79" s="32">
        <v>4772.6000000000004</v>
      </c>
      <c r="BG79" s="32">
        <v>4773.3</v>
      </c>
      <c r="BH79" s="32">
        <v>4816.6000000000004</v>
      </c>
      <c r="BI79" s="32">
        <v>5739.5</v>
      </c>
      <c r="BJ79" s="32">
        <v>5935.4</v>
      </c>
      <c r="BK79" s="32">
        <v>6077.1</v>
      </c>
      <c r="BL79" s="32">
        <v>6189.9</v>
      </c>
    </row>
    <row r="80" spans="1:64" ht="20" customHeight="1">
      <c r="A80" s="68">
        <v>76</v>
      </c>
      <c r="B80" s="69" t="s">
        <v>131</v>
      </c>
      <c r="C80" s="70" t="b">
        <f t="array" ref="C80">_xlfn.SWITCH(LEFT(B80,FIND("|",B80)-1),"ابنیه",HLOOKUP(D80,'نمودار ابنیه'!$B$5:$AD$6,2,FALSE),"مکانیکی",HLOOKUP(D80,'نمودار مکانیکی'!$B$5:$AJ$6,2,FALSE),"برقی",HLOOKUP(D80,'نمودار تاسیسات برقی'!$B$5:$AK$6,2,FALSE),"خطوط",HLOOKUP(D80,'نمودار خطوط انتقال '!$B$5:$R$6,2,FALSE),"شبکه",HLOOKUP(D80,'نمودار شبکه توزیع آ'!$B$5:$O$6,2,FALSE),"سد",HLOOKUP(D80,'نمودار سدسازی'!$B$5:$P$6,2,FALSE),"فاضلاب",HLOOKUP(D80,'نمودار جمع‌آوری و ا'!$B$5:$S$6,2,FALSE),"تجهیزات",HLOOKUP(D80,'نمودار تجهیزات آب و'!$B$5:$AG$6,2,FALSE),"پست",HLOOKUP(D80,'نمودار پست های انتق'!$B$5:$AH$6,2,FALSE),"نیرو",HLOOKUP(D80,'نمودار توزیع نیرو ب'!$B$5:$AE$6,2,FALSE),FALSE)</f>
        <v>0</v>
      </c>
      <c r="D80" s="71" t="s">
        <v>144</v>
      </c>
      <c r="E80" s="15"/>
      <c r="F80" s="72"/>
      <c r="G80" s="73">
        <v>330.6</v>
      </c>
      <c r="H80" s="73">
        <v>331.3</v>
      </c>
      <c r="I80" s="73">
        <v>332.2</v>
      </c>
      <c r="J80" s="73">
        <v>378.5</v>
      </c>
      <c r="K80" s="73">
        <v>450.5</v>
      </c>
      <c r="L80" s="73">
        <v>531.20000000000005</v>
      </c>
      <c r="M80" s="73">
        <v>627.5</v>
      </c>
      <c r="N80" s="73">
        <v>625.79999999999995</v>
      </c>
      <c r="O80" s="73">
        <v>635.70000000000005</v>
      </c>
      <c r="P80" s="73">
        <v>631.9</v>
      </c>
      <c r="Q80" s="73">
        <v>633.1</v>
      </c>
      <c r="R80" s="73">
        <v>635.6</v>
      </c>
      <c r="S80" s="73">
        <v>688.7</v>
      </c>
      <c r="T80" s="73">
        <v>690.6</v>
      </c>
      <c r="U80" s="73">
        <v>665.9</v>
      </c>
      <c r="V80" s="73">
        <v>667.1</v>
      </c>
      <c r="W80" s="73">
        <v>674</v>
      </c>
      <c r="X80" s="73">
        <v>675.4</v>
      </c>
      <c r="Y80" s="73">
        <v>680</v>
      </c>
      <c r="Z80" s="73">
        <v>680.9</v>
      </c>
      <c r="AA80" s="73">
        <v>745.7</v>
      </c>
      <c r="AB80" s="73">
        <v>747.1</v>
      </c>
      <c r="AC80" s="73">
        <v>799.9</v>
      </c>
      <c r="AD80" s="73">
        <v>843.3</v>
      </c>
      <c r="AE80" s="73">
        <v>865.2</v>
      </c>
      <c r="AF80" s="73">
        <v>925.3</v>
      </c>
      <c r="AG80" s="73">
        <v>961</v>
      </c>
      <c r="AH80" s="73">
        <v>1035.5999999999999</v>
      </c>
      <c r="AI80" s="73">
        <v>1218.7</v>
      </c>
      <c r="AJ80" s="73">
        <v>1388.6</v>
      </c>
      <c r="AK80" s="73">
        <v>1678.3</v>
      </c>
      <c r="AL80" s="73">
        <v>1831.5</v>
      </c>
      <c r="AM80" s="73">
        <v>1849.7</v>
      </c>
      <c r="AN80" s="73">
        <v>1946.2</v>
      </c>
      <c r="AO80" s="73">
        <v>2311.1</v>
      </c>
      <c r="AP80" s="73">
        <v>2212.6999999999998</v>
      </c>
      <c r="AQ80" s="73">
        <v>2348.8000000000002</v>
      </c>
      <c r="AR80" s="73">
        <v>2449.6999999999998</v>
      </c>
      <c r="AS80" s="73">
        <v>2867.6</v>
      </c>
      <c r="AT80" s="73">
        <v>3455.9</v>
      </c>
      <c r="AU80" s="73">
        <v>3967.6</v>
      </c>
      <c r="AV80" s="73">
        <v>4376.1000000000004</v>
      </c>
      <c r="AW80" s="73">
        <v>4457.8</v>
      </c>
      <c r="AX80" s="73">
        <v>4356.3999999999996</v>
      </c>
      <c r="AY80" s="73">
        <v>4871.3</v>
      </c>
      <c r="AZ80" s="73">
        <v>5274.5</v>
      </c>
      <c r="BA80" s="73">
        <v>5407.9</v>
      </c>
      <c r="BB80" s="73">
        <v>5701.9</v>
      </c>
      <c r="BC80" s="73">
        <v>6501.2</v>
      </c>
      <c r="BD80" s="73">
        <v>6628.1</v>
      </c>
      <c r="BE80" s="73">
        <v>6917.5</v>
      </c>
      <c r="BF80" s="73">
        <v>8187.7</v>
      </c>
      <c r="BG80" s="73">
        <v>8516.9</v>
      </c>
      <c r="BH80" s="73">
        <v>8517.9</v>
      </c>
      <c r="BI80" s="73">
        <v>9148</v>
      </c>
      <c r="BJ80" s="73">
        <v>9169.1</v>
      </c>
      <c r="BK80" s="73">
        <v>9463.1</v>
      </c>
      <c r="BL80" s="73">
        <v>10421.299999999999</v>
      </c>
    </row>
    <row r="81" spans="1:64" ht="20" customHeight="1">
      <c r="A81" s="25">
        <v>77</v>
      </c>
      <c r="B81" s="26" t="s">
        <v>131</v>
      </c>
      <c r="C81" s="27" t="b">
        <f t="array" ref="C81">_xlfn.SWITCH(LEFT(B81,FIND("|",B81)-1),"ابنیه",HLOOKUP(D81,'نمودار ابنیه'!$B$5:$AD$6,2,FALSE),"مکانیکی",HLOOKUP(D81,'نمودار مکانیکی'!$B$5:$AJ$6,2,FALSE),"برقی",HLOOKUP(D81,'نمودار تاسیسات برقی'!$B$5:$AK$6,2,FALSE),"خطوط",HLOOKUP(D81,'نمودار خطوط انتقال '!$B$5:$R$6,2,FALSE),"شبکه",HLOOKUP(D81,'نمودار شبکه توزیع آ'!$B$5:$O$6,2,FALSE),"سد",HLOOKUP(D81,'نمودار سدسازی'!$B$5:$P$6,2,FALSE),"فاضلاب",HLOOKUP(D81,'نمودار جمع‌آوری و ا'!$B$5:$S$6,2,FALSE),"تجهیزات",HLOOKUP(D81,'نمودار تجهیزات آب و'!$B$5:$AG$6,2,FALSE),"پست",HLOOKUP(D81,'نمودار پست های انتق'!$B$5:$AH$6,2,FALSE),"نیرو",HLOOKUP(D81,'نمودار توزیع نیرو ب'!$B$5:$AE$6,2,FALSE),FALSE)</f>
        <v>0</v>
      </c>
      <c r="D81" s="28" t="s">
        <v>145</v>
      </c>
      <c r="E81" s="15"/>
      <c r="F81" s="29"/>
      <c r="G81" s="32">
        <v>248.6</v>
      </c>
      <c r="H81" s="32">
        <v>249.2</v>
      </c>
      <c r="I81" s="32">
        <v>249.9</v>
      </c>
      <c r="J81" s="32">
        <v>265.2</v>
      </c>
      <c r="K81" s="32">
        <v>320.5</v>
      </c>
      <c r="L81" s="32">
        <v>331.4</v>
      </c>
      <c r="M81" s="32">
        <v>376.6</v>
      </c>
      <c r="N81" s="32">
        <v>401.6</v>
      </c>
      <c r="O81" s="32">
        <v>405.9</v>
      </c>
      <c r="P81" s="32">
        <v>407</v>
      </c>
      <c r="Q81" s="32">
        <v>422.4</v>
      </c>
      <c r="R81" s="32">
        <v>424.2</v>
      </c>
      <c r="S81" s="32">
        <v>563.5</v>
      </c>
      <c r="T81" s="32">
        <v>564.9</v>
      </c>
      <c r="U81" s="32">
        <v>537</v>
      </c>
      <c r="V81" s="32">
        <v>537.79999999999995</v>
      </c>
      <c r="W81" s="32">
        <v>549.29999999999995</v>
      </c>
      <c r="X81" s="32">
        <v>550.29999999999995</v>
      </c>
      <c r="Y81" s="32">
        <v>532.1</v>
      </c>
      <c r="Z81" s="32">
        <v>532.70000000000005</v>
      </c>
      <c r="AA81" s="32">
        <v>565.79999999999995</v>
      </c>
      <c r="AB81" s="32">
        <v>566.9</v>
      </c>
      <c r="AC81" s="32">
        <v>605.79999999999995</v>
      </c>
      <c r="AD81" s="32">
        <v>606.5</v>
      </c>
      <c r="AE81" s="32">
        <v>706.8</v>
      </c>
      <c r="AF81" s="32">
        <v>708.4</v>
      </c>
      <c r="AG81" s="32">
        <v>709.4</v>
      </c>
      <c r="AH81" s="32">
        <v>710.4</v>
      </c>
      <c r="AI81" s="32">
        <v>833.1</v>
      </c>
      <c r="AJ81" s="32">
        <v>1013.4</v>
      </c>
      <c r="AK81" s="32">
        <v>1240.8</v>
      </c>
      <c r="AL81" s="32">
        <v>1534.9</v>
      </c>
      <c r="AM81" s="32">
        <v>1346.4</v>
      </c>
      <c r="AN81" s="32">
        <v>1363.4</v>
      </c>
      <c r="AO81" s="32">
        <v>1515.5</v>
      </c>
      <c r="AP81" s="32">
        <v>1502.4</v>
      </c>
      <c r="AQ81" s="32">
        <v>1649.7</v>
      </c>
      <c r="AR81" s="32">
        <v>1714.4</v>
      </c>
      <c r="AS81" s="32">
        <v>2053.4</v>
      </c>
      <c r="AT81" s="32">
        <v>2454.5</v>
      </c>
      <c r="AU81" s="32">
        <v>2624.7</v>
      </c>
      <c r="AV81" s="32">
        <v>3089.4</v>
      </c>
      <c r="AW81" s="32">
        <v>2990.6</v>
      </c>
      <c r="AX81" s="32">
        <v>3589.9</v>
      </c>
      <c r="AY81" s="32">
        <v>3837.6</v>
      </c>
      <c r="AZ81" s="32">
        <v>3931.6</v>
      </c>
      <c r="BA81" s="32">
        <v>4167.5</v>
      </c>
      <c r="BB81" s="32">
        <v>4175.6000000000004</v>
      </c>
      <c r="BC81" s="32">
        <v>4877.8</v>
      </c>
      <c r="BD81" s="32">
        <v>5010.8999999999996</v>
      </c>
      <c r="BE81" s="32">
        <v>5275.3</v>
      </c>
      <c r="BF81" s="32">
        <v>5546.7</v>
      </c>
      <c r="BG81" s="32">
        <v>5680.2</v>
      </c>
      <c r="BH81" s="32">
        <v>5681</v>
      </c>
      <c r="BI81" s="32">
        <v>6365.9</v>
      </c>
      <c r="BJ81" s="32">
        <v>6400.7</v>
      </c>
      <c r="BK81" s="32">
        <v>6386.8</v>
      </c>
      <c r="BL81" s="32">
        <v>6764.2</v>
      </c>
    </row>
    <row r="82" spans="1:64" ht="20" customHeight="1">
      <c r="A82" s="68">
        <v>78</v>
      </c>
      <c r="B82" s="69" t="s">
        <v>131</v>
      </c>
      <c r="C82" s="70" t="b">
        <f t="array" ref="C82">_xlfn.SWITCH(LEFT(B82,FIND("|",B82)-1),"ابنیه",HLOOKUP(D82,'نمودار ابنیه'!$B$5:$AD$6,2,FALSE),"مکانیکی",HLOOKUP(D82,'نمودار مکانیکی'!$B$5:$AJ$6,2,FALSE),"برقی",HLOOKUP(D82,'نمودار تاسیسات برقی'!$B$5:$AK$6,2,FALSE),"خطوط",HLOOKUP(D82,'نمودار خطوط انتقال '!$B$5:$R$6,2,FALSE),"شبکه",HLOOKUP(D82,'نمودار شبکه توزیع آ'!$B$5:$O$6,2,FALSE),"سد",HLOOKUP(D82,'نمودار سدسازی'!$B$5:$P$6,2,FALSE),"فاضلاب",HLOOKUP(D82,'نمودار جمع‌آوری و ا'!$B$5:$S$6,2,FALSE),"تجهیزات",HLOOKUP(D82,'نمودار تجهیزات آب و'!$B$5:$AG$6,2,FALSE),"پست",HLOOKUP(D82,'نمودار پست های انتق'!$B$5:$AH$6,2,FALSE),"نیرو",HLOOKUP(D82,'نمودار توزیع نیرو ب'!$B$5:$AE$6,2,FALSE),FALSE)</f>
        <v>0</v>
      </c>
      <c r="D82" s="71" t="s">
        <v>146</v>
      </c>
      <c r="E82" s="15"/>
      <c r="F82" s="72"/>
      <c r="G82" s="73">
        <v>210</v>
      </c>
      <c r="H82" s="73">
        <v>210.1</v>
      </c>
      <c r="I82" s="73">
        <v>210.3</v>
      </c>
      <c r="J82" s="73">
        <v>245.1</v>
      </c>
      <c r="K82" s="73">
        <v>293.39999999999998</v>
      </c>
      <c r="L82" s="73">
        <v>370.1</v>
      </c>
      <c r="M82" s="73">
        <v>411.8</v>
      </c>
      <c r="N82" s="73">
        <v>412</v>
      </c>
      <c r="O82" s="73">
        <v>413.3</v>
      </c>
      <c r="P82" s="73">
        <v>373.4</v>
      </c>
      <c r="Q82" s="73">
        <v>413.9</v>
      </c>
      <c r="R82" s="73">
        <v>414.2</v>
      </c>
      <c r="S82" s="73">
        <v>410</v>
      </c>
      <c r="T82" s="73">
        <v>410.3</v>
      </c>
      <c r="U82" s="73">
        <v>432.2</v>
      </c>
      <c r="V82" s="73">
        <v>432.4</v>
      </c>
      <c r="W82" s="73">
        <v>433.6</v>
      </c>
      <c r="X82" s="73">
        <v>433.8</v>
      </c>
      <c r="Y82" s="73">
        <v>434</v>
      </c>
      <c r="Z82" s="73">
        <v>434.1</v>
      </c>
      <c r="AA82" s="73">
        <v>435.9</v>
      </c>
      <c r="AB82" s="73">
        <v>436.1</v>
      </c>
      <c r="AC82" s="73">
        <v>436.3</v>
      </c>
      <c r="AD82" s="73">
        <v>436.4</v>
      </c>
      <c r="AE82" s="73">
        <v>437.8</v>
      </c>
      <c r="AF82" s="73">
        <v>438.1</v>
      </c>
      <c r="AG82" s="73">
        <v>509.1</v>
      </c>
      <c r="AH82" s="73">
        <v>538.79999999999995</v>
      </c>
      <c r="AI82" s="73">
        <v>607.5</v>
      </c>
      <c r="AJ82" s="73">
        <v>665.1</v>
      </c>
      <c r="AK82" s="73">
        <v>940.6</v>
      </c>
      <c r="AL82" s="73">
        <v>1010.1</v>
      </c>
      <c r="AM82" s="73">
        <v>1116.5</v>
      </c>
      <c r="AN82" s="73">
        <v>1118.3</v>
      </c>
      <c r="AO82" s="73">
        <v>1288.3</v>
      </c>
      <c r="AP82" s="73">
        <v>1284.3</v>
      </c>
      <c r="AQ82" s="73">
        <v>1313.7</v>
      </c>
      <c r="AR82" s="73">
        <v>1345.4</v>
      </c>
      <c r="AS82" s="73">
        <v>1588.4</v>
      </c>
      <c r="AT82" s="73">
        <v>1826.9</v>
      </c>
      <c r="AU82" s="73">
        <v>2062.3000000000002</v>
      </c>
      <c r="AV82" s="73">
        <v>2370</v>
      </c>
      <c r="AW82" s="73">
        <v>2508.3000000000002</v>
      </c>
      <c r="AX82" s="73">
        <v>2631.8</v>
      </c>
      <c r="AY82" s="73">
        <v>3008.5</v>
      </c>
      <c r="AZ82" s="73">
        <v>3297.6</v>
      </c>
      <c r="BA82" s="73">
        <v>3041.6</v>
      </c>
      <c r="BB82" s="73">
        <v>3069.5</v>
      </c>
      <c r="BC82" s="73">
        <v>3298.1</v>
      </c>
      <c r="BD82" s="73">
        <v>3368.3</v>
      </c>
      <c r="BE82" s="73">
        <v>3758.5</v>
      </c>
      <c r="BF82" s="73">
        <v>4450.8999999999996</v>
      </c>
      <c r="BG82" s="73">
        <v>5107.3999999999996</v>
      </c>
      <c r="BH82" s="73">
        <v>5197.1000000000004</v>
      </c>
      <c r="BI82" s="73">
        <v>5695.5</v>
      </c>
      <c r="BJ82" s="73">
        <v>5703</v>
      </c>
      <c r="BK82" s="73">
        <v>6570.3</v>
      </c>
      <c r="BL82" s="73">
        <v>6769.5</v>
      </c>
    </row>
    <row r="83" spans="1:64" ht="20" customHeight="1">
      <c r="A83" s="25">
        <v>79</v>
      </c>
      <c r="B83" s="26" t="s">
        <v>131</v>
      </c>
      <c r="C83" s="27" t="b">
        <f t="array" ref="C83">_xlfn.SWITCH(LEFT(B83,FIND("|",B83)-1),"ابنیه",HLOOKUP(D83,'نمودار ابنیه'!$B$5:$AD$6,2,FALSE),"مکانیکی",HLOOKUP(D83,'نمودار مکانیکی'!$B$5:$AJ$6,2,FALSE),"برقی",HLOOKUP(D83,'نمودار تاسیسات برقی'!$B$5:$AK$6,2,FALSE),"خطوط",HLOOKUP(D83,'نمودار خطوط انتقال '!$B$5:$R$6,2,FALSE),"شبکه",HLOOKUP(D83,'نمودار شبکه توزیع آ'!$B$5:$O$6,2,FALSE),"سد",HLOOKUP(D83,'نمودار سدسازی'!$B$5:$P$6,2,FALSE),"فاضلاب",HLOOKUP(D83,'نمودار جمع‌آوری و ا'!$B$5:$S$6,2,FALSE),"تجهیزات",HLOOKUP(D83,'نمودار تجهیزات آب و'!$B$5:$AG$6,2,FALSE),"پست",HLOOKUP(D83,'نمودار پست های انتق'!$B$5:$AH$6,2,FALSE),"نیرو",HLOOKUP(D83,'نمودار توزیع نیرو ب'!$B$5:$AE$6,2,FALSE),FALSE)</f>
        <v>0</v>
      </c>
      <c r="D83" s="28" t="s">
        <v>147</v>
      </c>
      <c r="E83" s="15"/>
      <c r="F83" s="29"/>
      <c r="G83" s="32">
        <v>151.30000000000001</v>
      </c>
      <c r="H83" s="32">
        <v>153.5</v>
      </c>
      <c r="I83" s="32">
        <v>153.80000000000001</v>
      </c>
      <c r="J83" s="32">
        <v>158.80000000000001</v>
      </c>
      <c r="K83" s="32">
        <v>210.5</v>
      </c>
      <c r="L83" s="32">
        <v>306.8</v>
      </c>
      <c r="M83" s="32">
        <v>318.8</v>
      </c>
      <c r="N83" s="32">
        <v>339.6</v>
      </c>
      <c r="O83" s="32">
        <v>393.5</v>
      </c>
      <c r="P83" s="32">
        <v>393.8</v>
      </c>
      <c r="Q83" s="32">
        <v>394.2</v>
      </c>
      <c r="R83" s="32">
        <v>394.5</v>
      </c>
      <c r="S83" s="32">
        <v>396.8</v>
      </c>
      <c r="T83" s="32">
        <v>416.8</v>
      </c>
      <c r="U83" s="32">
        <v>417.1</v>
      </c>
      <c r="V83" s="32">
        <v>435.1</v>
      </c>
      <c r="W83" s="32">
        <v>409.5</v>
      </c>
      <c r="X83" s="32">
        <v>424.9</v>
      </c>
      <c r="Y83" s="32">
        <v>418.5</v>
      </c>
      <c r="Z83" s="32">
        <v>418.6</v>
      </c>
      <c r="AA83" s="32">
        <v>479.4</v>
      </c>
      <c r="AB83" s="32">
        <v>479.6</v>
      </c>
      <c r="AC83" s="32">
        <v>515</v>
      </c>
      <c r="AD83" s="32">
        <v>515.1</v>
      </c>
      <c r="AE83" s="32">
        <v>548.4</v>
      </c>
      <c r="AF83" s="32">
        <v>560.9</v>
      </c>
      <c r="AG83" s="32">
        <v>568.9</v>
      </c>
      <c r="AH83" s="32">
        <v>572.70000000000005</v>
      </c>
      <c r="AI83" s="32">
        <v>990</v>
      </c>
      <c r="AJ83" s="32">
        <v>1177</v>
      </c>
      <c r="AK83" s="32">
        <v>1362.9</v>
      </c>
      <c r="AL83" s="32">
        <v>1578.7</v>
      </c>
      <c r="AM83" s="32">
        <v>1564.2</v>
      </c>
      <c r="AN83" s="32">
        <v>1565.2</v>
      </c>
      <c r="AO83" s="32">
        <v>1572</v>
      </c>
      <c r="AP83" s="32">
        <v>1487.7</v>
      </c>
      <c r="AQ83" s="32">
        <v>1712</v>
      </c>
      <c r="AR83" s="32">
        <v>1774.7</v>
      </c>
      <c r="AS83" s="32">
        <v>2148.6</v>
      </c>
      <c r="AT83" s="32">
        <v>2597.9</v>
      </c>
      <c r="AU83" s="32">
        <v>2952.6</v>
      </c>
      <c r="AV83" s="32">
        <v>3411.7</v>
      </c>
      <c r="AW83" s="32">
        <v>3771</v>
      </c>
      <c r="AX83" s="32">
        <v>3370</v>
      </c>
      <c r="AY83" s="32">
        <v>3681.7</v>
      </c>
      <c r="AZ83" s="32">
        <v>3687.3</v>
      </c>
      <c r="BA83" s="32">
        <v>4155.6000000000004</v>
      </c>
      <c r="BB83" s="32">
        <v>4091.2</v>
      </c>
      <c r="BC83" s="32">
        <v>4397.8999999999996</v>
      </c>
      <c r="BD83" s="32">
        <v>4680.8</v>
      </c>
      <c r="BE83" s="32">
        <v>5222.7</v>
      </c>
      <c r="BF83" s="32">
        <v>5649.9</v>
      </c>
      <c r="BG83" s="32">
        <v>6201.5</v>
      </c>
      <c r="BH83" s="32">
        <v>6201.5</v>
      </c>
      <c r="BI83" s="32">
        <v>6231.1</v>
      </c>
      <c r="BJ83" s="32">
        <v>6238</v>
      </c>
      <c r="BK83" s="32">
        <v>6854.6</v>
      </c>
      <c r="BL83" s="32">
        <v>7092.2</v>
      </c>
    </row>
    <row r="84" spans="1:64" ht="20" customHeight="1">
      <c r="A84" s="68">
        <v>80</v>
      </c>
      <c r="B84" s="69" t="s">
        <v>131</v>
      </c>
      <c r="C84" s="70" t="b">
        <f t="array" ref="C84">_xlfn.SWITCH(LEFT(B84,FIND("|",B84)-1),"ابنیه",HLOOKUP(D84,'نمودار ابنیه'!$B$5:$AD$6,2,FALSE),"مکانیکی",HLOOKUP(D84,'نمودار مکانیکی'!$B$5:$AJ$6,2,FALSE),"برقی",HLOOKUP(D84,'نمودار تاسیسات برقی'!$B$5:$AK$6,2,FALSE),"خطوط",HLOOKUP(D84,'نمودار خطوط انتقال '!$B$5:$R$6,2,FALSE),"شبکه",HLOOKUP(D84,'نمودار شبکه توزیع آ'!$B$5:$O$6,2,FALSE),"سد",HLOOKUP(D84,'نمودار سدسازی'!$B$5:$P$6,2,FALSE),"فاضلاب",HLOOKUP(D84,'نمودار جمع‌آوری و ا'!$B$5:$S$6,2,FALSE),"تجهیزات",HLOOKUP(D84,'نمودار تجهیزات آب و'!$B$5:$AG$6,2,FALSE),"پست",HLOOKUP(D84,'نمودار پست های انتق'!$B$5:$AH$6,2,FALSE),"نیرو",HLOOKUP(D84,'نمودار توزیع نیرو ب'!$B$5:$AE$6,2,FALSE),FALSE)</f>
        <v>0</v>
      </c>
      <c r="D84" s="71" t="s">
        <v>148</v>
      </c>
      <c r="E84" s="15"/>
      <c r="F84" s="72"/>
      <c r="G84" s="73">
        <v>227.3</v>
      </c>
      <c r="H84" s="73">
        <v>227.9</v>
      </c>
      <c r="I84" s="73">
        <v>228.2</v>
      </c>
      <c r="J84" s="73">
        <v>276.8</v>
      </c>
      <c r="K84" s="73">
        <v>279.8</v>
      </c>
      <c r="L84" s="73">
        <v>280.8</v>
      </c>
      <c r="M84" s="73">
        <v>282.2</v>
      </c>
      <c r="N84" s="73">
        <v>364.3</v>
      </c>
      <c r="O84" s="73">
        <v>438.2</v>
      </c>
      <c r="P84" s="73">
        <v>510.5</v>
      </c>
      <c r="Q84" s="73">
        <v>510.9</v>
      </c>
      <c r="R84" s="73">
        <v>511.9</v>
      </c>
      <c r="S84" s="73">
        <v>546.9</v>
      </c>
      <c r="T84" s="73">
        <v>547.9</v>
      </c>
      <c r="U84" s="73">
        <v>547.9</v>
      </c>
      <c r="V84" s="73">
        <v>548.1</v>
      </c>
      <c r="W84" s="73">
        <v>600.70000000000005</v>
      </c>
      <c r="X84" s="73">
        <v>601.5</v>
      </c>
      <c r="Y84" s="73">
        <v>603.6</v>
      </c>
      <c r="Z84" s="73">
        <v>603.9</v>
      </c>
      <c r="AA84" s="73">
        <v>602.9</v>
      </c>
      <c r="AB84" s="73">
        <v>603.70000000000005</v>
      </c>
      <c r="AC84" s="73">
        <v>623.1</v>
      </c>
      <c r="AD84" s="73">
        <v>623.4</v>
      </c>
      <c r="AE84" s="73">
        <v>626.70000000000005</v>
      </c>
      <c r="AF84" s="73">
        <v>628.1</v>
      </c>
      <c r="AG84" s="73">
        <v>631.5</v>
      </c>
      <c r="AH84" s="73">
        <v>649.20000000000005</v>
      </c>
      <c r="AI84" s="73">
        <v>760.7</v>
      </c>
      <c r="AJ84" s="73">
        <v>827</v>
      </c>
      <c r="AK84" s="73">
        <v>985.2</v>
      </c>
      <c r="AL84" s="73">
        <v>1090.4000000000001</v>
      </c>
      <c r="AM84" s="73">
        <v>1153.7</v>
      </c>
      <c r="AN84" s="73">
        <v>1164.5</v>
      </c>
      <c r="AO84" s="73">
        <v>1421.9</v>
      </c>
      <c r="AP84" s="73">
        <v>1426.5</v>
      </c>
      <c r="AQ84" s="73">
        <v>1539.2</v>
      </c>
      <c r="AR84" s="73">
        <v>1541.7</v>
      </c>
      <c r="AS84" s="73">
        <v>1852.3</v>
      </c>
      <c r="AT84" s="73">
        <v>2024.4</v>
      </c>
      <c r="AU84" s="73">
        <v>2408.1</v>
      </c>
      <c r="AV84" s="73">
        <v>2739.5</v>
      </c>
      <c r="AW84" s="73">
        <v>2186.1999999999998</v>
      </c>
      <c r="AX84" s="73">
        <v>2194.3000000000002</v>
      </c>
      <c r="AY84" s="73">
        <v>2344.8000000000002</v>
      </c>
      <c r="AZ84" s="73">
        <v>2449.1</v>
      </c>
      <c r="BA84" s="73">
        <v>2635.4</v>
      </c>
      <c r="BB84" s="73">
        <v>2585.4</v>
      </c>
      <c r="BC84" s="73">
        <v>2702.7</v>
      </c>
      <c r="BD84" s="73">
        <v>2850.7</v>
      </c>
      <c r="BE84" s="73">
        <v>3202.2</v>
      </c>
      <c r="BF84" s="73">
        <v>3772.6</v>
      </c>
      <c r="BG84" s="73">
        <v>3934.6</v>
      </c>
      <c r="BH84" s="73">
        <v>4257.3999999999996</v>
      </c>
      <c r="BI84" s="73">
        <v>4843.8</v>
      </c>
      <c r="BJ84" s="73">
        <v>4873</v>
      </c>
      <c r="BK84" s="73">
        <v>5150.8999999999996</v>
      </c>
      <c r="BL84" s="73">
        <v>5356.3</v>
      </c>
    </row>
    <row r="85" spans="1:64" ht="20" customHeight="1">
      <c r="A85" s="25">
        <v>81</v>
      </c>
      <c r="B85" s="26" t="s">
        <v>131</v>
      </c>
      <c r="C85" s="27" t="b">
        <f t="array" ref="C85">_xlfn.SWITCH(LEFT(B85,FIND("|",B85)-1),"ابنیه",HLOOKUP(D85,'نمودار ابنیه'!$B$5:$AD$6,2,FALSE),"مکانیکی",HLOOKUP(D85,'نمودار مکانیکی'!$B$5:$AJ$6,2,FALSE),"برقی",HLOOKUP(D85,'نمودار تاسیسات برقی'!$B$5:$AK$6,2,FALSE),"خطوط",HLOOKUP(D85,'نمودار خطوط انتقال '!$B$5:$R$6,2,FALSE),"شبکه",HLOOKUP(D85,'نمودار شبکه توزیع آ'!$B$5:$O$6,2,FALSE),"سد",HLOOKUP(D85,'نمودار سدسازی'!$B$5:$P$6,2,FALSE),"فاضلاب",HLOOKUP(D85,'نمودار جمع‌آوری و ا'!$B$5:$S$6,2,FALSE),"تجهیزات",HLOOKUP(D85,'نمودار تجهیزات آب و'!$B$5:$AG$6,2,FALSE),"پست",HLOOKUP(D85,'نمودار پست های انتق'!$B$5:$AH$6,2,FALSE),"نیرو",HLOOKUP(D85,'نمودار توزیع نیرو ب'!$B$5:$AE$6,2,FALSE),FALSE)</f>
        <v>0</v>
      </c>
      <c r="D85" s="28" t="s">
        <v>149</v>
      </c>
      <c r="E85" s="15"/>
      <c r="F85" s="29"/>
      <c r="G85" s="32">
        <v>246.1</v>
      </c>
      <c r="H85" s="32">
        <v>246.3</v>
      </c>
      <c r="I85" s="32">
        <v>247.7</v>
      </c>
      <c r="J85" s="32">
        <v>291.5</v>
      </c>
      <c r="K85" s="32">
        <v>309.3</v>
      </c>
      <c r="L85" s="32">
        <v>424.4</v>
      </c>
      <c r="M85" s="32">
        <v>551.70000000000005</v>
      </c>
      <c r="N85" s="32">
        <v>612</v>
      </c>
      <c r="O85" s="32">
        <v>628.4</v>
      </c>
      <c r="P85" s="32">
        <v>628.70000000000005</v>
      </c>
      <c r="Q85" s="32">
        <v>636.5</v>
      </c>
      <c r="R85" s="32">
        <v>636.9</v>
      </c>
      <c r="S85" s="32">
        <v>650.9</v>
      </c>
      <c r="T85" s="32">
        <v>651.20000000000005</v>
      </c>
      <c r="U85" s="32">
        <v>605.6</v>
      </c>
      <c r="V85" s="32">
        <v>605.79999999999995</v>
      </c>
      <c r="W85" s="32">
        <v>660.2</v>
      </c>
      <c r="X85" s="32">
        <v>660.4</v>
      </c>
      <c r="Y85" s="32">
        <v>660.7</v>
      </c>
      <c r="Z85" s="32">
        <v>660.9</v>
      </c>
      <c r="AA85" s="32">
        <v>619</v>
      </c>
      <c r="AB85" s="32">
        <v>619.29999999999995</v>
      </c>
      <c r="AC85" s="32">
        <v>610</v>
      </c>
      <c r="AD85" s="32">
        <v>610.20000000000005</v>
      </c>
      <c r="AE85" s="32">
        <v>698.1</v>
      </c>
      <c r="AF85" s="32">
        <v>698.4</v>
      </c>
      <c r="AG85" s="32">
        <v>700.6</v>
      </c>
      <c r="AH85" s="32">
        <v>700.9</v>
      </c>
      <c r="AI85" s="32">
        <v>730</v>
      </c>
      <c r="AJ85" s="32">
        <v>857.8</v>
      </c>
      <c r="AK85" s="32">
        <v>1205.5999999999999</v>
      </c>
      <c r="AL85" s="32">
        <v>1558.8</v>
      </c>
      <c r="AM85" s="32">
        <v>1556.6</v>
      </c>
      <c r="AN85" s="32">
        <v>1557.8</v>
      </c>
      <c r="AO85" s="32">
        <v>1763.3</v>
      </c>
      <c r="AP85" s="32">
        <v>1765</v>
      </c>
      <c r="AQ85" s="32">
        <v>1842.3</v>
      </c>
      <c r="AR85" s="32">
        <v>1843.3</v>
      </c>
      <c r="AS85" s="32">
        <v>2150.6999999999998</v>
      </c>
      <c r="AT85" s="32">
        <v>2521.9</v>
      </c>
      <c r="AU85" s="32">
        <v>2795.9</v>
      </c>
      <c r="AV85" s="32">
        <v>3107.7</v>
      </c>
      <c r="AW85" s="32">
        <v>3532.4</v>
      </c>
      <c r="AX85" s="32">
        <v>3535.7</v>
      </c>
      <c r="AY85" s="32">
        <v>3729.5</v>
      </c>
      <c r="AZ85" s="32">
        <v>3875.2</v>
      </c>
      <c r="BA85" s="32">
        <v>4776.7</v>
      </c>
      <c r="BB85" s="32">
        <v>4709.8</v>
      </c>
      <c r="BC85" s="32">
        <v>5429.6</v>
      </c>
      <c r="BD85" s="32">
        <v>5719.6</v>
      </c>
      <c r="BE85" s="32">
        <v>5716.9</v>
      </c>
      <c r="BF85" s="32">
        <v>6829.5</v>
      </c>
      <c r="BG85" s="32">
        <v>7842.8</v>
      </c>
      <c r="BH85" s="32">
        <v>7981.2</v>
      </c>
      <c r="BI85" s="32">
        <v>8453.2000000000007</v>
      </c>
      <c r="BJ85" s="32">
        <v>8751.7000000000007</v>
      </c>
      <c r="BK85" s="32">
        <v>9049.2000000000007</v>
      </c>
      <c r="BL85" s="32">
        <v>9758.2000000000007</v>
      </c>
    </row>
    <row r="86" spans="1:64" ht="20" customHeight="1">
      <c r="A86" s="68">
        <v>82</v>
      </c>
      <c r="B86" s="69" t="s">
        <v>131</v>
      </c>
      <c r="C86" s="70" t="b">
        <f t="array" ref="C86">_xlfn.SWITCH(LEFT(B86,FIND("|",B86)-1),"ابنیه",HLOOKUP(D86,'نمودار ابنیه'!$B$5:$AD$6,2,FALSE),"مکانیکی",HLOOKUP(D86,'نمودار مکانیکی'!$B$5:$AJ$6,2,FALSE),"برقی",HLOOKUP(D86,'نمودار تاسیسات برقی'!$B$5:$AK$6,2,FALSE),"خطوط",HLOOKUP(D86,'نمودار خطوط انتقال '!$B$5:$R$6,2,FALSE),"شبکه",HLOOKUP(D86,'نمودار شبکه توزیع آ'!$B$5:$O$6,2,FALSE),"سد",HLOOKUP(D86,'نمودار سدسازی'!$B$5:$P$6,2,FALSE),"فاضلاب",HLOOKUP(D86,'نمودار جمع‌آوری و ا'!$B$5:$S$6,2,FALSE),"تجهیزات",HLOOKUP(D86,'نمودار تجهیزات آب و'!$B$5:$AG$6,2,FALSE),"پست",HLOOKUP(D86,'نمودار پست های انتق'!$B$5:$AH$6,2,FALSE),"نیرو",HLOOKUP(D86,'نمودار توزیع نیرو ب'!$B$5:$AE$6,2,FALSE),FALSE)</f>
        <v>0</v>
      </c>
      <c r="D86" s="71" t="s">
        <v>150</v>
      </c>
      <c r="E86" s="15"/>
      <c r="F86" s="72"/>
      <c r="G86" s="73">
        <v>525.1</v>
      </c>
      <c r="H86" s="73">
        <v>532.70000000000005</v>
      </c>
      <c r="I86" s="73">
        <v>536.20000000000005</v>
      </c>
      <c r="J86" s="73">
        <v>589.20000000000005</v>
      </c>
      <c r="K86" s="73">
        <v>656.7</v>
      </c>
      <c r="L86" s="73">
        <v>723.3</v>
      </c>
      <c r="M86" s="73">
        <v>932.1</v>
      </c>
      <c r="N86" s="73">
        <v>951.8</v>
      </c>
      <c r="O86" s="73">
        <v>963</v>
      </c>
      <c r="P86" s="73">
        <v>930.5</v>
      </c>
      <c r="Q86" s="73">
        <v>960.7</v>
      </c>
      <c r="R86" s="73">
        <v>967.2</v>
      </c>
      <c r="S86" s="73">
        <v>1075.3</v>
      </c>
      <c r="T86" s="73">
        <v>1081.4000000000001</v>
      </c>
      <c r="U86" s="73">
        <v>1128.7</v>
      </c>
      <c r="V86" s="73">
        <v>1133.4000000000001</v>
      </c>
      <c r="W86" s="73">
        <v>1127.8</v>
      </c>
      <c r="X86" s="73">
        <v>1121.5</v>
      </c>
      <c r="Y86" s="73">
        <v>1169.0999999999999</v>
      </c>
      <c r="Z86" s="73">
        <v>1172</v>
      </c>
      <c r="AA86" s="73">
        <v>1203.7</v>
      </c>
      <c r="AB86" s="73">
        <v>1208</v>
      </c>
      <c r="AC86" s="73">
        <v>1327.1</v>
      </c>
      <c r="AD86" s="73">
        <v>1386.6</v>
      </c>
      <c r="AE86" s="73">
        <v>1497.8</v>
      </c>
      <c r="AF86" s="73">
        <v>1527.5</v>
      </c>
      <c r="AG86" s="73">
        <v>1644.3</v>
      </c>
      <c r="AH86" s="73">
        <v>1742.7</v>
      </c>
      <c r="AI86" s="73">
        <v>1875.4</v>
      </c>
      <c r="AJ86" s="73">
        <v>2059.9</v>
      </c>
      <c r="AK86" s="73">
        <v>2232</v>
      </c>
      <c r="AL86" s="73">
        <v>2368.9</v>
      </c>
      <c r="AM86" s="73">
        <v>2793.7</v>
      </c>
      <c r="AN86" s="73">
        <v>2586.1</v>
      </c>
      <c r="AO86" s="73">
        <v>3247.6</v>
      </c>
      <c r="AP86" s="73">
        <v>3193.7</v>
      </c>
      <c r="AQ86" s="73">
        <v>3206.7</v>
      </c>
      <c r="AR86" s="73">
        <v>3298.4</v>
      </c>
      <c r="AS86" s="73">
        <v>3574.4</v>
      </c>
      <c r="AT86" s="73">
        <v>4621.5</v>
      </c>
      <c r="AU86" s="73">
        <v>5035.3</v>
      </c>
      <c r="AV86" s="73">
        <v>5579</v>
      </c>
      <c r="AW86" s="73">
        <v>6333.7</v>
      </c>
      <c r="AX86" s="73">
        <v>7127.5</v>
      </c>
      <c r="AY86" s="73">
        <v>7817.8</v>
      </c>
      <c r="AZ86" s="73">
        <v>7974.6</v>
      </c>
      <c r="BA86" s="73">
        <v>8513.9</v>
      </c>
      <c r="BB86" s="73">
        <v>8847.4</v>
      </c>
      <c r="BC86" s="73">
        <v>9594.7000000000007</v>
      </c>
      <c r="BD86" s="73">
        <v>9498.2999999999993</v>
      </c>
      <c r="BE86" s="73">
        <v>10416</v>
      </c>
      <c r="BF86" s="73">
        <v>11378.1</v>
      </c>
      <c r="BG86" s="73">
        <v>13408.4</v>
      </c>
      <c r="BH86" s="73">
        <v>14599.1</v>
      </c>
      <c r="BI86" s="73">
        <v>14956.3</v>
      </c>
      <c r="BJ86" s="73">
        <v>14806</v>
      </c>
      <c r="BK86" s="73">
        <v>16447</v>
      </c>
      <c r="BL86" s="73">
        <v>17593.400000000001</v>
      </c>
    </row>
    <row r="87" spans="1:64" ht="20" customHeight="1">
      <c r="A87" s="25">
        <v>83</v>
      </c>
      <c r="B87" s="26" t="s">
        <v>131</v>
      </c>
      <c r="C87" s="27" t="b">
        <f t="array" ref="C87">_xlfn.SWITCH(LEFT(B87,FIND("|",B87)-1),"ابنیه",HLOOKUP(D87,'نمودار ابنیه'!$B$5:$AD$6,2,FALSE),"مکانیکی",HLOOKUP(D87,'نمودار مکانیکی'!$B$5:$AJ$6,2,FALSE),"برقی",HLOOKUP(D87,'نمودار تاسیسات برقی'!$B$5:$AK$6,2,FALSE),"خطوط",HLOOKUP(D87,'نمودار خطوط انتقال '!$B$5:$R$6,2,FALSE),"شبکه",HLOOKUP(D87,'نمودار شبکه توزیع آ'!$B$5:$O$6,2,FALSE),"سد",HLOOKUP(D87,'نمودار سدسازی'!$B$5:$P$6,2,FALSE),"فاضلاب",HLOOKUP(D87,'نمودار جمع‌آوری و ا'!$B$5:$S$6,2,FALSE),"تجهیزات",HLOOKUP(D87,'نمودار تجهیزات آب و'!$B$5:$AG$6,2,FALSE),"پست",HLOOKUP(D87,'نمودار پست های انتق'!$B$5:$AH$6,2,FALSE),"نیرو",HLOOKUP(D87,'نمودار توزیع نیرو ب'!$B$5:$AE$6,2,FALSE),FALSE)</f>
        <v>0</v>
      </c>
      <c r="D87" s="28" t="s">
        <v>151</v>
      </c>
      <c r="E87" s="15"/>
      <c r="F87" s="29"/>
      <c r="G87" s="32">
        <v>296.2</v>
      </c>
      <c r="H87" s="32">
        <v>307.89999999999998</v>
      </c>
      <c r="I87" s="32">
        <v>328.3</v>
      </c>
      <c r="J87" s="32">
        <v>371.8</v>
      </c>
      <c r="K87" s="32">
        <v>416</v>
      </c>
      <c r="L87" s="32">
        <v>497</v>
      </c>
      <c r="M87" s="32">
        <v>615.79999999999995</v>
      </c>
      <c r="N87" s="32">
        <v>618.20000000000005</v>
      </c>
      <c r="O87" s="32">
        <v>589.20000000000005</v>
      </c>
      <c r="P87" s="32">
        <v>634.4</v>
      </c>
      <c r="Q87" s="32">
        <v>596.5</v>
      </c>
      <c r="R87" s="32">
        <v>600.5</v>
      </c>
      <c r="S87" s="32">
        <v>659.7</v>
      </c>
      <c r="T87" s="32">
        <v>662.5</v>
      </c>
      <c r="U87" s="32">
        <v>666.2</v>
      </c>
      <c r="V87" s="32">
        <v>668.5</v>
      </c>
      <c r="W87" s="32">
        <v>653.6</v>
      </c>
      <c r="X87" s="32">
        <v>655.20000000000005</v>
      </c>
      <c r="Y87" s="32">
        <v>638.1</v>
      </c>
      <c r="Z87" s="32">
        <v>639.4</v>
      </c>
      <c r="AA87" s="32">
        <v>603</v>
      </c>
      <c r="AB87" s="32">
        <v>604.9</v>
      </c>
      <c r="AC87" s="32">
        <v>663</v>
      </c>
      <c r="AD87" s="32">
        <v>694.2</v>
      </c>
      <c r="AE87" s="32">
        <v>775.7</v>
      </c>
      <c r="AF87" s="32">
        <v>777.8</v>
      </c>
      <c r="AG87" s="32">
        <v>777.7</v>
      </c>
      <c r="AH87" s="32">
        <v>831.2</v>
      </c>
      <c r="AI87" s="32">
        <v>978.6</v>
      </c>
      <c r="AJ87" s="32">
        <v>987.2</v>
      </c>
      <c r="AK87" s="32">
        <v>1160.9000000000001</v>
      </c>
      <c r="AL87" s="32">
        <v>1319.4</v>
      </c>
      <c r="AM87" s="32">
        <v>1383.9</v>
      </c>
      <c r="AN87" s="32">
        <v>1236.2</v>
      </c>
      <c r="AO87" s="32">
        <v>1558.5</v>
      </c>
      <c r="AP87" s="32">
        <v>1531.9</v>
      </c>
      <c r="AQ87" s="32">
        <v>1520.6</v>
      </c>
      <c r="AR87" s="32">
        <v>1613.3</v>
      </c>
      <c r="AS87" s="32">
        <v>1877.3</v>
      </c>
      <c r="AT87" s="32">
        <v>2254.9</v>
      </c>
      <c r="AU87" s="32">
        <v>2392.8000000000002</v>
      </c>
      <c r="AV87" s="32">
        <v>2532.9</v>
      </c>
      <c r="AW87" s="32">
        <v>3411.5</v>
      </c>
      <c r="AX87" s="32">
        <v>3439.3</v>
      </c>
      <c r="AY87" s="32">
        <v>3701</v>
      </c>
      <c r="AZ87" s="32">
        <v>3717.1</v>
      </c>
      <c r="BA87" s="32">
        <v>4035.1</v>
      </c>
      <c r="BB87" s="32">
        <v>4214.3999999999996</v>
      </c>
      <c r="BC87" s="32">
        <v>4539.8</v>
      </c>
      <c r="BD87" s="32">
        <v>4530.6000000000004</v>
      </c>
      <c r="BE87" s="32">
        <v>4862</v>
      </c>
      <c r="BF87" s="32">
        <v>5260.7</v>
      </c>
      <c r="BG87" s="32">
        <v>6284.5</v>
      </c>
      <c r="BH87" s="32">
        <v>6284.9</v>
      </c>
      <c r="BI87" s="32">
        <v>6509.9</v>
      </c>
      <c r="BJ87" s="32">
        <v>6465</v>
      </c>
      <c r="BK87" s="32">
        <v>6767</v>
      </c>
      <c r="BL87" s="32">
        <v>7375.7</v>
      </c>
    </row>
    <row r="88" spans="1:64" ht="20" customHeight="1">
      <c r="A88" s="68">
        <v>84</v>
      </c>
      <c r="B88" s="69" t="s">
        <v>131</v>
      </c>
      <c r="C88" s="70" t="b">
        <f t="array" ref="C88">_xlfn.SWITCH(LEFT(B88,FIND("|",B88)-1),"ابنیه",HLOOKUP(D88,'نمودار ابنیه'!$B$5:$AD$6,2,FALSE),"مکانیکی",HLOOKUP(D88,'نمودار مکانیکی'!$B$5:$AJ$6,2,FALSE),"برقی",HLOOKUP(D88,'نمودار تاسیسات برقی'!$B$5:$AK$6,2,FALSE),"خطوط",HLOOKUP(D88,'نمودار خطوط انتقال '!$B$5:$R$6,2,FALSE),"شبکه",HLOOKUP(D88,'نمودار شبکه توزیع آ'!$B$5:$O$6,2,FALSE),"سد",HLOOKUP(D88,'نمودار سدسازی'!$B$5:$P$6,2,FALSE),"فاضلاب",HLOOKUP(D88,'نمودار جمع‌آوری و ا'!$B$5:$S$6,2,FALSE),"تجهیزات",HLOOKUP(D88,'نمودار تجهیزات آب و'!$B$5:$AG$6,2,FALSE),"پست",HLOOKUP(D88,'نمودار پست های انتق'!$B$5:$AH$6,2,FALSE),"نیرو",HLOOKUP(D88,'نمودار توزیع نیرو ب'!$B$5:$AE$6,2,FALSE),FALSE)</f>
        <v>0</v>
      </c>
      <c r="D88" s="71" t="s">
        <v>152</v>
      </c>
      <c r="E88" s="15"/>
      <c r="F88" s="72"/>
      <c r="G88" s="73">
        <v>122.4</v>
      </c>
      <c r="H88" s="73">
        <v>122.8</v>
      </c>
      <c r="I88" s="73">
        <v>123.4</v>
      </c>
      <c r="J88" s="73">
        <v>133.1</v>
      </c>
      <c r="K88" s="73">
        <v>149.30000000000001</v>
      </c>
      <c r="L88" s="73">
        <v>164.9</v>
      </c>
      <c r="M88" s="73">
        <v>190.8</v>
      </c>
      <c r="N88" s="73">
        <v>193.8</v>
      </c>
      <c r="O88" s="73">
        <v>200.2</v>
      </c>
      <c r="P88" s="73">
        <v>205.4</v>
      </c>
      <c r="Q88" s="73">
        <v>202.9</v>
      </c>
      <c r="R88" s="73">
        <v>208.9</v>
      </c>
      <c r="S88" s="73">
        <v>217.2</v>
      </c>
      <c r="T88" s="73">
        <v>218.3</v>
      </c>
      <c r="U88" s="73">
        <v>222.4</v>
      </c>
      <c r="V88" s="73">
        <v>223.3</v>
      </c>
      <c r="W88" s="73">
        <v>229.8</v>
      </c>
      <c r="X88" s="73">
        <v>230.5</v>
      </c>
      <c r="Y88" s="73">
        <v>231.9</v>
      </c>
      <c r="Z88" s="73">
        <v>232.5</v>
      </c>
      <c r="AA88" s="73">
        <v>238.7</v>
      </c>
      <c r="AB88" s="73">
        <v>239.5</v>
      </c>
      <c r="AC88" s="73">
        <v>260.3</v>
      </c>
      <c r="AD88" s="73">
        <v>268.8</v>
      </c>
      <c r="AE88" s="73">
        <v>279.8</v>
      </c>
      <c r="AF88" s="73">
        <v>292.5</v>
      </c>
      <c r="AG88" s="73">
        <v>293.60000000000002</v>
      </c>
      <c r="AH88" s="73">
        <v>308.60000000000002</v>
      </c>
      <c r="AI88" s="73">
        <v>353.5</v>
      </c>
      <c r="AJ88" s="73">
        <v>370.4</v>
      </c>
      <c r="AK88" s="73">
        <v>418.4</v>
      </c>
      <c r="AL88" s="73">
        <v>443.9</v>
      </c>
      <c r="AM88" s="73">
        <v>483.6</v>
      </c>
      <c r="AN88" s="73">
        <v>484.2</v>
      </c>
      <c r="AO88" s="73">
        <v>547.70000000000005</v>
      </c>
      <c r="AP88" s="73">
        <v>548.29999999999995</v>
      </c>
      <c r="AQ88" s="73">
        <v>581.20000000000005</v>
      </c>
      <c r="AR88" s="73">
        <v>599.6</v>
      </c>
      <c r="AS88" s="73">
        <v>785.8</v>
      </c>
      <c r="AT88" s="73">
        <v>865.4</v>
      </c>
      <c r="AU88" s="73">
        <v>934.7</v>
      </c>
      <c r="AV88" s="73">
        <v>1018.7</v>
      </c>
      <c r="AW88" s="73">
        <v>1047</v>
      </c>
      <c r="AX88" s="73">
        <v>1407.1</v>
      </c>
      <c r="AY88" s="73">
        <v>1682.3</v>
      </c>
      <c r="AZ88" s="73">
        <v>1731.7</v>
      </c>
      <c r="BA88" s="73">
        <v>1792.2</v>
      </c>
      <c r="BB88" s="73">
        <v>1738.3</v>
      </c>
      <c r="BC88" s="73">
        <v>1890.7</v>
      </c>
      <c r="BD88" s="73">
        <v>1900.3</v>
      </c>
      <c r="BE88" s="73">
        <v>1942.7</v>
      </c>
      <c r="BF88" s="73">
        <v>2165.6999999999998</v>
      </c>
      <c r="BG88" s="73">
        <v>2591.1</v>
      </c>
      <c r="BH88" s="73">
        <v>2697</v>
      </c>
      <c r="BI88" s="73">
        <v>2947.5</v>
      </c>
      <c r="BJ88" s="73">
        <v>2969.7</v>
      </c>
      <c r="BK88" s="73">
        <v>3092.5</v>
      </c>
      <c r="BL88" s="73">
        <v>3210.7</v>
      </c>
    </row>
    <row r="89" spans="1:64" ht="20" customHeight="1">
      <c r="A89" s="25">
        <v>85</v>
      </c>
      <c r="B89" s="26" t="s">
        <v>131</v>
      </c>
      <c r="C89" s="27" t="b">
        <f t="array" ref="C89">_xlfn.SWITCH(LEFT(B89,FIND("|",B89)-1),"ابنیه",HLOOKUP(D89,'نمودار ابنیه'!$B$5:$AD$6,2,FALSE),"مکانیکی",HLOOKUP(D89,'نمودار مکانیکی'!$B$5:$AJ$6,2,FALSE),"برقی",HLOOKUP(D89,'نمودار تاسیسات برقی'!$B$5:$AK$6,2,FALSE),"خطوط",HLOOKUP(D89,'نمودار خطوط انتقال '!$B$5:$R$6,2,FALSE),"شبکه",HLOOKUP(D89,'نمودار شبکه توزیع آ'!$B$5:$O$6,2,FALSE),"سد",HLOOKUP(D89,'نمودار سدسازی'!$B$5:$P$6,2,FALSE),"فاضلاب",HLOOKUP(D89,'نمودار جمع‌آوری و ا'!$B$5:$S$6,2,FALSE),"تجهیزات",HLOOKUP(D89,'نمودار تجهیزات آب و'!$B$5:$AG$6,2,FALSE),"پست",HLOOKUP(D89,'نمودار پست های انتق'!$B$5:$AH$6,2,FALSE),"نیرو",HLOOKUP(D89,'نمودار توزیع نیرو ب'!$B$5:$AE$6,2,FALSE),FALSE)</f>
        <v>0</v>
      </c>
      <c r="D89" s="28" t="s">
        <v>153</v>
      </c>
      <c r="E89" s="15"/>
      <c r="F89" s="29"/>
      <c r="G89" s="32">
        <v>252.4</v>
      </c>
      <c r="H89" s="32">
        <v>252.8</v>
      </c>
      <c r="I89" s="32">
        <v>253.6</v>
      </c>
      <c r="J89" s="32">
        <v>278.5</v>
      </c>
      <c r="K89" s="32">
        <v>314.10000000000002</v>
      </c>
      <c r="L89" s="32">
        <v>366.4</v>
      </c>
      <c r="M89" s="32">
        <v>376.9</v>
      </c>
      <c r="N89" s="32">
        <v>411.5</v>
      </c>
      <c r="O89" s="32">
        <v>418.7</v>
      </c>
      <c r="P89" s="32">
        <v>419.9</v>
      </c>
      <c r="Q89" s="32">
        <v>423.7</v>
      </c>
      <c r="R89" s="32">
        <v>425.8</v>
      </c>
      <c r="S89" s="32">
        <v>436.4</v>
      </c>
      <c r="T89" s="32">
        <v>437.7</v>
      </c>
      <c r="U89" s="32">
        <v>459.7</v>
      </c>
      <c r="V89" s="32">
        <v>461</v>
      </c>
      <c r="W89" s="32">
        <v>505.1</v>
      </c>
      <c r="X89" s="32">
        <v>506</v>
      </c>
      <c r="Y89" s="32">
        <v>499.8</v>
      </c>
      <c r="Z89" s="32">
        <v>500.5</v>
      </c>
      <c r="AA89" s="32">
        <v>555.4</v>
      </c>
      <c r="AB89" s="32">
        <v>556.29999999999995</v>
      </c>
      <c r="AC89" s="32">
        <v>638</v>
      </c>
      <c r="AD89" s="32">
        <v>638.9</v>
      </c>
      <c r="AE89" s="32">
        <v>648</v>
      </c>
      <c r="AF89" s="32">
        <v>649.20000000000005</v>
      </c>
      <c r="AG89" s="32">
        <v>682.3</v>
      </c>
      <c r="AH89" s="32">
        <v>706.7</v>
      </c>
      <c r="AI89" s="32">
        <v>1083.2</v>
      </c>
      <c r="AJ89" s="32">
        <v>1095.7</v>
      </c>
      <c r="AK89" s="32">
        <v>1352.5</v>
      </c>
      <c r="AL89" s="32">
        <v>1361.6</v>
      </c>
      <c r="AM89" s="32">
        <v>1168.2</v>
      </c>
      <c r="AN89" s="32">
        <v>1170.8</v>
      </c>
      <c r="AO89" s="32">
        <v>1425.8</v>
      </c>
      <c r="AP89" s="32">
        <v>1432.9</v>
      </c>
      <c r="AQ89" s="32">
        <v>1438.1</v>
      </c>
      <c r="AR89" s="32">
        <v>1454.4</v>
      </c>
      <c r="AS89" s="32">
        <v>1737.1</v>
      </c>
      <c r="AT89" s="32">
        <v>2024.2</v>
      </c>
      <c r="AU89" s="32">
        <v>2176.1999999999998</v>
      </c>
      <c r="AV89" s="32">
        <v>2497.8000000000002</v>
      </c>
      <c r="AW89" s="32">
        <v>2343.9</v>
      </c>
      <c r="AX89" s="32">
        <v>2394.4</v>
      </c>
      <c r="AY89" s="32">
        <v>2544</v>
      </c>
      <c r="AZ89" s="32">
        <v>2604.6999999999998</v>
      </c>
      <c r="BA89" s="32">
        <v>2943.5</v>
      </c>
      <c r="BB89" s="32">
        <v>3092.5</v>
      </c>
      <c r="BC89" s="32">
        <v>3272.1</v>
      </c>
      <c r="BD89" s="32">
        <v>3309.2</v>
      </c>
      <c r="BE89" s="32">
        <v>3526.7</v>
      </c>
      <c r="BF89" s="32">
        <v>3858.3</v>
      </c>
      <c r="BG89" s="32">
        <v>4188</v>
      </c>
      <c r="BH89" s="32">
        <v>4188.2</v>
      </c>
      <c r="BI89" s="32">
        <v>4527.3999999999996</v>
      </c>
      <c r="BJ89" s="32">
        <v>4733.5</v>
      </c>
      <c r="BK89" s="32">
        <v>4718.1000000000004</v>
      </c>
      <c r="BL89" s="32">
        <v>4857.2</v>
      </c>
    </row>
    <row r="90" spans="1:64" ht="20" customHeight="1">
      <c r="A90" s="68">
        <v>86</v>
      </c>
      <c r="B90" s="69" t="s">
        <v>131</v>
      </c>
      <c r="C90" s="70" t="b">
        <f t="array" ref="C90">_xlfn.SWITCH(LEFT(B90,FIND("|",B90)-1),"ابنیه",HLOOKUP(D90,'نمودار ابنیه'!$B$5:$AD$6,2,FALSE),"مکانیکی",HLOOKUP(D90,'نمودار مکانیکی'!$B$5:$AJ$6,2,FALSE),"برقی",HLOOKUP(D90,'نمودار تاسیسات برقی'!$B$5:$AK$6,2,FALSE),"خطوط",HLOOKUP(D90,'نمودار خطوط انتقال '!$B$5:$R$6,2,FALSE),"شبکه",HLOOKUP(D90,'نمودار شبکه توزیع آ'!$B$5:$O$6,2,FALSE),"سد",HLOOKUP(D90,'نمودار سدسازی'!$B$5:$P$6,2,FALSE),"فاضلاب",HLOOKUP(D90,'نمودار جمع‌آوری و ا'!$B$5:$S$6,2,FALSE),"تجهیزات",HLOOKUP(D90,'نمودار تجهیزات آب و'!$B$5:$AG$6,2,FALSE),"پست",HLOOKUP(D90,'نمودار پست های انتق'!$B$5:$AH$6,2,FALSE),"نیرو",HLOOKUP(D90,'نمودار توزیع نیرو ب'!$B$5:$AE$6,2,FALSE),FALSE)</f>
        <v>0</v>
      </c>
      <c r="D90" s="71" t="s">
        <v>154</v>
      </c>
      <c r="E90" s="15"/>
      <c r="F90" s="72"/>
      <c r="G90" s="73">
        <v>226.9</v>
      </c>
      <c r="H90" s="73">
        <v>227.9</v>
      </c>
      <c r="I90" s="73">
        <v>229.9</v>
      </c>
      <c r="J90" s="73">
        <v>248.1</v>
      </c>
      <c r="K90" s="73">
        <v>281</v>
      </c>
      <c r="L90" s="73">
        <v>320.7</v>
      </c>
      <c r="M90" s="73">
        <v>363.2</v>
      </c>
      <c r="N90" s="73">
        <v>365.4</v>
      </c>
      <c r="O90" s="73">
        <v>384.1</v>
      </c>
      <c r="P90" s="73">
        <v>386.8</v>
      </c>
      <c r="Q90" s="73">
        <v>393</v>
      </c>
      <c r="R90" s="73">
        <v>398.4</v>
      </c>
      <c r="S90" s="73">
        <v>444.1</v>
      </c>
      <c r="T90" s="73">
        <v>447.5</v>
      </c>
      <c r="U90" s="73">
        <v>455</v>
      </c>
      <c r="V90" s="73">
        <v>458.3</v>
      </c>
      <c r="W90" s="73">
        <v>480.8</v>
      </c>
      <c r="X90" s="73">
        <v>482.9</v>
      </c>
      <c r="Y90" s="73">
        <v>466.7</v>
      </c>
      <c r="Z90" s="73">
        <v>468.8</v>
      </c>
      <c r="AA90" s="73">
        <v>497.4</v>
      </c>
      <c r="AB90" s="73">
        <v>499.7</v>
      </c>
      <c r="AC90" s="73">
        <v>518</v>
      </c>
      <c r="AD90" s="73">
        <v>520.29999999999995</v>
      </c>
      <c r="AE90" s="73">
        <v>543.79999999999995</v>
      </c>
      <c r="AF90" s="73">
        <v>572.29999999999995</v>
      </c>
      <c r="AG90" s="73">
        <v>574.9</v>
      </c>
      <c r="AH90" s="73">
        <v>590.5</v>
      </c>
      <c r="AI90" s="73">
        <v>742.6</v>
      </c>
      <c r="AJ90" s="73">
        <v>797.8</v>
      </c>
      <c r="AK90" s="73">
        <v>857.7</v>
      </c>
      <c r="AL90" s="73">
        <v>947.5</v>
      </c>
      <c r="AM90" s="73">
        <v>812.1</v>
      </c>
      <c r="AN90" s="73">
        <v>816.5</v>
      </c>
      <c r="AO90" s="73">
        <v>968.8</v>
      </c>
      <c r="AP90" s="73">
        <v>984.5</v>
      </c>
      <c r="AQ90" s="73">
        <v>1008.7</v>
      </c>
      <c r="AR90" s="73">
        <v>1038.7</v>
      </c>
      <c r="AS90" s="73">
        <v>1223.2</v>
      </c>
      <c r="AT90" s="73">
        <v>1393.6</v>
      </c>
      <c r="AU90" s="73">
        <v>1471.1</v>
      </c>
      <c r="AV90" s="73">
        <v>1578.7</v>
      </c>
      <c r="AW90" s="73">
        <v>1905</v>
      </c>
      <c r="AX90" s="73">
        <v>2044.8</v>
      </c>
      <c r="AY90" s="73">
        <v>2332</v>
      </c>
      <c r="AZ90" s="73">
        <v>2419.6</v>
      </c>
      <c r="BA90" s="73">
        <v>2506.6</v>
      </c>
      <c r="BB90" s="73">
        <v>2533.6</v>
      </c>
      <c r="BC90" s="73">
        <v>2920.7</v>
      </c>
      <c r="BD90" s="73">
        <v>2886.9</v>
      </c>
      <c r="BE90" s="73">
        <v>3214.5</v>
      </c>
      <c r="BF90" s="73">
        <v>3479.1</v>
      </c>
      <c r="BG90" s="73">
        <v>3861</v>
      </c>
      <c r="BH90" s="73">
        <v>3974</v>
      </c>
      <c r="BI90" s="73">
        <v>4284.5</v>
      </c>
      <c r="BJ90" s="73">
        <v>4342</v>
      </c>
      <c r="BK90" s="73">
        <v>4483.5</v>
      </c>
      <c r="BL90" s="73">
        <v>4793.6000000000004</v>
      </c>
    </row>
    <row r="91" spans="1:64" ht="20" customHeight="1">
      <c r="A91" s="25">
        <v>87</v>
      </c>
      <c r="B91" s="26" t="s">
        <v>131</v>
      </c>
      <c r="C91" s="27" t="b">
        <f t="array" ref="C91">_xlfn.SWITCH(LEFT(B91,FIND("|",B91)-1),"ابنیه",HLOOKUP(D91,'نمودار ابنیه'!$B$5:$AD$6,2,FALSE),"مکانیکی",HLOOKUP(D91,'نمودار مکانیکی'!$B$5:$AJ$6,2,FALSE),"برقی",HLOOKUP(D91,'نمودار تاسیسات برقی'!$B$5:$AK$6,2,FALSE),"خطوط",HLOOKUP(D91,'نمودار خطوط انتقال '!$B$5:$R$6,2,FALSE),"شبکه",HLOOKUP(D91,'نمودار شبکه توزیع آ'!$B$5:$O$6,2,FALSE),"سد",HLOOKUP(D91,'نمودار سدسازی'!$B$5:$P$6,2,FALSE),"فاضلاب",HLOOKUP(D91,'نمودار جمع‌آوری و ا'!$B$5:$S$6,2,FALSE),"تجهیزات",HLOOKUP(D91,'نمودار تجهیزات آب و'!$B$5:$AG$6,2,FALSE),"پست",HLOOKUP(D91,'نمودار پست های انتق'!$B$5:$AH$6,2,FALSE),"نیرو",HLOOKUP(D91,'نمودار توزیع نیرو ب'!$B$5:$AE$6,2,FALSE),FALSE)</f>
        <v>0</v>
      </c>
      <c r="D91" s="28" t="s">
        <v>155</v>
      </c>
      <c r="E91" s="15"/>
      <c r="F91" s="29"/>
      <c r="G91" s="32">
        <v>343.6</v>
      </c>
      <c r="H91" s="32">
        <v>343.7</v>
      </c>
      <c r="I91" s="32">
        <v>343.8</v>
      </c>
      <c r="J91" s="32">
        <v>381.2</v>
      </c>
      <c r="K91" s="32">
        <v>471.9</v>
      </c>
      <c r="L91" s="32">
        <v>622.5</v>
      </c>
      <c r="M91" s="32">
        <v>762.2</v>
      </c>
      <c r="N91" s="32">
        <v>828</v>
      </c>
      <c r="O91" s="32">
        <v>971.2</v>
      </c>
      <c r="P91" s="32">
        <v>866.9</v>
      </c>
      <c r="Q91" s="32">
        <v>914.9</v>
      </c>
      <c r="R91" s="32">
        <v>959.8</v>
      </c>
      <c r="S91" s="32">
        <v>1085.8</v>
      </c>
      <c r="T91" s="32">
        <v>1086</v>
      </c>
      <c r="U91" s="32">
        <v>1037.8</v>
      </c>
      <c r="V91" s="32">
        <v>1037.9000000000001</v>
      </c>
      <c r="W91" s="32">
        <v>1039</v>
      </c>
      <c r="X91" s="32">
        <v>1039.2</v>
      </c>
      <c r="Y91" s="32">
        <v>1039.3</v>
      </c>
      <c r="Z91" s="32">
        <v>1039.4000000000001</v>
      </c>
      <c r="AA91" s="32">
        <v>1040.5</v>
      </c>
      <c r="AB91" s="32">
        <v>1040.7</v>
      </c>
      <c r="AC91" s="32">
        <v>1174.2</v>
      </c>
      <c r="AD91" s="32">
        <v>1174.3</v>
      </c>
      <c r="AE91" s="32">
        <v>1175.5999999999999</v>
      </c>
      <c r="AF91" s="32">
        <v>1175.8</v>
      </c>
      <c r="AG91" s="32">
        <v>1349.8</v>
      </c>
      <c r="AH91" s="32">
        <v>1408</v>
      </c>
      <c r="AI91" s="32">
        <v>2301</v>
      </c>
      <c r="AJ91" s="32">
        <v>2427</v>
      </c>
      <c r="AK91" s="32">
        <v>2594.1999999999998</v>
      </c>
      <c r="AL91" s="32">
        <v>3401.3</v>
      </c>
      <c r="AM91" s="32">
        <v>2803.4</v>
      </c>
      <c r="AN91" s="32">
        <v>2803.9</v>
      </c>
      <c r="AO91" s="32">
        <v>3253.4</v>
      </c>
      <c r="AP91" s="32">
        <v>3365.8</v>
      </c>
      <c r="AQ91" s="32">
        <v>3283</v>
      </c>
      <c r="AR91" s="32">
        <v>3367</v>
      </c>
      <c r="AS91" s="32">
        <v>3809.9</v>
      </c>
      <c r="AT91" s="32">
        <v>4677.3</v>
      </c>
      <c r="AU91" s="32">
        <v>5285.6</v>
      </c>
      <c r="AV91" s="32">
        <v>6150.3</v>
      </c>
      <c r="AW91" s="32">
        <v>6121.7</v>
      </c>
      <c r="AX91" s="32">
        <v>6123.6</v>
      </c>
      <c r="AY91" s="32">
        <v>6318.5</v>
      </c>
      <c r="AZ91" s="32">
        <v>6443.6</v>
      </c>
      <c r="BA91" s="32">
        <v>6869.7</v>
      </c>
      <c r="BB91" s="32">
        <v>6566.4</v>
      </c>
      <c r="BC91" s="32">
        <v>6910.4</v>
      </c>
      <c r="BD91" s="32">
        <v>7055.5</v>
      </c>
      <c r="BE91" s="32">
        <v>7760</v>
      </c>
      <c r="BF91" s="32">
        <v>8024.7</v>
      </c>
      <c r="BG91" s="32">
        <v>8870.6</v>
      </c>
      <c r="BH91" s="32">
        <v>9065.9</v>
      </c>
      <c r="BI91" s="32">
        <v>9983.7999999999993</v>
      </c>
      <c r="BJ91" s="32">
        <v>9988.2999999999993</v>
      </c>
      <c r="BK91" s="32">
        <v>9992.6</v>
      </c>
      <c r="BL91" s="32">
        <v>10444.299999999999</v>
      </c>
    </row>
    <row r="92" spans="1:64" ht="20" customHeight="1">
      <c r="A92" s="68">
        <v>88</v>
      </c>
      <c r="B92" s="69" t="s">
        <v>131</v>
      </c>
      <c r="C92" s="70" t="b">
        <f t="array" ref="C92">_xlfn.SWITCH(LEFT(B92,FIND("|",B92)-1),"ابنیه",HLOOKUP(D92,'نمودار ابنیه'!$B$5:$AD$6,2,FALSE),"مکانیکی",HLOOKUP(D92,'نمودار مکانیکی'!$B$5:$AJ$6,2,FALSE),"برقی",HLOOKUP(D92,'نمودار تاسیسات برقی'!$B$5:$AK$6,2,FALSE),"خطوط",HLOOKUP(D92,'نمودار خطوط انتقال '!$B$5:$R$6,2,FALSE),"شبکه",HLOOKUP(D92,'نمودار شبکه توزیع آ'!$B$5:$O$6,2,FALSE),"سد",HLOOKUP(D92,'نمودار سدسازی'!$B$5:$P$6,2,FALSE),"فاضلاب",HLOOKUP(D92,'نمودار جمع‌آوری و ا'!$B$5:$S$6,2,FALSE),"تجهیزات",HLOOKUP(D92,'نمودار تجهیزات آب و'!$B$5:$AG$6,2,FALSE),"پست",HLOOKUP(D92,'نمودار پست های انتق'!$B$5:$AH$6,2,FALSE),"نیرو",HLOOKUP(D92,'نمودار توزیع نیرو ب'!$B$5:$AE$6,2,FALSE),FALSE)</f>
        <v>0</v>
      </c>
      <c r="D92" s="71" t="s">
        <v>156</v>
      </c>
      <c r="E92" s="15"/>
      <c r="F92" s="72"/>
      <c r="G92" s="73">
        <v>270.39999999999998</v>
      </c>
      <c r="H92" s="73">
        <v>270.8</v>
      </c>
      <c r="I92" s="73">
        <v>271.60000000000002</v>
      </c>
      <c r="J92" s="73">
        <v>286.60000000000002</v>
      </c>
      <c r="K92" s="73">
        <v>352.5</v>
      </c>
      <c r="L92" s="73">
        <v>411.4</v>
      </c>
      <c r="M92" s="73">
        <v>460.4</v>
      </c>
      <c r="N92" s="73">
        <v>458.2</v>
      </c>
      <c r="O92" s="73">
        <v>478.3</v>
      </c>
      <c r="P92" s="73">
        <v>503.7</v>
      </c>
      <c r="Q92" s="73">
        <v>484.2</v>
      </c>
      <c r="R92" s="73">
        <v>533</v>
      </c>
      <c r="S92" s="73">
        <v>477.9</v>
      </c>
      <c r="T92" s="73">
        <v>479.3</v>
      </c>
      <c r="U92" s="73">
        <v>524.5</v>
      </c>
      <c r="V92" s="73">
        <v>525.79999999999995</v>
      </c>
      <c r="W92" s="73">
        <v>541.1</v>
      </c>
      <c r="X92" s="73">
        <v>542</v>
      </c>
      <c r="Y92" s="73">
        <v>559.1</v>
      </c>
      <c r="Z92" s="73">
        <v>559.79999999999995</v>
      </c>
      <c r="AA92" s="73">
        <v>596</v>
      </c>
      <c r="AB92" s="73">
        <v>597</v>
      </c>
      <c r="AC92" s="73">
        <v>632.9</v>
      </c>
      <c r="AD92" s="73">
        <v>667.6</v>
      </c>
      <c r="AE92" s="73">
        <v>761.6</v>
      </c>
      <c r="AF92" s="73">
        <v>776.8</v>
      </c>
      <c r="AG92" s="73">
        <v>797.5</v>
      </c>
      <c r="AH92" s="73">
        <v>801.8</v>
      </c>
      <c r="AI92" s="73">
        <v>935</v>
      </c>
      <c r="AJ92" s="73">
        <v>1432.5</v>
      </c>
      <c r="AK92" s="73">
        <v>1511.1</v>
      </c>
      <c r="AL92" s="73">
        <v>1555.6</v>
      </c>
      <c r="AM92" s="73">
        <v>1720.7</v>
      </c>
      <c r="AN92" s="73">
        <v>1844.1</v>
      </c>
      <c r="AO92" s="73">
        <v>2191.5</v>
      </c>
      <c r="AP92" s="73">
        <v>1935.2</v>
      </c>
      <c r="AQ92" s="73">
        <v>2174.1</v>
      </c>
      <c r="AR92" s="73">
        <v>2287.3000000000002</v>
      </c>
      <c r="AS92" s="73">
        <v>2701.1</v>
      </c>
      <c r="AT92" s="73">
        <v>3282.5</v>
      </c>
      <c r="AU92" s="73">
        <v>3695.6</v>
      </c>
      <c r="AV92" s="73">
        <v>4246.1000000000004</v>
      </c>
      <c r="AW92" s="73">
        <v>4260.8</v>
      </c>
      <c r="AX92" s="73">
        <v>4273.8999999999996</v>
      </c>
      <c r="AY92" s="73">
        <v>4480</v>
      </c>
      <c r="AZ92" s="73">
        <v>4578.3999999999996</v>
      </c>
      <c r="BA92" s="73">
        <v>4738.8</v>
      </c>
      <c r="BB92" s="73">
        <v>4740</v>
      </c>
      <c r="BC92" s="73">
        <v>4935.8999999999996</v>
      </c>
      <c r="BD92" s="73">
        <v>4946.3</v>
      </c>
      <c r="BE92" s="73">
        <v>5620.8</v>
      </c>
      <c r="BF92" s="73">
        <v>6022.9</v>
      </c>
      <c r="BG92" s="73">
        <v>6395.3</v>
      </c>
      <c r="BH92" s="73">
        <v>6395.4</v>
      </c>
      <c r="BI92" s="73">
        <v>6659.2</v>
      </c>
      <c r="BJ92" s="73">
        <v>7109.8</v>
      </c>
      <c r="BK92" s="73">
        <v>7210.7</v>
      </c>
      <c r="BL92" s="73">
        <v>7487</v>
      </c>
    </row>
    <row r="93" spans="1:64" ht="20" customHeight="1">
      <c r="A93" s="25">
        <v>89</v>
      </c>
      <c r="B93" s="26" t="s">
        <v>131</v>
      </c>
      <c r="C93" s="27" t="b">
        <f t="array" ref="C93">_xlfn.SWITCH(LEFT(B93,FIND("|",B93)-1),"ابنیه",HLOOKUP(D93,'نمودار ابنیه'!$B$5:$AD$6,2,FALSE),"مکانیکی",HLOOKUP(D93,'نمودار مکانیکی'!$B$5:$AJ$6,2,FALSE),"برقی",HLOOKUP(D93,'نمودار تاسیسات برقی'!$B$5:$AK$6,2,FALSE),"خطوط",HLOOKUP(D93,'نمودار خطوط انتقال '!$B$5:$R$6,2,FALSE),"شبکه",HLOOKUP(D93,'نمودار شبکه توزیع آ'!$B$5:$O$6,2,FALSE),"سد",HLOOKUP(D93,'نمودار سدسازی'!$B$5:$P$6,2,FALSE),"فاضلاب",HLOOKUP(D93,'نمودار جمع‌آوری و ا'!$B$5:$S$6,2,FALSE),"تجهیزات",HLOOKUP(D93,'نمودار تجهیزات آب و'!$B$5:$AG$6,2,FALSE),"پست",HLOOKUP(D93,'نمودار پست های انتق'!$B$5:$AH$6,2,FALSE),"نیرو",HLOOKUP(D93,'نمودار توزیع نیرو ب'!$B$5:$AE$6,2,FALSE),FALSE)</f>
        <v>0</v>
      </c>
      <c r="D93" s="28" t="s">
        <v>157</v>
      </c>
      <c r="E93" s="15"/>
      <c r="F93" s="29"/>
      <c r="G93" s="32">
        <v>199</v>
      </c>
      <c r="H93" s="32">
        <v>199.1</v>
      </c>
      <c r="I93" s="32">
        <v>199.5</v>
      </c>
      <c r="J93" s="32">
        <v>221.3</v>
      </c>
      <c r="K93" s="32">
        <v>260.60000000000002</v>
      </c>
      <c r="L93" s="32">
        <v>274.3</v>
      </c>
      <c r="M93" s="32">
        <v>414.4</v>
      </c>
      <c r="N93" s="32">
        <v>414.8</v>
      </c>
      <c r="O93" s="32">
        <v>490.6</v>
      </c>
      <c r="P93" s="32">
        <v>491.1</v>
      </c>
      <c r="Q93" s="32">
        <v>460.9</v>
      </c>
      <c r="R93" s="32">
        <v>509.9</v>
      </c>
      <c r="S93" s="32">
        <v>509.9</v>
      </c>
      <c r="T93" s="32">
        <v>510.4</v>
      </c>
      <c r="U93" s="32">
        <v>515.79999999999995</v>
      </c>
      <c r="V93" s="32">
        <v>516.29999999999995</v>
      </c>
      <c r="W93" s="32">
        <v>534.1</v>
      </c>
      <c r="X93" s="32">
        <v>534.5</v>
      </c>
      <c r="Y93" s="32">
        <v>530.4</v>
      </c>
      <c r="Z93" s="32">
        <v>530.79999999999995</v>
      </c>
      <c r="AA93" s="32">
        <v>582.29999999999995</v>
      </c>
      <c r="AB93" s="32">
        <v>582.70000000000005</v>
      </c>
      <c r="AC93" s="32">
        <v>618.5</v>
      </c>
      <c r="AD93" s="32">
        <v>618.9</v>
      </c>
      <c r="AE93" s="32">
        <v>697.4</v>
      </c>
      <c r="AF93" s="32">
        <v>720.9</v>
      </c>
      <c r="AG93" s="32">
        <v>721.4</v>
      </c>
      <c r="AH93" s="32">
        <v>750.5</v>
      </c>
      <c r="AI93" s="32">
        <v>872</v>
      </c>
      <c r="AJ93" s="32">
        <v>1134.0999999999999</v>
      </c>
      <c r="AK93" s="32">
        <v>1444.1</v>
      </c>
      <c r="AL93" s="32">
        <v>1491.6</v>
      </c>
      <c r="AM93" s="32">
        <v>1373.3</v>
      </c>
      <c r="AN93" s="32">
        <v>1380</v>
      </c>
      <c r="AO93" s="32">
        <v>1607.6</v>
      </c>
      <c r="AP93" s="32">
        <v>1618.8</v>
      </c>
      <c r="AQ93" s="32">
        <v>1625.5</v>
      </c>
      <c r="AR93" s="32">
        <v>1656.7</v>
      </c>
      <c r="AS93" s="32">
        <v>1918.4</v>
      </c>
      <c r="AT93" s="32">
        <v>2341.6</v>
      </c>
      <c r="AU93" s="32">
        <v>2638.6</v>
      </c>
      <c r="AV93" s="32">
        <v>3037.6</v>
      </c>
      <c r="AW93" s="32">
        <v>3084.8</v>
      </c>
      <c r="AX93" s="32">
        <v>3124.9</v>
      </c>
      <c r="AY93" s="32">
        <v>3355.4</v>
      </c>
      <c r="AZ93" s="32">
        <v>3433.4</v>
      </c>
      <c r="BA93" s="32">
        <v>3531.5</v>
      </c>
      <c r="BB93" s="32">
        <v>3862.3</v>
      </c>
      <c r="BC93" s="32">
        <v>4319</v>
      </c>
      <c r="BD93" s="32">
        <v>4346.8</v>
      </c>
      <c r="BE93" s="32">
        <v>5165.3</v>
      </c>
      <c r="BF93" s="32">
        <v>5415.8</v>
      </c>
      <c r="BG93" s="32">
        <v>5735</v>
      </c>
      <c r="BH93" s="32">
        <v>5739.8</v>
      </c>
      <c r="BI93" s="32">
        <v>6300.3</v>
      </c>
      <c r="BJ93" s="32">
        <v>6738.8</v>
      </c>
      <c r="BK93" s="32">
        <v>6749.8</v>
      </c>
      <c r="BL93" s="32">
        <v>6917.7</v>
      </c>
    </row>
    <row r="94" spans="1:64" ht="20" customHeight="1">
      <c r="A94" s="68">
        <v>90</v>
      </c>
      <c r="B94" s="69" t="s">
        <v>131</v>
      </c>
      <c r="C94" s="70" t="b">
        <f t="array" ref="C94">_xlfn.SWITCH(LEFT(B94,FIND("|",B94)-1),"ابنیه",HLOOKUP(D94,'نمودار ابنیه'!$B$5:$AD$6,2,FALSE),"مکانیکی",HLOOKUP(D94,'نمودار مکانیکی'!$B$5:$AJ$6,2,FALSE),"برقی",HLOOKUP(D94,'نمودار تاسیسات برقی'!$B$5:$AK$6,2,FALSE),"خطوط",HLOOKUP(D94,'نمودار خطوط انتقال '!$B$5:$R$6,2,FALSE),"شبکه",HLOOKUP(D94,'نمودار شبکه توزیع آ'!$B$5:$O$6,2,FALSE),"سد",HLOOKUP(D94,'نمودار سدسازی'!$B$5:$P$6,2,FALSE),"فاضلاب",HLOOKUP(D94,'نمودار جمع‌آوری و ا'!$B$5:$S$6,2,FALSE),"تجهیزات",HLOOKUP(D94,'نمودار تجهیزات آب و'!$B$5:$AG$6,2,FALSE),"پست",HLOOKUP(D94,'نمودار پست های انتق'!$B$5:$AH$6,2,FALSE),"نیرو",HLOOKUP(D94,'نمودار توزیع نیرو ب'!$B$5:$AE$6,2,FALSE),FALSE)</f>
        <v>0</v>
      </c>
      <c r="D94" s="71" t="s">
        <v>158</v>
      </c>
      <c r="E94" s="15"/>
      <c r="F94" s="72"/>
      <c r="G94" s="73">
        <v>209.9</v>
      </c>
      <c r="H94" s="73">
        <v>216</v>
      </c>
      <c r="I94" s="73">
        <v>217.4</v>
      </c>
      <c r="J94" s="73">
        <v>241.8</v>
      </c>
      <c r="K94" s="73">
        <v>268.5</v>
      </c>
      <c r="L94" s="73">
        <v>302.8</v>
      </c>
      <c r="M94" s="73">
        <v>333.2</v>
      </c>
      <c r="N94" s="73">
        <v>334</v>
      </c>
      <c r="O94" s="73">
        <v>359.4</v>
      </c>
      <c r="P94" s="73">
        <v>365.7</v>
      </c>
      <c r="Q94" s="73">
        <v>372.5</v>
      </c>
      <c r="R94" s="73">
        <v>376.2</v>
      </c>
      <c r="S94" s="73">
        <v>407.2</v>
      </c>
      <c r="T94" s="73">
        <v>411.5</v>
      </c>
      <c r="U94" s="73">
        <v>410.1</v>
      </c>
      <c r="V94" s="73">
        <v>412.8</v>
      </c>
      <c r="W94" s="73">
        <v>409.3</v>
      </c>
      <c r="X94" s="73">
        <v>417.5</v>
      </c>
      <c r="Y94" s="73">
        <v>411.2</v>
      </c>
      <c r="Z94" s="73">
        <v>412.9</v>
      </c>
      <c r="AA94" s="73">
        <v>431.7</v>
      </c>
      <c r="AB94" s="73">
        <v>433.9</v>
      </c>
      <c r="AC94" s="73">
        <v>460.3</v>
      </c>
      <c r="AD94" s="73">
        <v>477.1</v>
      </c>
      <c r="AE94" s="73">
        <v>521.5</v>
      </c>
      <c r="AF94" s="73">
        <v>538.29999999999995</v>
      </c>
      <c r="AG94" s="73">
        <v>548.5</v>
      </c>
      <c r="AH94" s="73">
        <v>560.29999999999995</v>
      </c>
      <c r="AI94" s="73">
        <v>615.6</v>
      </c>
      <c r="AJ94" s="73">
        <v>668.6</v>
      </c>
      <c r="AK94" s="73">
        <v>770.7</v>
      </c>
      <c r="AL94" s="73">
        <v>816.4</v>
      </c>
      <c r="AM94" s="73">
        <v>866</v>
      </c>
      <c r="AN94" s="73">
        <v>875.4</v>
      </c>
      <c r="AO94" s="73">
        <v>992.8</v>
      </c>
      <c r="AP94" s="73">
        <v>988.3</v>
      </c>
      <c r="AQ94" s="73">
        <v>1054</v>
      </c>
      <c r="AR94" s="73">
        <v>1084.8</v>
      </c>
      <c r="AS94" s="73">
        <v>1528.7</v>
      </c>
      <c r="AT94" s="73">
        <v>1645.8</v>
      </c>
      <c r="AU94" s="73">
        <v>1764.4</v>
      </c>
      <c r="AV94" s="73">
        <v>1922.2</v>
      </c>
      <c r="AW94" s="73">
        <v>1983.9</v>
      </c>
      <c r="AX94" s="73">
        <v>2165.3000000000002</v>
      </c>
      <c r="AY94" s="73">
        <v>2673.8</v>
      </c>
      <c r="AZ94" s="73">
        <v>2743.5</v>
      </c>
      <c r="BA94" s="73">
        <v>2821.2</v>
      </c>
      <c r="BB94" s="73">
        <v>2706.3</v>
      </c>
      <c r="BC94" s="73">
        <v>3045.5</v>
      </c>
      <c r="BD94" s="73">
        <v>3067.5</v>
      </c>
      <c r="BE94" s="73">
        <v>3325.6</v>
      </c>
      <c r="BF94" s="73">
        <v>3541.9</v>
      </c>
      <c r="BG94" s="73">
        <v>3760.8</v>
      </c>
      <c r="BH94" s="73">
        <v>3809.3</v>
      </c>
      <c r="BI94" s="73">
        <v>4002</v>
      </c>
      <c r="BJ94" s="73">
        <v>4059.4</v>
      </c>
      <c r="BK94" s="73">
        <v>4557.7</v>
      </c>
      <c r="BL94" s="73">
        <v>4599</v>
      </c>
    </row>
    <row r="95" spans="1:64" ht="20" customHeight="1">
      <c r="A95" s="25">
        <v>91</v>
      </c>
      <c r="B95" s="26" t="s">
        <v>131</v>
      </c>
      <c r="C95" s="27" t="b">
        <f t="array" ref="C95">_xlfn.SWITCH(LEFT(B95,FIND("|",B95)-1),"ابنیه",HLOOKUP(D95,'نمودار ابنیه'!$B$5:$AD$6,2,FALSE),"مکانیکی",HLOOKUP(D95,'نمودار مکانیکی'!$B$5:$AJ$6,2,FALSE),"برقی",HLOOKUP(D95,'نمودار تاسیسات برقی'!$B$5:$AK$6,2,FALSE),"خطوط",HLOOKUP(D95,'نمودار خطوط انتقال '!$B$5:$R$6,2,FALSE),"شبکه",HLOOKUP(D95,'نمودار شبکه توزیع آ'!$B$5:$O$6,2,FALSE),"سد",HLOOKUP(D95,'نمودار سدسازی'!$B$5:$P$6,2,FALSE),"فاضلاب",HLOOKUP(D95,'نمودار جمع‌آوری و ا'!$B$5:$S$6,2,FALSE),"تجهیزات",HLOOKUP(D95,'نمودار تجهیزات آب و'!$B$5:$AG$6,2,FALSE),"پست",HLOOKUP(D95,'نمودار پست های انتق'!$B$5:$AH$6,2,FALSE),"نیرو",HLOOKUP(D95,'نمودار توزیع نیرو ب'!$B$5:$AE$6,2,FALSE),FALSE)</f>
        <v>0</v>
      </c>
      <c r="D95" s="28" t="s">
        <v>159</v>
      </c>
      <c r="E95" s="15"/>
      <c r="F95" s="29"/>
      <c r="G95" s="32">
        <v>294.10000000000002</v>
      </c>
      <c r="H95" s="32">
        <v>294.5</v>
      </c>
      <c r="I95" s="32">
        <v>295.2</v>
      </c>
      <c r="J95" s="32">
        <v>320.89999999999998</v>
      </c>
      <c r="K95" s="32">
        <v>354.8</v>
      </c>
      <c r="L95" s="32">
        <v>400.6</v>
      </c>
      <c r="M95" s="32">
        <v>403</v>
      </c>
      <c r="N95" s="32">
        <v>403.8</v>
      </c>
      <c r="O95" s="32">
        <v>410.3</v>
      </c>
      <c r="P95" s="32">
        <v>411.2</v>
      </c>
      <c r="Q95" s="32">
        <v>537.4</v>
      </c>
      <c r="R95" s="32">
        <v>539.29999999999995</v>
      </c>
      <c r="S95" s="32">
        <v>596.70000000000005</v>
      </c>
      <c r="T95" s="32">
        <v>597.9</v>
      </c>
      <c r="U95" s="32">
        <v>600.70000000000005</v>
      </c>
      <c r="V95" s="32">
        <v>601.79999999999995</v>
      </c>
      <c r="W95" s="32">
        <v>609.5</v>
      </c>
      <c r="X95" s="32">
        <v>610.20000000000005</v>
      </c>
      <c r="Y95" s="32">
        <v>584.6</v>
      </c>
      <c r="Z95" s="32">
        <v>585.29999999999995</v>
      </c>
      <c r="AA95" s="32">
        <v>617.70000000000005</v>
      </c>
      <c r="AB95" s="32">
        <v>618.5</v>
      </c>
      <c r="AC95" s="32">
        <v>644.5</v>
      </c>
      <c r="AD95" s="32">
        <v>645.29999999999995</v>
      </c>
      <c r="AE95" s="32">
        <v>657.1</v>
      </c>
      <c r="AF95" s="32">
        <v>712.1</v>
      </c>
      <c r="AG95" s="32">
        <v>738.3</v>
      </c>
      <c r="AH95" s="32">
        <v>766.8</v>
      </c>
      <c r="AI95" s="32">
        <v>849.1</v>
      </c>
      <c r="AJ95" s="32">
        <v>919.3</v>
      </c>
      <c r="AK95" s="32">
        <v>986.1</v>
      </c>
      <c r="AL95" s="32">
        <v>1052.5</v>
      </c>
      <c r="AM95" s="32">
        <v>1187.4000000000001</v>
      </c>
      <c r="AN95" s="32">
        <v>1189.8</v>
      </c>
      <c r="AO95" s="32">
        <v>1490.3</v>
      </c>
      <c r="AP95" s="32">
        <v>1462.5</v>
      </c>
      <c r="AQ95" s="32">
        <v>1438.5</v>
      </c>
      <c r="AR95" s="32">
        <v>1473</v>
      </c>
      <c r="AS95" s="32">
        <v>1734.4</v>
      </c>
      <c r="AT95" s="32">
        <v>2092</v>
      </c>
      <c r="AU95" s="32">
        <v>2357</v>
      </c>
      <c r="AV95" s="32">
        <v>2682.9</v>
      </c>
      <c r="AW95" s="32">
        <v>2913.3</v>
      </c>
      <c r="AX95" s="32">
        <v>3293.6</v>
      </c>
      <c r="AY95" s="32">
        <v>3516.7</v>
      </c>
      <c r="AZ95" s="32">
        <v>3633</v>
      </c>
      <c r="BA95" s="32">
        <v>3732.8</v>
      </c>
      <c r="BB95" s="32">
        <v>3942.8</v>
      </c>
      <c r="BC95" s="32">
        <v>4195.3999999999996</v>
      </c>
      <c r="BD95" s="32">
        <v>4205</v>
      </c>
      <c r="BE95" s="32">
        <v>4526.3999999999996</v>
      </c>
      <c r="BF95" s="32">
        <v>4652.7</v>
      </c>
      <c r="BG95" s="32">
        <v>5335.4</v>
      </c>
      <c r="BH95" s="32">
        <v>5550.1</v>
      </c>
      <c r="BI95" s="32">
        <v>5784.6</v>
      </c>
      <c r="BJ95" s="32">
        <v>5922.1</v>
      </c>
      <c r="BK95" s="32">
        <v>6248.5</v>
      </c>
      <c r="BL95" s="32">
        <v>6462.6</v>
      </c>
    </row>
    <row r="96" spans="1:64" ht="20" customHeight="1">
      <c r="A96" s="68">
        <v>92</v>
      </c>
      <c r="B96" s="69" t="s">
        <v>131</v>
      </c>
      <c r="C96" s="70" t="b">
        <f t="array" ref="C96">_xlfn.SWITCH(LEFT(B96,FIND("|",B96)-1),"ابنیه",HLOOKUP(D96,'نمودار ابنیه'!$B$5:$AD$6,2,FALSE),"مکانیکی",HLOOKUP(D96,'نمودار مکانیکی'!$B$5:$AJ$6,2,FALSE),"برقی",HLOOKUP(D96,'نمودار تاسیسات برقی'!$B$5:$AK$6,2,FALSE),"خطوط",HLOOKUP(D96,'نمودار خطوط انتقال '!$B$5:$R$6,2,FALSE),"شبکه",HLOOKUP(D96,'نمودار شبکه توزیع آ'!$B$5:$O$6,2,FALSE),"سد",HLOOKUP(D96,'نمودار سدسازی'!$B$5:$P$6,2,FALSE),"فاضلاب",HLOOKUP(D96,'نمودار جمع‌آوری و ا'!$B$5:$S$6,2,FALSE),"تجهیزات",HLOOKUP(D96,'نمودار تجهیزات آب و'!$B$5:$AG$6,2,FALSE),"پست",HLOOKUP(D96,'نمودار پست های انتق'!$B$5:$AH$6,2,FALSE),"نیرو",HLOOKUP(D96,'نمودار توزیع نیرو ب'!$B$5:$AE$6,2,FALSE),FALSE)</f>
        <v>0</v>
      </c>
      <c r="D96" s="71" t="s">
        <v>160</v>
      </c>
      <c r="E96" s="15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</row>
    <row r="97" spans="1:64" ht="20" customHeight="1">
      <c r="A97" s="25">
        <v>93</v>
      </c>
      <c r="B97" s="26" t="s">
        <v>131</v>
      </c>
      <c r="C97" s="27" t="b">
        <f t="array" ref="C97">_xlfn.SWITCH(LEFT(B97,FIND("|",B97)-1),"ابنیه",HLOOKUP(D97,'نمودار ابنیه'!$B$5:$AD$6,2,FALSE),"مکانیکی",HLOOKUP(D97,'نمودار مکانیکی'!$B$5:$AJ$6,2,FALSE),"برقی",HLOOKUP(D97,'نمودار تاسیسات برقی'!$B$5:$AK$6,2,FALSE),"خطوط",HLOOKUP(D97,'نمودار خطوط انتقال '!$B$5:$R$6,2,FALSE),"شبکه",HLOOKUP(D97,'نمودار شبکه توزیع آ'!$B$5:$O$6,2,FALSE),"سد",HLOOKUP(D97,'نمودار سدسازی'!$B$5:$P$6,2,FALSE),"فاضلاب",HLOOKUP(D97,'نمودار جمع‌آوری و ا'!$B$5:$S$6,2,FALSE),"تجهیزات",HLOOKUP(D97,'نمودار تجهیزات آب و'!$B$5:$AG$6,2,FALSE),"پست",HLOOKUP(D97,'نمودار پست های انتق'!$B$5:$AH$6,2,FALSE),"نیرو",HLOOKUP(D97,'نمودار توزیع نیرو ب'!$B$5:$AE$6,2,FALSE),FALSE)</f>
        <v>0</v>
      </c>
      <c r="D97" s="28" t="s">
        <v>161</v>
      </c>
      <c r="E97" s="15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32">
        <v>2000</v>
      </c>
      <c r="AS97" s="32">
        <v>2288</v>
      </c>
      <c r="AT97" s="32">
        <v>2612</v>
      </c>
      <c r="AU97" s="32">
        <v>2864</v>
      </c>
      <c r="AV97" s="32">
        <v>3170</v>
      </c>
      <c r="AW97" s="32">
        <v>3800</v>
      </c>
      <c r="AX97" s="32">
        <v>3560</v>
      </c>
      <c r="AY97" s="32">
        <v>4343.2</v>
      </c>
      <c r="AZ97" s="32">
        <v>4343.2</v>
      </c>
      <c r="BA97" s="32">
        <v>4378.8</v>
      </c>
      <c r="BB97" s="32">
        <v>5340</v>
      </c>
      <c r="BC97" s="32">
        <v>5425.4</v>
      </c>
      <c r="BD97" s="32">
        <v>5799.2</v>
      </c>
      <c r="BE97" s="32">
        <v>6675</v>
      </c>
      <c r="BF97" s="32">
        <v>8597.4</v>
      </c>
      <c r="BG97" s="32">
        <v>8650.7999999999993</v>
      </c>
      <c r="BH97" s="32">
        <v>8490.6</v>
      </c>
      <c r="BI97" s="32">
        <v>9084.9</v>
      </c>
      <c r="BJ97" s="32">
        <v>9254.7999999999993</v>
      </c>
      <c r="BK97" s="32">
        <v>10018.9</v>
      </c>
      <c r="BL97" s="32">
        <v>10443.4</v>
      </c>
    </row>
    <row r="98" spans="1:64" ht="20" customHeight="1">
      <c r="A98" s="68">
        <v>94</v>
      </c>
      <c r="B98" s="69" t="s">
        <v>131</v>
      </c>
      <c r="C98" s="70" t="b">
        <f t="array" ref="C98">_xlfn.SWITCH(LEFT(B98,FIND("|",B98)-1),"ابنیه",HLOOKUP(D98,'نمودار ابنیه'!$B$5:$AD$6,2,FALSE),"مکانیکی",HLOOKUP(D98,'نمودار مکانیکی'!$B$5:$AJ$6,2,FALSE),"برقی",HLOOKUP(D98,'نمودار تاسیسات برقی'!$B$5:$AK$6,2,FALSE),"خطوط",HLOOKUP(D98,'نمودار خطوط انتقال '!$B$5:$R$6,2,FALSE),"شبکه",HLOOKUP(D98,'نمودار شبکه توزیع آ'!$B$5:$O$6,2,FALSE),"سد",HLOOKUP(D98,'نمودار سدسازی'!$B$5:$P$6,2,FALSE),"فاضلاب",HLOOKUP(D98,'نمودار جمع‌آوری و ا'!$B$5:$S$6,2,FALSE),"تجهیزات",HLOOKUP(D98,'نمودار تجهیزات آب و'!$B$5:$AG$6,2,FALSE),"پست",HLOOKUP(D98,'نمودار پست های انتق'!$B$5:$AH$6,2,FALSE),"نیرو",HLOOKUP(D98,'نمودار توزیع نیرو ب'!$B$5:$AE$6,2,FALSE),FALSE)</f>
        <v>0</v>
      </c>
      <c r="D98" s="71" t="s">
        <v>162</v>
      </c>
      <c r="E98" s="15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3">
        <v>2000</v>
      </c>
      <c r="AS98" s="73">
        <v>2270</v>
      </c>
      <c r="AT98" s="73">
        <v>2600</v>
      </c>
      <c r="AU98" s="73">
        <v>2860</v>
      </c>
      <c r="AV98" s="73">
        <v>3160</v>
      </c>
      <c r="AW98" s="73">
        <v>3840</v>
      </c>
      <c r="AX98" s="73">
        <v>3700</v>
      </c>
      <c r="AY98" s="73">
        <v>3774</v>
      </c>
      <c r="AZ98" s="73">
        <v>3811</v>
      </c>
      <c r="BA98" s="73">
        <v>3885</v>
      </c>
      <c r="BB98" s="73">
        <v>3885</v>
      </c>
      <c r="BC98" s="73">
        <v>3947.2</v>
      </c>
      <c r="BD98" s="73">
        <v>4219.1000000000004</v>
      </c>
      <c r="BE98" s="73">
        <v>4933.8999999999996</v>
      </c>
      <c r="BF98" s="73">
        <v>4895.1000000000004</v>
      </c>
      <c r="BG98" s="73">
        <v>4972.8</v>
      </c>
      <c r="BH98" s="73">
        <v>6060.6</v>
      </c>
      <c r="BI98" s="73">
        <v>6484.8</v>
      </c>
      <c r="BJ98" s="73">
        <v>6181.8</v>
      </c>
      <c r="BK98" s="73">
        <v>6181.8</v>
      </c>
      <c r="BL98" s="73">
        <v>6242.4</v>
      </c>
    </row>
    <row r="99" spans="1:64" ht="20" customHeight="1">
      <c r="A99" s="25">
        <v>95</v>
      </c>
      <c r="B99" s="26" t="s">
        <v>131</v>
      </c>
      <c r="C99" s="27" t="b">
        <f t="array" ref="C99">_xlfn.SWITCH(LEFT(B99,FIND("|",B99)-1),"ابنیه",HLOOKUP(D99,'نمودار ابنیه'!$B$5:$AD$6,2,FALSE),"مکانیکی",HLOOKUP(D99,'نمودار مکانیکی'!$B$5:$AJ$6,2,FALSE),"برقی",HLOOKUP(D99,'نمودار تاسیسات برقی'!$B$5:$AK$6,2,FALSE),"خطوط",HLOOKUP(D99,'نمودار خطوط انتقال '!$B$5:$R$6,2,FALSE),"شبکه",HLOOKUP(D99,'نمودار شبکه توزیع آ'!$B$5:$O$6,2,FALSE),"سد",HLOOKUP(D99,'نمودار سدسازی'!$B$5:$P$6,2,FALSE),"فاضلاب",HLOOKUP(D99,'نمودار جمع‌آوری و ا'!$B$5:$S$6,2,FALSE),"تجهیزات",HLOOKUP(D99,'نمودار تجهیزات آب و'!$B$5:$AG$6,2,FALSE),"پست",HLOOKUP(D99,'نمودار پست های انتق'!$B$5:$AH$6,2,FALSE),"نیرو",HLOOKUP(D99,'نمودار توزیع نیرو ب'!$B$5:$AE$6,2,FALSE),FALSE)</f>
        <v>0</v>
      </c>
      <c r="D99" s="28" t="s">
        <v>163</v>
      </c>
      <c r="E99" s="15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32">
        <v>2000</v>
      </c>
      <c r="AS99" s="32">
        <v>2224</v>
      </c>
      <c r="AT99" s="32">
        <v>3040</v>
      </c>
      <c r="AU99" s="32">
        <v>3440</v>
      </c>
      <c r="AV99" s="32">
        <v>3504</v>
      </c>
      <c r="AW99" s="32">
        <v>3960</v>
      </c>
      <c r="AX99" s="32">
        <v>4100</v>
      </c>
      <c r="AY99" s="32">
        <v>4756</v>
      </c>
      <c r="AZ99" s="32">
        <v>5002</v>
      </c>
      <c r="BA99" s="32">
        <v>4797</v>
      </c>
      <c r="BB99" s="32">
        <v>4715</v>
      </c>
      <c r="BC99" s="32">
        <v>5092.2</v>
      </c>
      <c r="BD99" s="32">
        <v>5233.7</v>
      </c>
      <c r="BE99" s="32">
        <v>5469.4</v>
      </c>
      <c r="BF99" s="32">
        <v>6176.7</v>
      </c>
      <c r="BG99" s="32">
        <v>6789.6</v>
      </c>
      <c r="BH99" s="32">
        <v>7355.4</v>
      </c>
      <c r="BI99" s="32">
        <v>7649.6</v>
      </c>
      <c r="BJ99" s="32">
        <v>8164.5</v>
      </c>
      <c r="BK99" s="32">
        <v>9341.2999999999993</v>
      </c>
      <c r="BL99" s="32">
        <v>9341.2999999999993</v>
      </c>
    </row>
    <row r="100" spans="1:64" ht="20" customHeight="1">
      <c r="A100" s="68">
        <v>96</v>
      </c>
      <c r="B100" s="69" t="s">
        <v>131</v>
      </c>
      <c r="C100" s="70" t="b">
        <f t="array" ref="C100">_xlfn.SWITCH(LEFT(B100,FIND("|",B100)-1),"ابنیه",HLOOKUP(D100,'نمودار ابنیه'!$B$5:$AD$6,2,FALSE),"مکانیکی",HLOOKUP(D100,'نمودار مکانیکی'!$B$5:$AJ$6,2,FALSE),"برقی",HLOOKUP(D100,'نمودار تاسیسات برقی'!$B$5:$AK$6,2,FALSE),"خطوط",HLOOKUP(D100,'نمودار خطوط انتقال '!$B$5:$R$6,2,FALSE),"شبکه",HLOOKUP(D100,'نمودار شبکه توزیع آ'!$B$5:$O$6,2,FALSE),"سد",HLOOKUP(D100,'نمودار سدسازی'!$B$5:$P$6,2,FALSE),"فاضلاب",HLOOKUP(D100,'نمودار جمع‌آوری و ا'!$B$5:$S$6,2,FALSE),"تجهیزات",HLOOKUP(D100,'نمودار تجهیزات آب و'!$B$5:$AG$6,2,FALSE),"پست",HLOOKUP(D100,'نمودار پست های انتق'!$B$5:$AH$6,2,FALSE),"نیرو",HLOOKUP(D100,'نمودار توزیع نیرو ب'!$B$5:$AE$6,2,FALSE),FALSE)</f>
        <v>0</v>
      </c>
      <c r="D100" s="71" t="s">
        <v>164</v>
      </c>
      <c r="E100" s="15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3">
        <v>2000</v>
      </c>
      <c r="AS100" s="73">
        <v>2288</v>
      </c>
      <c r="AT100" s="73">
        <v>2600</v>
      </c>
      <c r="AU100" s="73">
        <v>2860</v>
      </c>
      <c r="AV100" s="73">
        <v>3160</v>
      </c>
      <c r="AW100" s="73">
        <v>3600</v>
      </c>
      <c r="AX100" s="73">
        <v>3480</v>
      </c>
      <c r="AY100" s="73">
        <v>4245.6000000000004</v>
      </c>
      <c r="AZ100" s="73">
        <v>4245.6000000000004</v>
      </c>
      <c r="BA100" s="73">
        <v>4350</v>
      </c>
      <c r="BB100" s="73">
        <v>4176</v>
      </c>
      <c r="BC100" s="73">
        <v>4259.5</v>
      </c>
      <c r="BD100" s="73">
        <v>4568.5</v>
      </c>
      <c r="BE100" s="73">
        <v>5470.6</v>
      </c>
      <c r="BF100" s="73">
        <v>5888.2</v>
      </c>
      <c r="BG100" s="73">
        <v>6013.4</v>
      </c>
      <c r="BH100" s="73">
        <v>5888.2</v>
      </c>
      <c r="BI100" s="73">
        <v>6889.2</v>
      </c>
      <c r="BJ100" s="73">
        <v>6948.1</v>
      </c>
      <c r="BK100" s="73">
        <v>6948</v>
      </c>
      <c r="BL100" s="73">
        <v>7242.4</v>
      </c>
    </row>
    <row r="101" spans="1:64" ht="20" customHeight="1">
      <c r="A101" s="25">
        <v>97</v>
      </c>
      <c r="B101" s="26" t="s">
        <v>131</v>
      </c>
      <c r="C101" s="27" t="b">
        <f t="array" ref="C101">_xlfn.SWITCH(LEFT(B101,FIND("|",B101)-1),"ابنیه",HLOOKUP(D101,'نمودار ابنیه'!$B$5:$AD$6,2,FALSE),"مکانیکی",HLOOKUP(D101,'نمودار مکانیکی'!$B$5:$AJ$6,2,FALSE),"برقی",HLOOKUP(D101,'نمودار تاسیسات برقی'!$B$5:$AK$6,2,FALSE),"خطوط",HLOOKUP(D101,'نمودار خطوط انتقال '!$B$5:$R$6,2,FALSE),"شبکه",HLOOKUP(D101,'نمودار شبکه توزیع آ'!$B$5:$O$6,2,FALSE),"سد",HLOOKUP(D101,'نمودار سدسازی'!$B$5:$P$6,2,FALSE),"فاضلاب",HLOOKUP(D101,'نمودار جمع‌آوری و ا'!$B$5:$S$6,2,FALSE),"تجهیزات",HLOOKUP(D101,'نمودار تجهیزات آب و'!$B$5:$AG$6,2,FALSE),"پست",HLOOKUP(D101,'نمودار پست های انتق'!$B$5:$AH$6,2,FALSE),"نیرو",HLOOKUP(D101,'نمودار توزیع نیرو ب'!$B$5:$AE$6,2,FALSE),FALSE)</f>
        <v>0</v>
      </c>
      <c r="D101" s="28" t="s">
        <v>165</v>
      </c>
      <c r="E101" s="15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32">
        <v>2000</v>
      </c>
      <c r="AS101" s="32">
        <v>2198</v>
      </c>
      <c r="AT101" s="32">
        <v>2720</v>
      </c>
      <c r="AU101" s="32">
        <v>3026</v>
      </c>
      <c r="AV101" s="32">
        <v>3422</v>
      </c>
      <c r="AW101" s="32">
        <v>3600</v>
      </c>
      <c r="AX101" s="32">
        <v>3500</v>
      </c>
      <c r="AY101" s="32">
        <v>4025</v>
      </c>
      <c r="AZ101" s="32">
        <v>4270</v>
      </c>
      <c r="BA101" s="32">
        <v>4445</v>
      </c>
      <c r="BB101" s="32">
        <v>4235</v>
      </c>
      <c r="BC101" s="32">
        <v>4658.5</v>
      </c>
      <c r="BD101" s="32">
        <v>4870.3</v>
      </c>
      <c r="BE101" s="32">
        <v>5336.1</v>
      </c>
      <c r="BF101" s="32">
        <v>6733.6</v>
      </c>
      <c r="BG101" s="32">
        <v>6776</v>
      </c>
      <c r="BH101" s="32">
        <v>6776</v>
      </c>
      <c r="BI101" s="32">
        <v>8266.7000000000007</v>
      </c>
      <c r="BJ101" s="32">
        <v>8334.5</v>
      </c>
      <c r="BK101" s="32">
        <v>7995.6</v>
      </c>
      <c r="BL101" s="32">
        <v>8334.4</v>
      </c>
    </row>
    <row r="102" spans="1:64" ht="20" customHeight="1">
      <c r="A102" s="68">
        <v>98</v>
      </c>
      <c r="B102" s="69" t="s">
        <v>131</v>
      </c>
      <c r="C102" s="70" t="b">
        <f t="array" ref="C102">_xlfn.SWITCH(LEFT(B102,FIND("|",B102)-1),"ابنیه",HLOOKUP(D102,'نمودار ابنیه'!$B$5:$AD$6,2,FALSE),"مکانیکی",HLOOKUP(D102,'نمودار مکانیکی'!$B$5:$AJ$6,2,FALSE),"برقی",HLOOKUP(D102,'نمودار تاسیسات برقی'!$B$5:$AK$6,2,FALSE),"خطوط",HLOOKUP(D102,'نمودار خطوط انتقال '!$B$5:$R$6,2,FALSE),"شبکه",HLOOKUP(D102,'نمودار شبکه توزیع آ'!$B$5:$O$6,2,FALSE),"سد",HLOOKUP(D102,'نمودار سدسازی'!$B$5:$P$6,2,FALSE),"فاضلاب",HLOOKUP(D102,'نمودار جمع‌آوری و ا'!$B$5:$S$6,2,FALSE),"تجهیزات",HLOOKUP(D102,'نمودار تجهیزات آب و'!$B$5:$AG$6,2,FALSE),"پست",HLOOKUP(D102,'نمودار پست های انتق'!$B$5:$AH$6,2,FALSE),"نیرو",HLOOKUP(D102,'نمودار توزیع نیرو ب'!$B$5:$AE$6,2,FALSE),FALSE)</f>
        <v>0</v>
      </c>
      <c r="D102" s="71" t="s">
        <v>96</v>
      </c>
      <c r="E102" s="15"/>
      <c r="F102" s="72"/>
      <c r="G102" s="73">
        <v>323.10000000000002</v>
      </c>
      <c r="H102" s="73">
        <v>329.7</v>
      </c>
      <c r="I102" s="73">
        <v>337.1</v>
      </c>
      <c r="J102" s="73">
        <v>342.6</v>
      </c>
      <c r="K102" s="73">
        <v>380.3</v>
      </c>
      <c r="L102" s="73">
        <v>399.9</v>
      </c>
      <c r="M102" s="73">
        <v>420.3</v>
      </c>
      <c r="N102" s="73">
        <v>429.7</v>
      </c>
      <c r="O102" s="73">
        <v>486.1</v>
      </c>
      <c r="P102" s="73">
        <v>495.3</v>
      </c>
      <c r="Q102" s="73">
        <v>510.1</v>
      </c>
      <c r="R102" s="73">
        <v>524.1</v>
      </c>
      <c r="S102" s="73">
        <v>607.9</v>
      </c>
      <c r="T102" s="73">
        <v>618.6</v>
      </c>
      <c r="U102" s="73">
        <v>628.1</v>
      </c>
      <c r="V102" s="73">
        <v>637.79999999999995</v>
      </c>
      <c r="W102" s="73">
        <v>703.7</v>
      </c>
      <c r="X102" s="73">
        <v>709.7</v>
      </c>
      <c r="Y102" s="73">
        <v>715</v>
      </c>
      <c r="Z102" s="73">
        <v>720.4</v>
      </c>
      <c r="AA102" s="73">
        <v>778.8</v>
      </c>
      <c r="AB102" s="73">
        <v>786</v>
      </c>
      <c r="AC102" s="73">
        <v>793.2</v>
      </c>
      <c r="AD102" s="73">
        <v>800.4</v>
      </c>
      <c r="AE102" s="73">
        <v>871.2</v>
      </c>
      <c r="AF102" s="73">
        <v>875.6</v>
      </c>
      <c r="AG102" s="73">
        <v>888.4</v>
      </c>
      <c r="AH102" s="73">
        <v>896.4</v>
      </c>
      <c r="AI102" s="73">
        <v>1029.0999999999999</v>
      </c>
      <c r="AJ102" s="73">
        <v>1075.7</v>
      </c>
      <c r="AK102" s="73">
        <v>1085.5</v>
      </c>
      <c r="AL102" s="73">
        <v>1095</v>
      </c>
      <c r="AM102" s="73">
        <v>1112.3</v>
      </c>
      <c r="AN102" s="73">
        <v>1141</v>
      </c>
      <c r="AO102" s="73">
        <v>1390.2</v>
      </c>
      <c r="AP102" s="73">
        <v>1452.4</v>
      </c>
      <c r="AQ102" s="73">
        <v>1479.2</v>
      </c>
      <c r="AR102" s="73">
        <v>1514</v>
      </c>
      <c r="AS102" s="73">
        <v>1848.6</v>
      </c>
      <c r="AT102" s="73">
        <v>2019.7</v>
      </c>
      <c r="AU102" s="73">
        <v>2033.3</v>
      </c>
      <c r="AV102" s="73">
        <v>2063.6</v>
      </c>
      <c r="AW102" s="73">
        <v>2266.5</v>
      </c>
      <c r="AX102" s="73">
        <v>2380</v>
      </c>
      <c r="AY102" s="73">
        <v>3124.9</v>
      </c>
      <c r="AZ102" s="73">
        <v>3272.5</v>
      </c>
      <c r="BA102" s="73">
        <v>3279.6</v>
      </c>
      <c r="BB102" s="73">
        <v>3296.3</v>
      </c>
      <c r="BC102" s="73">
        <v>4285.2</v>
      </c>
      <c r="BD102" s="73">
        <v>4367.6000000000004</v>
      </c>
      <c r="BE102" s="73">
        <v>4641.2</v>
      </c>
      <c r="BF102" s="73">
        <v>4812.6000000000004</v>
      </c>
      <c r="BG102" s="73">
        <v>4812.6000000000004</v>
      </c>
      <c r="BH102" s="73">
        <v>4812.6000000000004</v>
      </c>
      <c r="BI102" s="73">
        <v>5948.4</v>
      </c>
      <c r="BJ102" s="73">
        <v>6150.5</v>
      </c>
      <c r="BK102" s="73">
        <v>6309.3</v>
      </c>
      <c r="BL102" s="73">
        <v>6472.9</v>
      </c>
    </row>
    <row r="103" spans="1:64" ht="20" customHeight="1">
      <c r="A103" s="20">
        <v>99</v>
      </c>
      <c r="B103" s="21" t="s">
        <v>166</v>
      </c>
      <c r="C103" s="22" t="b">
        <f t="array" ref="C103">_xlfn.SWITCH(LEFT(B103,FIND("|",B103)-1),"ابنیه",HLOOKUP(D103,'نمودار ابنیه'!$B$5:$AD$6,2,FALSE),"مکانیکی",HLOOKUP(D103,'نمودار مکانیکی'!$B$5:$AJ$6,2,FALSE),"برقی",HLOOKUP(D103,'نمودار تاسیسات برقی'!$B$5:$AK$6,2,FALSE),"خطوط",HLOOKUP(D103,'نمودار خطوط انتقال '!$B$5:$R$6,2,FALSE),"شبکه",HLOOKUP(D103,'نمودار شبکه توزیع آ'!$B$5:$O$6,2,FALSE),"سد",HLOOKUP(D103,'نمودار سدسازی'!$B$5:$P$6,2,FALSE),"فاضلاب",HLOOKUP(D103,'نمودار جمع‌آوری و ا'!$B$5:$S$6,2,FALSE),"تجهیزات",HLOOKUP(D103,'نمودار تجهیزات آب و'!$B$5:$AG$6,2,FALSE),"پست",HLOOKUP(D103,'نمودار پست های انتق'!$B$5:$AH$6,2,FALSE),"نیرو",HLOOKUP(D103,'نمودار توزیع نیرو ب'!$B$5:$AE$6,2,FALSE),FALSE)</f>
        <v>1</v>
      </c>
      <c r="D103" s="23" t="s">
        <v>167</v>
      </c>
      <c r="E103" s="15"/>
      <c r="F103" s="24"/>
      <c r="G103" s="31">
        <v>334.3</v>
      </c>
      <c r="H103" s="31">
        <v>345.9</v>
      </c>
      <c r="I103" s="31">
        <v>357.9</v>
      </c>
      <c r="J103" s="31">
        <v>369.8</v>
      </c>
      <c r="K103" s="31">
        <v>407</v>
      </c>
      <c r="L103" s="31">
        <v>428.4</v>
      </c>
      <c r="M103" s="31">
        <v>464.6</v>
      </c>
      <c r="N103" s="31">
        <v>481</v>
      </c>
      <c r="O103" s="31">
        <v>534.70000000000005</v>
      </c>
      <c r="P103" s="31">
        <v>546.20000000000005</v>
      </c>
      <c r="Q103" s="31">
        <v>557</v>
      </c>
      <c r="R103" s="31">
        <v>567.9</v>
      </c>
      <c r="S103" s="31">
        <v>647.29999999999995</v>
      </c>
      <c r="T103" s="31">
        <v>659.8</v>
      </c>
      <c r="U103" s="31">
        <v>668</v>
      </c>
      <c r="V103" s="31">
        <v>675.9</v>
      </c>
      <c r="W103" s="31">
        <v>677</v>
      </c>
      <c r="X103" s="31">
        <v>678</v>
      </c>
      <c r="Y103" s="31">
        <v>679</v>
      </c>
      <c r="Z103" s="31">
        <v>680</v>
      </c>
      <c r="AA103" s="31">
        <v>681</v>
      </c>
      <c r="AB103" s="31">
        <v>682</v>
      </c>
      <c r="AC103" s="31">
        <v>683</v>
      </c>
      <c r="AD103" s="31">
        <v>684</v>
      </c>
      <c r="AE103" s="31">
        <v>685</v>
      </c>
      <c r="AF103" s="31">
        <v>686</v>
      </c>
      <c r="AG103" s="31">
        <v>687</v>
      </c>
      <c r="AH103" s="31">
        <v>688</v>
      </c>
      <c r="AI103" s="31">
        <v>689</v>
      </c>
      <c r="AJ103" s="31">
        <v>690</v>
      </c>
      <c r="AK103" s="31">
        <v>691</v>
      </c>
      <c r="AL103" s="31">
        <v>692</v>
      </c>
      <c r="AM103" s="31">
        <v>692</v>
      </c>
      <c r="AN103" s="31">
        <v>693</v>
      </c>
      <c r="AO103" s="31">
        <v>694</v>
      </c>
      <c r="AP103" s="31">
        <v>695</v>
      </c>
      <c r="AQ103" s="31">
        <v>696</v>
      </c>
      <c r="AR103" s="31">
        <v>697</v>
      </c>
      <c r="AS103" s="31">
        <v>698</v>
      </c>
      <c r="AT103" s="31">
        <v>699</v>
      </c>
      <c r="AU103" s="31">
        <v>700</v>
      </c>
      <c r="AV103" s="31">
        <v>701</v>
      </c>
      <c r="AW103" s="31">
        <v>702</v>
      </c>
      <c r="AX103" s="31">
        <v>703</v>
      </c>
      <c r="AY103" s="31">
        <v>704</v>
      </c>
      <c r="AZ103" s="31">
        <v>705</v>
      </c>
      <c r="BA103" s="31">
        <v>706</v>
      </c>
      <c r="BB103" s="31">
        <v>707</v>
      </c>
      <c r="BC103" s="31">
        <v>708</v>
      </c>
      <c r="BD103" s="31">
        <v>709</v>
      </c>
      <c r="BE103" s="31">
        <v>710</v>
      </c>
      <c r="BF103" s="31">
        <v>711</v>
      </c>
      <c r="BG103" s="31">
        <v>711</v>
      </c>
      <c r="BH103" s="31">
        <v>711</v>
      </c>
      <c r="BI103" s="31">
        <v>712</v>
      </c>
      <c r="BJ103" s="31">
        <v>713</v>
      </c>
      <c r="BK103" s="31">
        <v>714</v>
      </c>
      <c r="BL103" s="31">
        <v>715</v>
      </c>
    </row>
    <row r="104" spans="1:64" ht="20" customHeight="1">
      <c r="A104" s="68">
        <v>100</v>
      </c>
      <c r="B104" s="69" t="s">
        <v>166</v>
      </c>
      <c r="C104" s="70" t="b">
        <f t="array" ref="C104">_xlfn.SWITCH(LEFT(B104,FIND("|",B104)-1),"ابنیه",HLOOKUP(D104,'نمودار ابنیه'!$B$5:$AD$6,2,FALSE),"مکانیکی",HLOOKUP(D104,'نمودار مکانیکی'!$B$5:$AJ$6,2,FALSE),"برقی",HLOOKUP(D104,'نمودار تاسیسات برقی'!$B$5:$AK$6,2,FALSE),"خطوط",HLOOKUP(D104,'نمودار خطوط انتقال '!$B$5:$R$6,2,FALSE),"شبکه",HLOOKUP(D104,'نمودار شبکه توزیع آ'!$B$5:$O$6,2,FALSE),"سد",HLOOKUP(D104,'نمودار سدسازی'!$B$5:$P$6,2,FALSE),"فاضلاب",HLOOKUP(D104,'نمودار جمع‌آوری و ا'!$B$5:$S$6,2,FALSE),"تجهیزات",HLOOKUP(D104,'نمودار تجهیزات آب و'!$B$5:$AG$6,2,FALSE),"پست",HLOOKUP(D104,'نمودار پست های انتق'!$B$5:$AH$6,2,FALSE),"نیرو",HLOOKUP(D104,'نمودار توزیع نیرو ب'!$B$5:$AE$6,2,FALSE),FALSE)</f>
        <v>1</v>
      </c>
      <c r="D104" s="71" t="s">
        <v>168</v>
      </c>
      <c r="E104" s="15"/>
      <c r="F104" s="72"/>
      <c r="G104" s="73">
        <v>333.1</v>
      </c>
      <c r="H104" s="73">
        <v>344.7</v>
      </c>
      <c r="I104" s="73">
        <v>357.2</v>
      </c>
      <c r="J104" s="73">
        <v>369.4</v>
      </c>
      <c r="K104" s="73">
        <v>406.1</v>
      </c>
      <c r="L104" s="73">
        <v>427.7</v>
      </c>
      <c r="M104" s="73">
        <v>464.5</v>
      </c>
      <c r="N104" s="73">
        <v>481.2</v>
      </c>
      <c r="O104" s="73">
        <v>534.20000000000005</v>
      </c>
      <c r="P104" s="73">
        <v>545.9</v>
      </c>
      <c r="Q104" s="73">
        <v>556.9</v>
      </c>
      <c r="R104" s="73">
        <v>567.9</v>
      </c>
      <c r="S104" s="73">
        <v>646.1</v>
      </c>
      <c r="T104" s="73">
        <v>658.6</v>
      </c>
      <c r="U104" s="73">
        <v>666.7</v>
      </c>
      <c r="V104" s="73">
        <v>674.6</v>
      </c>
      <c r="W104" s="73">
        <v>731.6</v>
      </c>
      <c r="X104" s="73">
        <v>736.9</v>
      </c>
      <c r="Y104" s="73">
        <v>740.8</v>
      </c>
      <c r="Z104" s="73">
        <v>744</v>
      </c>
      <c r="AA104" s="73">
        <v>792.9</v>
      </c>
      <c r="AB104" s="73">
        <v>800.5</v>
      </c>
      <c r="AC104" s="73">
        <v>808</v>
      </c>
      <c r="AD104" s="73">
        <v>815.3</v>
      </c>
      <c r="AE104" s="73">
        <v>879</v>
      </c>
      <c r="AF104" s="73">
        <v>881.7</v>
      </c>
      <c r="AG104" s="73">
        <v>900.4</v>
      </c>
      <c r="AH104" s="73">
        <v>909</v>
      </c>
      <c r="AI104" s="73">
        <v>1029.5</v>
      </c>
      <c r="AJ104" s="73">
        <v>1110.5999999999999</v>
      </c>
      <c r="AK104" s="73">
        <v>1145</v>
      </c>
      <c r="AL104" s="73">
        <v>1174.2</v>
      </c>
      <c r="AM104" s="73">
        <v>1191.2</v>
      </c>
      <c r="AN104" s="73">
        <v>1237.0999999999999</v>
      </c>
      <c r="AO104" s="73">
        <v>1472.8</v>
      </c>
      <c r="AP104" s="73">
        <v>1552.1</v>
      </c>
      <c r="AQ104" s="73">
        <v>1613.9</v>
      </c>
      <c r="AR104" s="73">
        <v>1681.2</v>
      </c>
      <c r="AS104" s="73">
        <v>2039.1</v>
      </c>
      <c r="AT104" s="73">
        <v>2308.9</v>
      </c>
      <c r="AU104" s="73">
        <v>2364.9</v>
      </c>
      <c r="AV104" s="73">
        <v>2482.1</v>
      </c>
      <c r="AW104" s="73">
        <v>2734.3</v>
      </c>
      <c r="AX104" s="73">
        <v>2884.2</v>
      </c>
      <c r="AY104" s="73">
        <v>3746.7</v>
      </c>
      <c r="AZ104" s="73">
        <v>3997.9</v>
      </c>
      <c r="BA104" s="73">
        <v>4025.4</v>
      </c>
      <c r="BB104" s="73">
        <v>4113.5</v>
      </c>
      <c r="BC104" s="73">
        <v>5165.6000000000004</v>
      </c>
      <c r="BD104" s="73">
        <v>5297.3</v>
      </c>
      <c r="BE104" s="73">
        <v>5714.8</v>
      </c>
      <c r="BF104" s="73">
        <v>6014.2</v>
      </c>
      <c r="BG104" s="73">
        <v>6016.7</v>
      </c>
      <c r="BH104" s="73">
        <v>6028.8</v>
      </c>
      <c r="BI104" s="73">
        <v>7311.1</v>
      </c>
      <c r="BJ104" s="73">
        <v>7615.6</v>
      </c>
      <c r="BK104" s="73">
        <v>7760.4</v>
      </c>
      <c r="BL104" s="73">
        <v>7982</v>
      </c>
    </row>
    <row r="105" spans="1:64" ht="20" customHeight="1">
      <c r="A105" s="25">
        <v>101</v>
      </c>
      <c r="B105" s="26" t="s">
        <v>166</v>
      </c>
      <c r="C105" s="27" t="b">
        <f t="array" ref="C105">_xlfn.SWITCH(LEFT(B105,FIND("|",B105)-1),"ابنیه",HLOOKUP(D105,'نمودار ابنیه'!$B$5:$AD$6,2,FALSE),"مکانیکی",HLOOKUP(D105,'نمودار مکانیکی'!$B$5:$AJ$6,2,FALSE),"برقی",HLOOKUP(D105,'نمودار تاسیسات برقی'!$B$5:$AK$6,2,FALSE),"خطوط",HLOOKUP(D105,'نمودار خطوط انتقال '!$B$5:$R$6,2,FALSE),"شبکه",HLOOKUP(D105,'نمودار شبکه توزیع آ'!$B$5:$O$6,2,FALSE),"سد",HLOOKUP(D105,'نمودار سدسازی'!$B$5:$P$6,2,FALSE),"فاضلاب",HLOOKUP(D105,'نمودار جمع‌آوری و ا'!$B$5:$S$6,2,FALSE),"تجهیزات",HLOOKUP(D105,'نمودار تجهیزات آب و'!$B$5:$AG$6,2,FALSE),"پست",HLOOKUP(D105,'نمودار پست های انتق'!$B$5:$AH$6,2,FALSE),"نیرو",HLOOKUP(D105,'نمودار توزیع نیرو ب'!$B$5:$AE$6,2,FALSE),FALSE)</f>
        <v>1</v>
      </c>
      <c r="D105" s="28" t="s">
        <v>169</v>
      </c>
      <c r="E105" s="15"/>
      <c r="F105" s="29"/>
      <c r="G105" s="32">
        <v>334.6</v>
      </c>
      <c r="H105" s="32">
        <v>347.1</v>
      </c>
      <c r="I105" s="32">
        <v>360.6</v>
      </c>
      <c r="J105" s="32">
        <v>374.5</v>
      </c>
      <c r="K105" s="32">
        <v>410.8</v>
      </c>
      <c r="L105" s="32">
        <v>433.2</v>
      </c>
      <c r="M105" s="32">
        <v>473.4</v>
      </c>
      <c r="N105" s="32">
        <v>491.8</v>
      </c>
      <c r="O105" s="32">
        <v>543.6</v>
      </c>
      <c r="P105" s="32">
        <v>555.6</v>
      </c>
      <c r="Q105" s="32">
        <v>565.9</v>
      </c>
      <c r="R105" s="32">
        <v>576.5</v>
      </c>
      <c r="S105" s="32">
        <v>652.4</v>
      </c>
      <c r="T105" s="32">
        <v>665.5</v>
      </c>
      <c r="U105" s="32">
        <v>673.4</v>
      </c>
      <c r="V105" s="32">
        <v>680.6</v>
      </c>
      <c r="W105" s="32">
        <v>734.2</v>
      </c>
      <c r="X105" s="32">
        <v>739.6</v>
      </c>
      <c r="Y105" s="32">
        <v>743.3</v>
      </c>
      <c r="Z105" s="32">
        <v>745.9</v>
      </c>
      <c r="AA105" s="32">
        <v>792.1</v>
      </c>
      <c r="AB105" s="32">
        <v>799.8</v>
      </c>
      <c r="AC105" s="32">
        <v>807.4</v>
      </c>
      <c r="AD105" s="32">
        <v>814.6</v>
      </c>
      <c r="AE105" s="32">
        <v>875.3</v>
      </c>
      <c r="AF105" s="32">
        <v>878.7</v>
      </c>
      <c r="AG105" s="32">
        <v>898.2</v>
      </c>
      <c r="AH105" s="32">
        <v>907.2</v>
      </c>
      <c r="AI105" s="32">
        <v>1023.8</v>
      </c>
      <c r="AJ105" s="32">
        <v>1112.7</v>
      </c>
      <c r="AK105" s="32">
        <v>1154.4000000000001</v>
      </c>
      <c r="AL105" s="32">
        <v>1188</v>
      </c>
      <c r="AM105" s="32">
        <v>1205.9000000000001</v>
      </c>
      <c r="AN105" s="32">
        <v>1258.3</v>
      </c>
      <c r="AO105" s="32">
        <v>1488.2</v>
      </c>
      <c r="AP105" s="32">
        <v>1570.5</v>
      </c>
      <c r="AQ105" s="32">
        <v>1644.1</v>
      </c>
      <c r="AR105" s="32">
        <v>1718.2</v>
      </c>
      <c r="AS105" s="32">
        <v>2078.5</v>
      </c>
      <c r="AT105" s="32">
        <v>2374.1999999999998</v>
      </c>
      <c r="AU105" s="32">
        <v>2440.6</v>
      </c>
      <c r="AV105" s="32">
        <v>2578.4</v>
      </c>
      <c r="AW105" s="32">
        <v>2842.6</v>
      </c>
      <c r="AX105" s="32">
        <v>3004.1</v>
      </c>
      <c r="AY105" s="32">
        <v>3885.1</v>
      </c>
      <c r="AZ105" s="32">
        <v>4167.7</v>
      </c>
      <c r="BA105" s="32">
        <v>4199.3</v>
      </c>
      <c r="BB105" s="32">
        <v>4306.5</v>
      </c>
      <c r="BC105" s="32">
        <v>5383.1</v>
      </c>
      <c r="BD105" s="32">
        <v>5529.4</v>
      </c>
      <c r="BE105" s="32">
        <v>5965.7</v>
      </c>
      <c r="BF105" s="32">
        <v>6288.1</v>
      </c>
      <c r="BG105" s="32">
        <v>6292.5</v>
      </c>
      <c r="BH105" s="32">
        <v>6313.4</v>
      </c>
      <c r="BI105" s="32">
        <v>7620.8</v>
      </c>
      <c r="BJ105" s="32">
        <v>7951.8</v>
      </c>
      <c r="BK105" s="32">
        <v>8106.6</v>
      </c>
      <c r="BL105" s="32">
        <v>8342.2999999999993</v>
      </c>
    </row>
    <row r="106" spans="1:64" ht="20" customHeight="1">
      <c r="A106" s="68">
        <v>102</v>
      </c>
      <c r="B106" s="69" t="s">
        <v>166</v>
      </c>
      <c r="C106" s="70" t="b">
        <f t="array" ref="C106">_xlfn.SWITCH(LEFT(B106,FIND("|",B106)-1),"ابنیه",HLOOKUP(D106,'نمودار ابنیه'!$B$5:$AD$6,2,FALSE),"مکانیکی",HLOOKUP(D106,'نمودار مکانیکی'!$B$5:$AJ$6,2,FALSE),"برقی",HLOOKUP(D106,'نمودار تاسیسات برقی'!$B$5:$AK$6,2,FALSE),"خطوط",HLOOKUP(D106,'نمودار خطوط انتقال '!$B$5:$R$6,2,FALSE),"شبکه",HLOOKUP(D106,'نمودار شبکه توزیع آ'!$B$5:$O$6,2,FALSE),"سد",HLOOKUP(D106,'نمودار سدسازی'!$B$5:$P$6,2,FALSE),"فاضلاب",HLOOKUP(D106,'نمودار جمع‌آوری و ا'!$B$5:$S$6,2,FALSE),"تجهیزات",HLOOKUP(D106,'نمودار تجهیزات آب و'!$B$5:$AG$6,2,FALSE),"پست",HLOOKUP(D106,'نمودار پست های انتق'!$B$5:$AH$6,2,FALSE),"نیرو",HLOOKUP(D106,'نمودار توزیع نیرو ب'!$B$5:$AE$6,2,FALSE),FALSE)</f>
        <v>1</v>
      </c>
      <c r="D106" s="71" t="s">
        <v>170</v>
      </c>
      <c r="E106" s="15"/>
      <c r="F106" s="72"/>
      <c r="G106" s="73">
        <v>334.4</v>
      </c>
      <c r="H106" s="73">
        <v>346.8</v>
      </c>
      <c r="I106" s="73">
        <v>361.8</v>
      </c>
      <c r="J106" s="73">
        <v>376.2</v>
      </c>
      <c r="K106" s="73">
        <v>412.2</v>
      </c>
      <c r="L106" s="73">
        <v>435.3</v>
      </c>
      <c r="M106" s="73">
        <v>479.8</v>
      </c>
      <c r="N106" s="73">
        <v>500</v>
      </c>
      <c r="O106" s="73">
        <v>550.6</v>
      </c>
      <c r="P106" s="73">
        <v>562.29999999999995</v>
      </c>
      <c r="Q106" s="73">
        <v>573.6</v>
      </c>
      <c r="R106" s="73">
        <v>583.6</v>
      </c>
      <c r="S106" s="73">
        <v>657.8</v>
      </c>
      <c r="T106" s="73">
        <v>670.6</v>
      </c>
      <c r="U106" s="73">
        <v>677.8</v>
      </c>
      <c r="V106" s="73">
        <v>685.1</v>
      </c>
      <c r="W106" s="73">
        <v>738.6</v>
      </c>
      <c r="X106" s="73">
        <v>743.5</v>
      </c>
      <c r="Y106" s="73">
        <v>746.2</v>
      </c>
      <c r="Z106" s="73">
        <v>748.5</v>
      </c>
      <c r="AA106" s="73">
        <v>794.5</v>
      </c>
      <c r="AB106" s="73">
        <v>802.2</v>
      </c>
      <c r="AC106" s="73">
        <v>809.5</v>
      </c>
      <c r="AD106" s="73">
        <v>816.8</v>
      </c>
      <c r="AE106" s="73">
        <v>877</v>
      </c>
      <c r="AF106" s="73">
        <v>879.6</v>
      </c>
      <c r="AG106" s="73">
        <v>899.1</v>
      </c>
      <c r="AH106" s="73">
        <v>907.6</v>
      </c>
      <c r="AI106" s="73">
        <v>1022.3</v>
      </c>
      <c r="AJ106" s="73">
        <v>1117</v>
      </c>
      <c r="AK106" s="73">
        <v>1158.4000000000001</v>
      </c>
      <c r="AL106" s="73">
        <v>1194.9000000000001</v>
      </c>
      <c r="AM106" s="73">
        <v>1219.8</v>
      </c>
      <c r="AN106" s="73">
        <v>1277.5999999999999</v>
      </c>
      <c r="AO106" s="73">
        <v>1503.8</v>
      </c>
      <c r="AP106" s="73">
        <v>1589.1</v>
      </c>
      <c r="AQ106" s="73">
        <v>1659.1</v>
      </c>
      <c r="AR106" s="73">
        <v>1735.2</v>
      </c>
      <c r="AS106" s="73">
        <v>2090.1999999999998</v>
      </c>
      <c r="AT106" s="73">
        <v>2390.9</v>
      </c>
      <c r="AU106" s="73">
        <v>2461.3000000000002</v>
      </c>
      <c r="AV106" s="73">
        <v>2612.4</v>
      </c>
      <c r="AW106" s="73">
        <v>2874.8</v>
      </c>
      <c r="AX106" s="73">
        <v>3036</v>
      </c>
      <c r="AY106" s="73">
        <v>3926.8</v>
      </c>
      <c r="AZ106" s="73">
        <v>4213.3</v>
      </c>
      <c r="BA106" s="73">
        <v>4247.3999999999996</v>
      </c>
      <c r="BB106" s="73">
        <v>4356.5</v>
      </c>
      <c r="BC106" s="73">
        <v>5461.8</v>
      </c>
      <c r="BD106" s="73">
        <v>5614.7</v>
      </c>
      <c r="BE106" s="73">
        <v>6015.2</v>
      </c>
      <c r="BF106" s="73">
        <v>6358.4</v>
      </c>
      <c r="BG106" s="73">
        <v>6368.2</v>
      </c>
      <c r="BH106" s="73">
        <v>6394.3</v>
      </c>
      <c r="BI106" s="73">
        <v>7721.9</v>
      </c>
      <c r="BJ106" s="73">
        <v>8059.7</v>
      </c>
      <c r="BK106" s="73">
        <v>8195.7999999999993</v>
      </c>
      <c r="BL106" s="73">
        <v>8439.2000000000007</v>
      </c>
    </row>
    <row r="107" spans="1:64" ht="20" customHeight="1">
      <c r="A107" s="25">
        <v>103</v>
      </c>
      <c r="B107" s="26" t="s">
        <v>166</v>
      </c>
      <c r="C107" s="27" t="b">
        <f t="array" ref="C107">_xlfn.SWITCH(LEFT(B107,FIND("|",B107)-1),"ابنیه",HLOOKUP(D107,'نمودار ابنیه'!$B$5:$AD$6,2,FALSE),"مکانیکی",HLOOKUP(D107,'نمودار مکانیکی'!$B$5:$AJ$6,2,FALSE),"برقی",HLOOKUP(D107,'نمودار تاسیسات برقی'!$B$5:$AK$6,2,FALSE),"خطوط",HLOOKUP(D107,'نمودار خطوط انتقال '!$B$5:$R$6,2,FALSE),"شبکه",HLOOKUP(D107,'نمودار شبکه توزیع آ'!$B$5:$O$6,2,FALSE),"سد",HLOOKUP(D107,'نمودار سدسازی'!$B$5:$P$6,2,FALSE),"فاضلاب",HLOOKUP(D107,'نمودار جمع‌آوری و ا'!$B$5:$S$6,2,FALSE),"تجهیزات",HLOOKUP(D107,'نمودار تجهیزات آب و'!$B$5:$AG$6,2,FALSE),"پست",HLOOKUP(D107,'نمودار پست های انتق'!$B$5:$AH$6,2,FALSE),"نیرو",HLOOKUP(D107,'نمودار توزیع نیرو ب'!$B$5:$AE$6,2,FALSE),FALSE)</f>
        <v>1</v>
      </c>
      <c r="D107" s="28" t="s">
        <v>171</v>
      </c>
      <c r="E107" s="15"/>
      <c r="F107" s="29"/>
      <c r="G107" s="32">
        <v>334.4</v>
      </c>
      <c r="H107" s="32">
        <v>347.1</v>
      </c>
      <c r="I107" s="32">
        <v>361.5</v>
      </c>
      <c r="J107" s="32">
        <v>376</v>
      </c>
      <c r="K107" s="32">
        <v>411.7</v>
      </c>
      <c r="L107" s="32">
        <v>434.7</v>
      </c>
      <c r="M107" s="32">
        <v>476.5</v>
      </c>
      <c r="N107" s="32">
        <v>495.6</v>
      </c>
      <c r="O107" s="32">
        <v>546.5</v>
      </c>
      <c r="P107" s="32">
        <v>558.9</v>
      </c>
      <c r="Q107" s="32">
        <v>569.5</v>
      </c>
      <c r="R107" s="32">
        <v>580.29999999999995</v>
      </c>
      <c r="S107" s="32">
        <v>654.70000000000005</v>
      </c>
      <c r="T107" s="32">
        <v>667.9</v>
      </c>
      <c r="U107" s="32">
        <v>675.5</v>
      </c>
      <c r="V107" s="32">
        <v>682.7</v>
      </c>
      <c r="W107" s="32">
        <v>736</v>
      </c>
      <c r="X107" s="32">
        <v>741.2</v>
      </c>
      <c r="Y107" s="32">
        <v>744.5</v>
      </c>
      <c r="Z107" s="32">
        <v>746.9</v>
      </c>
      <c r="AA107" s="32">
        <v>792.7</v>
      </c>
      <c r="AB107" s="32">
        <v>800.4</v>
      </c>
      <c r="AC107" s="32">
        <v>807.9</v>
      </c>
      <c r="AD107" s="32">
        <v>815.2</v>
      </c>
      <c r="AE107" s="32">
        <v>874.9</v>
      </c>
      <c r="AF107" s="32">
        <v>878</v>
      </c>
      <c r="AG107" s="32">
        <v>897.8</v>
      </c>
      <c r="AH107" s="32">
        <v>906.7</v>
      </c>
      <c r="AI107" s="32">
        <v>1021.7</v>
      </c>
      <c r="AJ107" s="32">
        <v>1114.3</v>
      </c>
      <c r="AK107" s="32">
        <v>1157.4000000000001</v>
      </c>
      <c r="AL107" s="32">
        <v>1193.5</v>
      </c>
      <c r="AM107" s="32">
        <v>1211</v>
      </c>
      <c r="AN107" s="32">
        <v>1264.7</v>
      </c>
      <c r="AO107" s="32">
        <v>1491.8</v>
      </c>
      <c r="AP107" s="32">
        <v>1576</v>
      </c>
      <c r="AQ107" s="32">
        <v>1650.5</v>
      </c>
      <c r="AR107" s="32">
        <v>1726.9</v>
      </c>
      <c r="AS107" s="32">
        <v>2082.9</v>
      </c>
      <c r="AT107" s="32">
        <v>2382.6999999999998</v>
      </c>
      <c r="AU107" s="32">
        <v>2453.1</v>
      </c>
      <c r="AV107" s="32">
        <v>2599.5</v>
      </c>
      <c r="AW107" s="32">
        <v>2865.2</v>
      </c>
      <c r="AX107" s="32">
        <v>3027.7</v>
      </c>
      <c r="AY107" s="32">
        <v>3915.5</v>
      </c>
      <c r="AZ107" s="32">
        <v>4204.3</v>
      </c>
      <c r="BA107" s="32">
        <v>4236.3999999999996</v>
      </c>
      <c r="BB107" s="32">
        <v>4347.8</v>
      </c>
      <c r="BC107" s="32">
        <v>5440</v>
      </c>
      <c r="BD107" s="32">
        <v>5590.5</v>
      </c>
      <c r="BE107" s="32">
        <v>6011.2</v>
      </c>
      <c r="BF107" s="32">
        <v>6345.2</v>
      </c>
      <c r="BG107" s="32">
        <v>6348.9</v>
      </c>
      <c r="BH107" s="32">
        <v>6366.4</v>
      </c>
      <c r="BI107" s="32">
        <v>7682.2</v>
      </c>
      <c r="BJ107" s="32">
        <v>8023.7</v>
      </c>
      <c r="BK107" s="32">
        <v>8172.7</v>
      </c>
      <c r="BL107" s="32">
        <v>8415.5</v>
      </c>
    </row>
    <row r="108" spans="1:64" ht="20" customHeight="1">
      <c r="A108" s="68">
        <v>104</v>
      </c>
      <c r="B108" s="69" t="s">
        <v>166</v>
      </c>
      <c r="C108" s="70" t="b">
        <f t="array" ref="C108">_xlfn.SWITCH(LEFT(B108,FIND("|",B108)-1),"ابنیه",HLOOKUP(D108,'نمودار ابنیه'!$B$5:$AD$6,2,FALSE),"مکانیکی",HLOOKUP(D108,'نمودار مکانیکی'!$B$5:$AJ$6,2,FALSE),"برقی",HLOOKUP(D108,'نمودار تاسیسات برقی'!$B$5:$AK$6,2,FALSE),"خطوط",HLOOKUP(D108,'نمودار خطوط انتقال '!$B$5:$R$6,2,FALSE),"شبکه",HLOOKUP(D108,'نمودار شبکه توزیع آ'!$B$5:$O$6,2,FALSE),"سد",HLOOKUP(D108,'نمودار سدسازی'!$B$5:$P$6,2,FALSE),"فاضلاب",HLOOKUP(D108,'نمودار جمع‌آوری و ا'!$B$5:$S$6,2,FALSE),"تجهیزات",HLOOKUP(D108,'نمودار تجهیزات آب و'!$B$5:$AG$6,2,FALSE),"پست",HLOOKUP(D108,'نمودار پست های انتق'!$B$5:$AH$6,2,FALSE),"نیرو",HLOOKUP(D108,'نمودار توزیع نیرو ب'!$B$5:$AE$6,2,FALSE),FALSE)</f>
        <v>0</v>
      </c>
      <c r="D108" s="71" t="s">
        <v>172</v>
      </c>
      <c r="E108" s="15"/>
      <c r="F108" s="72"/>
      <c r="G108" s="73">
        <v>334.7</v>
      </c>
      <c r="H108" s="73">
        <v>345.3</v>
      </c>
      <c r="I108" s="73">
        <v>356.1</v>
      </c>
      <c r="J108" s="73">
        <v>366.2</v>
      </c>
      <c r="K108" s="73">
        <v>404.1</v>
      </c>
      <c r="L108" s="73">
        <v>425</v>
      </c>
      <c r="M108" s="73">
        <v>458.4</v>
      </c>
      <c r="N108" s="73">
        <v>472.9</v>
      </c>
      <c r="O108" s="73">
        <v>528.4</v>
      </c>
      <c r="P108" s="73">
        <v>539.1</v>
      </c>
      <c r="Q108" s="73">
        <v>542.79999999999995</v>
      </c>
      <c r="R108" s="73">
        <v>553.29999999999995</v>
      </c>
      <c r="S108" s="73">
        <v>621.9</v>
      </c>
      <c r="T108" s="73">
        <v>634.1</v>
      </c>
      <c r="U108" s="73">
        <v>640.20000000000005</v>
      </c>
      <c r="V108" s="73">
        <v>647.4</v>
      </c>
      <c r="W108" s="73">
        <v>698.5</v>
      </c>
      <c r="X108" s="73">
        <v>703.1</v>
      </c>
      <c r="Y108" s="73">
        <v>705.7</v>
      </c>
      <c r="Z108" s="73">
        <v>707</v>
      </c>
      <c r="AA108" s="73">
        <v>750.1</v>
      </c>
      <c r="AB108" s="73">
        <v>757.2</v>
      </c>
      <c r="AC108" s="73">
        <v>764.3</v>
      </c>
      <c r="AD108" s="73">
        <v>771.3</v>
      </c>
      <c r="AE108" s="73">
        <v>826.8</v>
      </c>
      <c r="AF108" s="73">
        <v>828.4</v>
      </c>
      <c r="AG108" s="73">
        <v>846.9</v>
      </c>
      <c r="AH108" s="73">
        <v>854.6</v>
      </c>
      <c r="AI108" s="73">
        <v>963.1</v>
      </c>
      <c r="AJ108" s="73">
        <v>1056.3</v>
      </c>
      <c r="AK108" s="73">
        <v>1097.3</v>
      </c>
      <c r="AL108" s="73">
        <v>1134.9000000000001</v>
      </c>
      <c r="AM108" s="73">
        <v>1153.7</v>
      </c>
      <c r="AN108" s="73">
        <v>1208.4000000000001</v>
      </c>
      <c r="AO108" s="73">
        <v>1427.1</v>
      </c>
      <c r="AP108" s="73">
        <v>1511.7</v>
      </c>
      <c r="AQ108" s="73">
        <v>1577</v>
      </c>
      <c r="AR108" s="73">
        <v>1653.1</v>
      </c>
      <c r="AS108" s="73">
        <v>1982.1</v>
      </c>
      <c r="AT108" s="73">
        <v>2264.6999999999998</v>
      </c>
      <c r="AU108" s="73">
        <v>2335.8000000000002</v>
      </c>
      <c r="AV108" s="73">
        <v>2487.9</v>
      </c>
      <c r="AW108" s="73">
        <v>2740.8</v>
      </c>
      <c r="AX108" s="73">
        <v>2888</v>
      </c>
      <c r="AY108" s="73">
        <v>3745.7</v>
      </c>
      <c r="AZ108" s="73">
        <v>4020.1</v>
      </c>
      <c r="BA108" s="73">
        <v>4066.3</v>
      </c>
      <c r="BB108" s="73">
        <v>4173.2</v>
      </c>
      <c r="BC108" s="73">
        <v>5237.3999999999996</v>
      </c>
      <c r="BD108" s="73">
        <v>5383.4</v>
      </c>
      <c r="BE108" s="73">
        <v>5759</v>
      </c>
      <c r="BF108" s="73">
        <v>6088.7</v>
      </c>
      <c r="BG108" s="73">
        <v>6088.7</v>
      </c>
      <c r="BH108" s="73">
        <v>6088.7</v>
      </c>
      <c r="BI108" s="73">
        <v>7373.4</v>
      </c>
      <c r="BJ108" s="73">
        <v>7708.3</v>
      </c>
      <c r="BK108" s="73">
        <v>7830.1</v>
      </c>
      <c r="BL108" s="73">
        <v>8067.5</v>
      </c>
    </row>
    <row r="109" spans="1:64" ht="20" customHeight="1">
      <c r="A109" s="25">
        <v>105</v>
      </c>
      <c r="B109" s="26" t="s">
        <v>166</v>
      </c>
      <c r="C109" s="27" t="b">
        <f t="array" ref="C109">_xlfn.SWITCH(LEFT(B109,FIND("|",B109)-1),"ابنیه",HLOOKUP(D109,'نمودار ابنیه'!$B$5:$AD$6,2,FALSE),"مکانیکی",HLOOKUP(D109,'نمودار مکانیکی'!$B$5:$AJ$6,2,FALSE),"برقی",HLOOKUP(D109,'نمودار تاسیسات برقی'!$B$5:$AK$6,2,FALSE),"خطوط",HLOOKUP(D109,'نمودار خطوط انتقال '!$B$5:$R$6,2,FALSE),"شبکه",HLOOKUP(D109,'نمودار شبکه توزیع آ'!$B$5:$O$6,2,FALSE),"سد",HLOOKUP(D109,'نمودار سدسازی'!$B$5:$P$6,2,FALSE),"فاضلاب",HLOOKUP(D109,'نمودار جمع‌آوری و ا'!$B$5:$S$6,2,FALSE),"تجهیزات",HLOOKUP(D109,'نمودار تجهیزات آب و'!$B$5:$AG$6,2,FALSE),"پست",HLOOKUP(D109,'نمودار پست های انتق'!$B$5:$AH$6,2,FALSE),"نیرو",HLOOKUP(D109,'نمودار توزیع نیرو ب'!$B$5:$AE$6,2,FALSE),FALSE)</f>
        <v>0</v>
      </c>
      <c r="D109" s="28" t="s">
        <v>173</v>
      </c>
      <c r="E109" s="15"/>
      <c r="F109" s="29"/>
      <c r="G109" s="32">
        <v>335.6</v>
      </c>
      <c r="H109" s="32">
        <v>346.9</v>
      </c>
      <c r="I109" s="32">
        <v>358.1</v>
      </c>
      <c r="J109" s="32">
        <v>368.8</v>
      </c>
      <c r="K109" s="32">
        <v>406.9</v>
      </c>
      <c r="L109" s="32">
        <v>428</v>
      </c>
      <c r="M109" s="32">
        <v>462.5</v>
      </c>
      <c r="N109" s="32">
        <v>477.8</v>
      </c>
      <c r="O109" s="32">
        <v>533.1</v>
      </c>
      <c r="P109" s="32">
        <v>544.20000000000005</v>
      </c>
      <c r="Q109" s="32">
        <v>555</v>
      </c>
      <c r="R109" s="32">
        <v>565.70000000000005</v>
      </c>
      <c r="S109" s="32">
        <v>648.20000000000005</v>
      </c>
      <c r="T109" s="32">
        <v>660.3</v>
      </c>
      <c r="U109" s="32">
        <v>668.6</v>
      </c>
      <c r="V109" s="32">
        <v>677.2</v>
      </c>
      <c r="W109" s="32">
        <v>737.9</v>
      </c>
      <c r="X109" s="32">
        <v>743.4</v>
      </c>
      <c r="Y109" s="32">
        <v>747.4</v>
      </c>
      <c r="Z109" s="32">
        <v>751.2</v>
      </c>
      <c r="AA109" s="32">
        <v>802.9</v>
      </c>
      <c r="AB109" s="32">
        <v>810.4</v>
      </c>
      <c r="AC109" s="32">
        <v>817.9</v>
      </c>
      <c r="AD109" s="32">
        <v>825.5</v>
      </c>
      <c r="AE109" s="32">
        <v>893.2</v>
      </c>
      <c r="AF109" s="32">
        <v>895.3</v>
      </c>
      <c r="AG109" s="32">
        <v>914</v>
      </c>
      <c r="AH109" s="32">
        <v>922.7</v>
      </c>
      <c r="AI109" s="32">
        <v>1048.7</v>
      </c>
      <c r="AJ109" s="32">
        <v>1122.5</v>
      </c>
      <c r="AK109" s="32">
        <v>1150.7</v>
      </c>
      <c r="AL109" s="32">
        <v>1175.7</v>
      </c>
      <c r="AM109" s="32">
        <v>1193.0999999999999</v>
      </c>
      <c r="AN109" s="32">
        <v>1237.9000000000001</v>
      </c>
      <c r="AO109" s="32">
        <v>1486.2</v>
      </c>
      <c r="AP109" s="32">
        <v>1562.9</v>
      </c>
      <c r="AQ109" s="32">
        <v>1616.8</v>
      </c>
      <c r="AR109" s="32">
        <v>1680</v>
      </c>
      <c r="AS109" s="32">
        <v>2047.7</v>
      </c>
      <c r="AT109" s="32">
        <v>2301.9</v>
      </c>
      <c r="AU109" s="32">
        <v>2349.4</v>
      </c>
      <c r="AV109" s="32">
        <v>2447.1999999999998</v>
      </c>
      <c r="AW109" s="32">
        <v>2696</v>
      </c>
      <c r="AX109" s="32">
        <v>2843.5</v>
      </c>
      <c r="AY109" s="32">
        <v>3707.9</v>
      </c>
      <c r="AZ109" s="32">
        <v>3931.7</v>
      </c>
      <c r="BA109" s="32">
        <v>3951.7</v>
      </c>
      <c r="BB109" s="32">
        <v>4023.5</v>
      </c>
      <c r="BC109" s="32">
        <v>5059.7</v>
      </c>
      <c r="BD109" s="32">
        <v>5176.7</v>
      </c>
      <c r="BE109" s="32">
        <v>5615.9</v>
      </c>
      <c r="BF109" s="32">
        <v>5894.4</v>
      </c>
      <c r="BG109" s="32">
        <v>5896.3</v>
      </c>
      <c r="BH109" s="32">
        <v>5907.2</v>
      </c>
      <c r="BI109" s="32">
        <v>7187.6</v>
      </c>
      <c r="BJ109" s="32">
        <v>7467.8</v>
      </c>
      <c r="BK109" s="32">
        <v>7604.7</v>
      </c>
      <c r="BL109" s="32">
        <v>7819</v>
      </c>
    </row>
    <row r="110" spans="1:64" ht="20" customHeight="1">
      <c r="A110" s="68">
        <v>106</v>
      </c>
      <c r="B110" s="69" t="s">
        <v>166</v>
      </c>
      <c r="C110" s="70" t="b">
        <f t="array" ref="C110">_xlfn.SWITCH(LEFT(B110,FIND("|",B110)-1),"ابنیه",HLOOKUP(D110,'نمودار ابنیه'!$B$5:$AD$6,2,FALSE),"مکانیکی",HLOOKUP(D110,'نمودار مکانیکی'!$B$5:$AJ$6,2,FALSE),"برقی",HLOOKUP(D110,'نمودار تاسیسات برقی'!$B$5:$AK$6,2,FALSE),"خطوط",HLOOKUP(D110,'نمودار خطوط انتقال '!$B$5:$R$6,2,FALSE),"شبکه",HLOOKUP(D110,'نمودار شبکه توزیع آ'!$B$5:$O$6,2,FALSE),"سد",HLOOKUP(D110,'نمودار سدسازی'!$B$5:$P$6,2,FALSE),"فاضلاب",HLOOKUP(D110,'نمودار جمع‌آوری و ا'!$B$5:$S$6,2,FALSE),"تجهیزات",HLOOKUP(D110,'نمودار تجهیزات آب و'!$B$5:$AG$6,2,FALSE),"پست",HLOOKUP(D110,'نمودار پست های انتق'!$B$5:$AH$6,2,FALSE),"نیرو",HLOOKUP(D110,'نمودار توزیع نیرو ب'!$B$5:$AE$6,2,FALSE),FALSE)</f>
        <v>0</v>
      </c>
      <c r="D110" s="71" t="s">
        <v>174</v>
      </c>
      <c r="E110" s="15"/>
      <c r="F110" s="72"/>
      <c r="G110" s="73">
        <v>287.60000000000002</v>
      </c>
      <c r="H110" s="73">
        <v>295.89999999999998</v>
      </c>
      <c r="I110" s="73">
        <v>303.2</v>
      </c>
      <c r="J110" s="73">
        <v>325</v>
      </c>
      <c r="K110" s="73">
        <v>346.6</v>
      </c>
      <c r="L110" s="73">
        <v>370.2</v>
      </c>
      <c r="M110" s="73">
        <v>389.6</v>
      </c>
      <c r="N110" s="73">
        <v>409.6</v>
      </c>
      <c r="O110" s="73">
        <v>446.7</v>
      </c>
      <c r="P110" s="73">
        <v>454.4</v>
      </c>
      <c r="Q110" s="73">
        <v>453.3</v>
      </c>
      <c r="R110" s="73">
        <v>456.9</v>
      </c>
      <c r="S110" s="73">
        <v>500.5</v>
      </c>
      <c r="T110" s="73">
        <v>520.5</v>
      </c>
      <c r="U110" s="73">
        <v>518.70000000000005</v>
      </c>
      <c r="V110" s="73">
        <v>515.6</v>
      </c>
      <c r="W110" s="73">
        <v>536.29999999999995</v>
      </c>
      <c r="X110" s="73">
        <v>538</v>
      </c>
      <c r="Y110" s="73">
        <v>538.6</v>
      </c>
      <c r="Z110" s="73">
        <v>531.6</v>
      </c>
      <c r="AA110" s="73">
        <v>557.6</v>
      </c>
      <c r="AB110" s="73">
        <v>564.29999999999995</v>
      </c>
      <c r="AC110" s="73">
        <v>585.6</v>
      </c>
      <c r="AD110" s="73">
        <v>594.9</v>
      </c>
      <c r="AE110" s="73">
        <v>641</v>
      </c>
      <c r="AF110" s="73">
        <v>645.20000000000005</v>
      </c>
      <c r="AG110" s="73">
        <v>656.6</v>
      </c>
      <c r="AH110" s="73">
        <v>674.7</v>
      </c>
      <c r="AI110" s="73">
        <v>763.7</v>
      </c>
      <c r="AJ110" s="73">
        <v>843</v>
      </c>
      <c r="AK110" s="73">
        <v>907</v>
      </c>
      <c r="AL110" s="73">
        <v>974.5</v>
      </c>
      <c r="AM110" s="73">
        <v>983.1</v>
      </c>
      <c r="AN110" s="73">
        <v>978.3</v>
      </c>
      <c r="AO110" s="73">
        <v>1103.3</v>
      </c>
      <c r="AP110" s="73">
        <v>1152</v>
      </c>
      <c r="AQ110" s="73">
        <v>1171.4000000000001</v>
      </c>
      <c r="AR110" s="73">
        <v>1214.5999999999999</v>
      </c>
      <c r="AS110" s="73">
        <v>1448.9</v>
      </c>
      <c r="AT110" s="73">
        <v>1710.7</v>
      </c>
      <c r="AU110" s="73">
        <v>1745.9</v>
      </c>
      <c r="AV110" s="73">
        <v>1835.2</v>
      </c>
      <c r="AW110" s="73">
        <v>2084.8000000000002</v>
      </c>
      <c r="AX110" s="73">
        <v>2238.4</v>
      </c>
      <c r="AY110" s="73">
        <v>2781.4</v>
      </c>
      <c r="AZ110" s="73">
        <v>3154.5</v>
      </c>
      <c r="BA110" s="73">
        <v>3354.9</v>
      </c>
      <c r="BB110" s="73">
        <v>3444.7</v>
      </c>
      <c r="BC110" s="73">
        <v>4137.7</v>
      </c>
      <c r="BD110" s="73">
        <v>4236.2</v>
      </c>
      <c r="BE110" s="73">
        <v>4458.3999999999996</v>
      </c>
      <c r="BF110" s="73">
        <v>4763.3999999999996</v>
      </c>
      <c r="BG110" s="73">
        <v>4817.7</v>
      </c>
      <c r="BH110" s="73">
        <v>5071.1000000000004</v>
      </c>
      <c r="BI110" s="73">
        <v>5604.1</v>
      </c>
      <c r="BJ110" s="73">
        <v>5786.6</v>
      </c>
      <c r="BK110" s="73">
        <v>5941</v>
      </c>
      <c r="BL110" s="73">
        <v>5988.6</v>
      </c>
    </row>
    <row r="111" spans="1:64" ht="20" customHeight="1">
      <c r="A111" s="25">
        <v>107</v>
      </c>
      <c r="B111" s="26" t="s">
        <v>166</v>
      </c>
      <c r="C111" s="27" t="b">
        <f t="array" ref="C111">_xlfn.SWITCH(LEFT(B111,FIND("|",B111)-1),"ابنیه",HLOOKUP(D111,'نمودار ابنیه'!$B$5:$AD$6,2,FALSE),"مکانیکی",HLOOKUP(D111,'نمودار مکانیکی'!$B$5:$AJ$6,2,FALSE),"برقی",HLOOKUP(D111,'نمودار تاسیسات برقی'!$B$5:$AK$6,2,FALSE),"خطوط",HLOOKUP(D111,'نمودار خطوط انتقال '!$B$5:$R$6,2,FALSE),"شبکه",HLOOKUP(D111,'نمودار شبکه توزیع آ'!$B$5:$O$6,2,FALSE),"سد",HLOOKUP(D111,'نمودار سدسازی'!$B$5:$P$6,2,FALSE),"فاضلاب",HLOOKUP(D111,'نمودار جمع‌آوری و ا'!$B$5:$S$6,2,FALSE),"تجهیزات",HLOOKUP(D111,'نمودار تجهیزات آب و'!$B$5:$AG$6,2,FALSE),"پست",HLOOKUP(D111,'نمودار پست های انتق'!$B$5:$AH$6,2,FALSE),"نیرو",HLOOKUP(D111,'نمودار توزیع نیرو ب'!$B$5:$AE$6,2,FALSE),FALSE)</f>
        <v>0</v>
      </c>
      <c r="D111" s="28" t="s">
        <v>175</v>
      </c>
      <c r="E111" s="15"/>
      <c r="F111" s="29"/>
      <c r="G111" s="32">
        <v>307.10000000000002</v>
      </c>
      <c r="H111" s="32">
        <v>320.7</v>
      </c>
      <c r="I111" s="32">
        <v>336.4</v>
      </c>
      <c r="J111" s="32">
        <v>350.1</v>
      </c>
      <c r="K111" s="32">
        <v>378.6</v>
      </c>
      <c r="L111" s="32">
        <v>399.7</v>
      </c>
      <c r="M111" s="32">
        <v>445.3</v>
      </c>
      <c r="N111" s="32">
        <v>464.4</v>
      </c>
      <c r="O111" s="32">
        <v>508.6</v>
      </c>
      <c r="P111" s="32">
        <v>522.9</v>
      </c>
      <c r="Q111" s="32">
        <v>533.29999999999995</v>
      </c>
      <c r="R111" s="32">
        <v>542.4</v>
      </c>
      <c r="S111" s="32">
        <v>597.79999999999995</v>
      </c>
      <c r="T111" s="32">
        <v>614.5</v>
      </c>
      <c r="U111" s="32">
        <v>616.1</v>
      </c>
      <c r="V111" s="32">
        <v>621.79999999999995</v>
      </c>
      <c r="W111" s="32">
        <v>663.1</v>
      </c>
      <c r="X111" s="32">
        <v>666.7</v>
      </c>
      <c r="Y111" s="32">
        <v>666.3</v>
      </c>
      <c r="Z111" s="32">
        <v>667.6</v>
      </c>
      <c r="AA111" s="32">
        <v>702.5</v>
      </c>
      <c r="AB111" s="32">
        <v>709.6</v>
      </c>
      <c r="AC111" s="32">
        <v>719.1</v>
      </c>
      <c r="AD111" s="32">
        <v>726</v>
      </c>
      <c r="AE111" s="32">
        <v>773.7</v>
      </c>
      <c r="AF111" s="32">
        <v>775</v>
      </c>
      <c r="AG111" s="32">
        <v>793.8</v>
      </c>
      <c r="AH111" s="32">
        <v>800.8</v>
      </c>
      <c r="AI111" s="32">
        <v>895.6</v>
      </c>
      <c r="AJ111" s="32">
        <v>985</v>
      </c>
      <c r="AK111" s="32">
        <v>1029.7</v>
      </c>
      <c r="AL111" s="32">
        <v>1066.3</v>
      </c>
      <c r="AM111" s="32">
        <v>1076.5999999999999</v>
      </c>
      <c r="AN111" s="32">
        <v>1120.8</v>
      </c>
      <c r="AO111" s="32">
        <v>1299.4000000000001</v>
      </c>
      <c r="AP111" s="32">
        <v>1392.9</v>
      </c>
      <c r="AQ111" s="32">
        <v>1462</v>
      </c>
      <c r="AR111" s="32">
        <v>1534.4</v>
      </c>
      <c r="AS111" s="32">
        <v>1817.9</v>
      </c>
      <c r="AT111" s="32">
        <v>2096.6</v>
      </c>
      <c r="AU111" s="32">
        <v>2168.9</v>
      </c>
      <c r="AV111" s="32">
        <v>2320.1</v>
      </c>
      <c r="AW111" s="32">
        <v>2575.6999999999998</v>
      </c>
      <c r="AX111" s="32">
        <v>2711.7</v>
      </c>
      <c r="AY111" s="32">
        <v>3515.2</v>
      </c>
      <c r="AZ111" s="32">
        <v>3816.5</v>
      </c>
      <c r="BA111" s="32">
        <v>3853.9</v>
      </c>
      <c r="BB111" s="32">
        <v>3969.5</v>
      </c>
      <c r="BC111" s="32">
        <v>4931.3</v>
      </c>
      <c r="BD111" s="32">
        <v>5089.1000000000004</v>
      </c>
      <c r="BE111" s="32">
        <v>5432</v>
      </c>
      <c r="BF111" s="32">
        <v>5779</v>
      </c>
      <c r="BG111" s="32">
        <v>5773.1</v>
      </c>
      <c r="BH111" s="32">
        <v>5828.9</v>
      </c>
      <c r="BI111" s="32">
        <v>6077</v>
      </c>
      <c r="BJ111" s="32">
        <v>7317.7</v>
      </c>
      <c r="BK111" s="32">
        <v>7458.6</v>
      </c>
      <c r="BL111" s="32">
        <v>7655.6</v>
      </c>
    </row>
    <row r="112" spans="1:64" ht="20" customHeight="1">
      <c r="A112" s="68">
        <v>108</v>
      </c>
      <c r="B112" s="69" t="s">
        <v>166</v>
      </c>
      <c r="C112" s="70" t="b">
        <f t="array" ref="C112">_xlfn.SWITCH(LEFT(B112,FIND("|",B112)-1),"ابنیه",HLOOKUP(D112,'نمودار ابنیه'!$B$5:$AD$6,2,FALSE),"مکانیکی",HLOOKUP(D112,'نمودار مکانیکی'!$B$5:$AJ$6,2,FALSE),"برقی",HLOOKUP(D112,'نمودار تاسیسات برقی'!$B$5:$AK$6,2,FALSE),"خطوط",HLOOKUP(D112,'نمودار خطوط انتقال '!$B$5:$R$6,2,FALSE),"شبکه",HLOOKUP(D112,'نمودار شبکه توزیع آ'!$B$5:$O$6,2,FALSE),"سد",HLOOKUP(D112,'نمودار سدسازی'!$B$5:$P$6,2,FALSE),"فاضلاب",HLOOKUP(D112,'نمودار جمع‌آوری و ا'!$B$5:$S$6,2,FALSE),"تجهیزات",HLOOKUP(D112,'نمودار تجهیزات آب و'!$B$5:$AG$6,2,FALSE),"پست",HLOOKUP(D112,'نمودار پست های انتق'!$B$5:$AH$6,2,FALSE),"نیرو",HLOOKUP(D112,'نمودار توزیع نیرو ب'!$B$5:$AE$6,2,FALSE),FALSE)</f>
        <v>0</v>
      </c>
      <c r="D112" s="71" t="s">
        <v>176</v>
      </c>
      <c r="E112" s="15"/>
      <c r="F112" s="72"/>
      <c r="G112" s="73">
        <v>329.1</v>
      </c>
      <c r="H112" s="73">
        <v>336.9</v>
      </c>
      <c r="I112" s="73">
        <v>353.8</v>
      </c>
      <c r="J112" s="73">
        <v>371.9</v>
      </c>
      <c r="K112" s="73">
        <v>406.7</v>
      </c>
      <c r="L112" s="73">
        <v>427.7</v>
      </c>
      <c r="M112" s="73">
        <v>466.1</v>
      </c>
      <c r="N112" s="73">
        <v>489.1</v>
      </c>
      <c r="O112" s="73">
        <v>527.5</v>
      </c>
      <c r="P112" s="73">
        <v>535.9</v>
      </c>
      <c r="Q112" s="73">
        <v>555.9</v>
      </c>
      <c r="R112" s="73">
        <v>565.70000000000005</v>
      </c>
      <c r="S112" s="73">
        <v>623.5</v>
      </c>
      <c r="T112" s="73">
        <v>645</v>
      </c>
      <c r="U112" s="73">
        <v>657</v>
      </c>
      <c r="V112" s="73">
        <v>661.5</v>
      </c>
      <c r="W112" s="73">
        <v>700.3</v>
      </c>
      <c r="X112" s="73">
        <v>704.7</v>
      </c>
      <c r="Y112" s="73">
        <v>705.2</v>
      </c>
      <c r="Z112" s="73">
        <v>695.6</v>
      </c>
      <c r="AA112" s="73">
        <v>733.3</v>
      </c>
      <c r="AB112" s="73">
        <v>742.3</v>
      </c>
      <c r="AC112" s="73">
        <v>751.8</v>
      </c>
      <c r="AD112" s="73">
        <v>761.7</v>
      </c>
      <c r="AE112" s="73">
        <v>813.4</v>
      </c>
      <c r="AF112" s="73">
        <v>818.5</v>
      </c>
      <c r="AG112" s="73">
        <v>836.8</v>
      </c>
      <c r="AH112" s="73">
        <v>852.4</v>
      </c>
      <c r="AI112" s="73">
        <v>951.6</v>
      </c>
      <c r="AJ112" s="73">
        <v>1027.5</v>
      </c>
      <c r="AK112" s="73">
        <v>1061.4000000000001</v>
      </c>
      <c r="AL112" s="73">
        <v>1117</v>
      </c>
      <c r="AM112" s="73">
        <v>1139.3</v>
      </c>
      <c r="AN112" s="73">
        <v>1164.5999999999999</v>
      </c>
      <c r="AO112" s="73">
        <v>1361.8</v>
      </c>
      <c r="AP112" s="73">
        <v>1433.7</v>
      </c>
      <c r="AQ112" s="73">
        <v>1494.2</v>
      </c>
      <c r="AR112" s="73">
        <v>1548.9</v>
      </c>
      <c r="AS112" s="73">
        <v>1885.9</v>
      </c>
      <c r="AT112" s="73">
        <v>2126.5</v>
      </c>
      <c r="AU112" s="73">
        <v>2191.1999999999998</v>
      </c>
      <c r="AV112" s="73">
        <v>2301.6999999999998</v>
      </c>
      <c r="AW112" s="73">
        <v>2526.4</v>
      </c>
      <c r="AX112" s="73">
        <v>2692.5</v>
      </c>
      <c r="AY112" s="73">
        <v>3444.5</v>
      </c>
      <c r="AZ112" s="73">
        <v>3728.2</v>
      </c>
      <c r="BA112" s="73">
        <v>3818.1</v>
      </c>
      <c r="BB112" s="73">
        <v>3923.2</v>
      </c>
      <c r="BC112" s="73">
        <v>4795.6000000000004</v>
      </c>
      <c r="BD112" s="73">
        <v>4931.7</v>
      </c>
      <c r="BE112" s="73">
        <v>5324.8</v>
      </c>
      <c r="BF112" s="73">
        <v>5651.2</v>
      </c>
      <c r="BG112" s="73">
        <v>5673.6</v>
      </c>
      <c r="BH112" s="73">
        <v>5778.9</v>
      </c>
      <c r="BI112" s="73">
        <v>6858.6</v>
      </c>
      <c r="BJ112" s="73">
        <v>7114.7</v>
      </c>
      <c r="BK112" s="73">
        <v>7399.3</v>
      </c>
      <c r="BL112" s="73">
        <v>7590.1</v>
      </c>
    </row>
    <row r="113" spans="1:64" ht="20" customHeight="1">
      <c r="A113" s="25">
        <v>109</v>
      </c>
      <c r="B113" s="26" t="s">
        <v>166</v>
      </c>
      <c r="C113" s="27" t="b">
        <f t="array" ref="C113">_xlfn.SWITCH(LEFT(B113,FIND("|",B113)-1),"ابنیه",HLOOKUP(D113,'نمودار ابنیه'!$B$5:$AD$6,2,FALSE),"مکانیکی",HLOOKUP(D113,'نمودار مکانیکی'!$B$5:$AJ$6,2,FALSE),"برقی",HLOOKUP(D113,'نمودار تاسیسات برقی'!$B$5:$AK$6,2,FALSE),"خطوط",HLOOKUP(D113,'نمودار خطوط انتقال '!$B$5:$R$6,2,FALSE),"شبکه",HLOOKUP(D113,'نمودار شبکه توزیع آ'!$B$5:$O$6,2,FALSE),"سد",HLOOKUP(D113,'نمودار سدسازی'!$B$5:$P$6,2,FALSE),"فاضلاب",HLOOKUP(D113,'نمودار جمع‌آوری و ا'!$B$5:$S$6,2,FALSE),"تجهیزات",HLOOKUP(D113,'نمودار تجهیزات آب و'!$B$5:$AG$6,2,FALSE),"پست",HLOOKUP(D113,'نمودار پست های انتق'!$B$5:$AH$6,2,FALSE),"نیرو",HLOOKUP(D113,'نمودار توزیع نیرو ب'!$B$5:$AE$6,2,FALSE),FALSE)</f>
        <v>0</v>
      </c>
      <c r="D113" s="28" t="s">
        <v>177</v>
      </c>
      <c r="E113" s="15"/>
      <c r="F113" s="29"/>
      <c r="G113" s="32">
        <v>287.3</v>
      </c>
      <c r="H113" s="32">
        <v>301.39999999999998</v>
      </c>
      <c r="I113" s="32">
        <v>313.5</v>
      </c>
      <c r="J113" s="32">
        <v>354.4</v>
      </c>
      <c r="K113" s="32">
        <v>404.3</v>
      </c>
      <c r="L113" s="32">
        <v>484.5</v>
      </c>
      <c r="M113" s="32">
        <v>555.20000000000005</v>
      </c>
      <c r="N113" s="32">
        <v>560.4</v>
      </c>
      <c r="O113" s="32">
        <v>575</v>
      </c>
      <c r="P113" s="32">
        <v>576.1</v>
      </c>
      <c r="Q113" s="32">
        <v>572</v>
      </c>
      <c r="R113" s="32">
        <v>546.29999999999995</v>
      </c>
      <c r="S113" s="32">
        <v>600</v>
      </c>
      <c r="T113" s="32">
        <v>590.70000000000005</v>
      </c>
      <c r="U113" s="32">
        <v>590.70000000000005</v>
      </c>
      <c r="V113" s="32">
        <v>560.5</v>
      </c>
      <c r="W113" s="32">
        <v>550.5</v>
      </c>
      <c r="X113" s="32">
        <v>540.20000000000005</v>
      </c>
      <c r="Y113" s="32">
        <v>521</v>
      </c>
      <c r="Z113" s="32">
        <v>496.2</v>
      </c>
      <c r="AA113" s="32">
        <v>568.4</v>
      </c>
      <c r="AB113" s="32">
        <v>570.6</v>
      </c>
      <c r="AC113" s="32">
        <v>594.9</v>
      </c>
      <c r="AD113" s="32">
        <v>588.5</v>
      </c>
      <c r="AE113" s="32">
        <v>611.70000000000005</v>
      </c>
      <c r="AF113" s="32">
        <v>704.8</v>
      </c>
      <c r="AG113" s="32">
        <v>728.2</v>
      </c>
      <c r="AH113" s="32">
        <v>762.2</v>
      </c>
      <c r="AI113" s="32">
        <v>913.2</v>
      </c>
      <c r="AJ113" s="32">
        <v>1038.3</v>
      </c>
      <c r="AK113" s="32">
        <v>1255.2</v>
      </c>
      <c r="AL113" s="32">
        <v>1303.0999999999999</v>
      </c>
      <c r="AM113" s="32">
        <v>1240.5</v>
      </c>
      <c r="AN113" s="32">
        <v>1239.4000000000001</v>
      </c>
      <c r="AO113" s="32">
        <v>1460.3</v>
      </c>
      <c r="AP113" s="32">
        <v>1348.9</v>
      </c>
      <c r="AQ113" s="32">
        <v>1398.8</v>
      </c>
      <c r="AR113" s="32">
        <v>1674.4</v>
      </c>
      <c r="AS113" s="32">
        <v>1921</v>
      </c>
      <c r="AT113" s="32">
        <v>2733.9</v>
      </c>
      <c r="AU113" s="32">
        <v>2935.5</v>
      </c>
      <c r="AV113" s="32">
        <v>3092.1</v>
      </c>
      <c r="AW113" s="32">
        <v>3286.2</v>
      </c>
      <c r="AX113" s="32">
        <v>3485.7</v>
      </c>
      <c r="AY113" s="32">
        <v>3969.8</v>
      </c>
      <c r="AZ113" s="32">
        <v>4534.1000000000004</v>
      </c>
      <c r="BA113" s="32">
        <v>4433.3</v>
      </c>
      <c r="BB113" s="32">
        <v>4388.7</v>
      </c>
      <c r="BC113" s="32">
        <v>5198</v>
      </c>
      <c r="BD113" s="32">
        <v>4897.1000000000004</v>
      </c>
      <c r="BE113" s="32">
        <v>4958.8</v>
      </c>
      <c r="BF113" s="32">
        <v>5717.8</v>
      </c>
      <c r="BG113" s="32">
        <v>6252.5</v>
      </c>
      <c r="BH113" s="32">
        <v>7135.3</v>
      </c>
      <c r="BI113" s="32">
        <v>7473.4</v>
      </c>
      <c r="BJ113" s="32">
        <v>7232.6</v>
      </c>
      <c r="BK113" s="32">
        <v>7048.5</v>
      </c>
      <c r="BL113" s="32">
        <v>7350.7</v>
      </c>
    </row>
    <row r="114" spans="1:64" ht="20" customHeight="1">
      <c r="A114" s="68">
        <v>110</v>
      </c>
      <c r="B114" s="69" t="s">
        <v>166</v>
      </c>
      <c r="C114" s="70" t="b">
        <f t="array" ref="C114">_xlfn.SWITCH(LEFT(B114,FIND("|",B114)-1),"ابنیه",HLOOKUP(D114,'نمودار ابنیه'!$B$5:$AD$6,2,FALSE),"مکانیکی",HLOOKUP(D114,'نمودار مکانیکی'!$B$5:$AJ$6,2,FALSE),"برقی",HLOOKUP(D114,'نمودار تاسیسات برقی'!$B$5:$AK$6,2,FALSE),"خطوط",HLOOKUP(D114,'نمودار خطوط انتقال '!$B$5:$R$6,2,FALSE),"شبکه",HLOOKUP(D114,'نمودار شبکه توزیع آ'!$B$5:$O$6,2,FALSE),"سد",HLOOKUP(D114,'نمودار سدسازی'!$B$5:$P$6,2,FALSE),"فاضلاب",HLOOKUP(D114,'نمودار جمع‌آوری و ا'!$B$5:$S$6,2,FALSE),"تجهیزات",HLOOKUP(D114,'نمودار تجهیزات آب و'!$B$5:$AG$6,2,FALSE),"پست",HLOOKUP(D114,'نمودار پست های انتق'!$B$5:$AH$6,2,FALSE),"نیرو",HLOOKUP(D114,'نمودار توزیع نیرو ب'!$B$5:$AE$6,2,FALSE),FALSE)</f>
        <v>0</v>
      </c>
      <c r="D114" s="71" t="s">
        <v>178</v>
      </c>
      <c r="E114" s="15"/>
      <c r="F114" s="72"/>
      <c r="G114" s="73">
        <v>293.3</v>
      </c>
      <c r="H114" s="73">
        <v>309.39999999999998</v>
      </c>
      <c r="I114" s="73">
        <v>314.2</v>
      </c>
      <c r="J114" s="73">
        <v>330.3</v>
      </c>
      <c r="K114" s="73">
        <v>349.6</v>
      </c>
      <c r="L114" s="73">
        <v>364.9</v>
      </c>
      <c r="M114" s="73">
        <v>403.9</v>
      </c>
      <c r="N114" s="73">
        <v>413.2</v>
      </c>
      <c r="O114" s="73">
        <v>445.7</v>
      </c>
      <c r="P114" s="73">
        <v>461.9</v>
      </c>
      <c r="Q114" s="73">
        <v>478.5</v>
      </c>
      <c r="R114" s="73">
        <v>484.7</v>
      </c>
      <c r="S114" s="73">
        <v>520.4</v>
      </c>
      <c r="T114" s="73">
        <v>564.1</v>
      </c>
      <c r="U114" s="73">
        <v>566.79999999999995</v>
      </c>
      <c r="V114" s="73">
        <v>568.1</v>
      </c>
      <c r="W114" s="73">
        <v>587.4</v>
      </c>
      <c r="X114" s="73">
        <v>590.20000000000005</v>
      </c>
      <c r="Y114" s="73">
        <v>587.1</v>
      </c>
      <c r="Z114" s="73">
        <v>587.79999999999995</v>
      </c>
      <c r="AA114" s="73">
        <v>610.29999999999995</v>
      </c>
      <c r="AB114" s="73">
        <v>617.5</v>
      </c>
      <c r="AC114" s="73">
        <v>638.6</v>
      </c>
      <c r="AD114" s="73">
        <v>645.6</v>
      </c>
      <c r="AE114" s="73">
        <v>694.8</v>
      </c>
      <c r="AF114" s="73">
        <v>706.6</v>
      </c>
      <c r="AG114" s="73">
        <v>715.1</v>
      </c>
      <c r="AH114" s="73">
        <v>721.8</v>
      </c>
      <c r="AI114" s="73">
        <v>807.5</v>
      </c>
      <c r="AJ114" s="73">
        <v>852.6</v>
      </c>
      <c r="AK114" s="73">
        <v>902.2</v>
      </c>
      <c r="AL114" s="73">
        <v>913.1</v>
      </c>
      <c r="AM114" s="73">
        <v>946.7</v>
      </c>
      <c r="AN114" s="73">
        <v>965.4</v>
      </c>
      <c r="AO114" s="73">
        <v>1090.3</v>
      </c>
      <c r="AP114" s="73">
        <v>1211.4000000000001</v>
      </c>
      <c r="AQ114" s="73">
        <v>1270.7</v>
      </c>
      <c r="AR114" s="73">
        <v>1322</v>
      </c>
      <c r="AS114" s="73">
        <v>1565.9</v>
      </c>
      <c r="AT114" s="73">
        <v>1802.2</v>
      </c>
      <c r="AU114" s="73">
        <v>1866.2</v>
      </c>
      <c r="AV114" s="73">
        <v>1965.5</v>
      </c>
      <c r="AW114" s="73">
        <v>2188.4</v>
      </c>
      <c r="AX114" s="73">
        <v>2267.5</v>
      </c>
      <c r="AY114" s="73">
        <v>2893.7</v>
      </c>
      <c r="AZ114" s="73">
        <v>3328.8</v>
      </c>
      <c r="BA114" s="73">
        <v>3335.8</v>
      </c>
      <c r="BB114" s="73">
        <v>3420.4</v>
      </c>
      <c r="BC114" s="73">
        <v>4061.1</v>
      </c>
      <c r="BD114" s="73">
        <v>4293.3999999999996</v>
      </c>
      <c r="BE114" s="73">
        <v>4605</v>
      </c>
      <c r="BF114" s="73">
        <v>4905.3</v>
      </c>
      <c r="BG114" s="73">
        <v>4935.8999999999996</v>
      </c>
      <c r="BH114" s="73">
        <v>5251.8</v>
      </c>
      <c r="BI114" s="73">
        <v>6038.1</v>
      </c>
      <c r="BJ114" s="73">
        <v>6336.8</v>
      </c>
      <c r="BK114" s="73">
        <v>6633.2</v>
      </c>
      <c r="BL114" s="73">
        <v>6721.5</v>
      </c>
    </row>
    <row r="115" spans="1:64" ht="20" customHeight="1">
      <c r="A115" s="25">
        <v>111</v>
      </c>
      <c r="B115" s="26" t="s">
        <v>166</v>
      </c>
      <c r="C115" s="27" t="b">
        <f t="array" ref="C115">_xlfn.SWITCH(LEFT(B115,FIND("|",B115)-1),"ابنیه",HLOOKUP(D115,'نمودار ابنیه'!$B$5:$AD$6,2,FALSE),"مکانیکی",HLOOKUP(D115,'نمودار مکانیکی'!$B$5:$AJ$6,2,FALSE),"برقی",HLOOKUP(D115,'نمودار تاسیسات برقی'!$B$5:$AK$6,2,FALSE),"خطوط",HLOOKUP(D115,'نمودار خطوط انتقال '!$B$5:$R$6,2,FALSE),"شبکه",HLOOKUP(D115,'نمودار شبکه توزیع آ'!$B$5:$O$6,2,FALSE),"سد",HLOOKUP(D115,'نمودار سدسازی'!$B$5:$P$6,2,FALSE),"فاضلاب",HLOOKUP(D115,'نمودار جمع‌آوری و ا'!$B$5:$S$6,2,FALSE),"تجهیزات",HLOOKUP(D115,'نمودار تجهیزات آب و'!$B$5:$AG$6,2,FALSE),"پست",HLOOKUP(D115,'نمودار پست های انتق'!$B$5:$AH$6,2,FALSE),"نیرو",HLOOKUP(D115,'نمودار توزیع نیرو ب'!$B$5:$AE$6,2,FALSE),FALSE)</f>
        <v>0</v>
      </c>
      <c r="D115" s="28" t="s">
        <v>95</v>
      </c>
      <c r="E115" s="15"/>
      <c r="F115" s="29"/>
      <c r="G115" s="32">
        <v>297.60000000000002</v>
      </c>
      <c r="H115" s="32">
        <v>306.3</v>
      </c>
      <c r="I115" s="32">
        <v>323.89999999999998</v>
      </c>
      <c r="J115" s="32">
        <v>344.3</v>
      </c>
      <c r="K115" s="32">
        <v>378.6</v>
      </c>
      <c r="L115" s="32">
        <v>396</v>
      </c>
      <c r="M115" s="32">
        <v>413.1</v>
      </c>
      <c r="N115" s="32">
        <v>430.3</v>
      </c>
      <c r="O115" s="32">
        <v>495.2</v>
      </c>
      <c r="P115" s="32">
        <v>521.5</v>
      </c>
      <c r="Q115" s="32">
        <v>522.79999999999995</v>
      </c>
      <c r="R115" s="32">
        <v>522.79999999999995</v>
      </c>
      <c r="S115" s="32">
        <v>567.20000000000005</v>
      </c>
      <c r="T115" s="32">
        <v>580.29999999999995</v>
      </c>
      <c r="U115" s="32">
        <v>582</v>
      </c>
      <c r="V115" s="32">
        <v>582.6</v>
      </c>
      <c r="W115" s="32">
        <v>600</v>
      </c>
      <c r="X115" s="32">
        <v>614.6</v>
      </c>
      <c r="Y115" s="32">
        <v>626.9</v>
      </c>
      <c r="Z115" s="32">
        <v>626.9</v>
      </c>
      <c r="AA115" s="32">
        <v>626.9</v>
      </c>
      <c r="AB115" s="32">
        <v>661.6</v>
      </c>
      <c r="AC115" s="32">
        <v>684.5</v>
      </c>
      <c r="AD115" s="32">
        <v>690.8</v>
      </c>
      <c r="AE115" s="32">
        <v>725.3</v>
      </c>
      <c r="AF115" s="32">
        <v>746.1</v>
      </c>
      <c r="AG115" s="32">
        <v>753</v>
      </c>
      <c r="AH115" s="32">
        <v>759.9</v>
      </c>
      <c r="AI115" s="32">
        <v>843.4</v>
      </c>
      <c r="AJ115" s="32">
        <v>927.1</v>
      </c>
      <c r="AK115" s="32">
        <v>1025.9000000000001</v>
      </c>
      <c r="AL115" s="32">
        <v>1052.5</v>
      </c>
      <c r="AM115" s="32">
        <v>1109.4000000000001</v>
      </c>
      <c r="AN115" s="32">
        <v>1227.2</v>
      </c>
      <c r="AO115" s="32">
        <v>1405.1</v>
      </c>
      <c r="AP115" s="32">
        <v>1509.6</v>
      </c>
      <c r="AQ115" s="32">
        <v>1772.7</v>
      </c>
      <c r="AR115" s="32">
        <v>1877.6</v>
      </c>
      <c r="AS115" s="32">
        <v>2371.4</v>
      </c>
      <c r="AT115" s="32">
        <v>2891.4</v>
      </c>
      <c r="AU115" s="32">
        <v>2966.6</v>
      </c>
      <c r="AV115" s="32">
        <v>3191.9</v>
      </c>
      <c r="AW115" s="32">
        <v>3379.6</v>
      </c>
      <c r="AX115" s="32">
        <v>3539.2</v>
      </c>
      <c r="AY115" s="32">
        <v>4654</v>
      </c>
      <c r="AZ115" s="32">
        <v>4901.7</v>
      </c>
      <c r="BA115" s="32">
        <v>4990.3</v>
      </c>
      <c r="BB115" s="32">
        <v>5096.3999999999996</v>
      </c>
      <c r="BC115" s="32">
        <v>6345</v>
      </c>
      <c r="BD115" s="32">
        <v>6564.2</v>
      </c>
      <c r="BE115" s="32">
        <v>7032.9</v>
      </c>
      <c r="BF115" s="32">
        <v>7425.4</v>
      </c>
      <c r="BG115" s="32">
        <v>7547.7</v>
      </c>
      <c r="BH115" s="32">
        <v>7670</v>
      </c>
      <c r="BI115" s="32">
        <v>9104.2999999999993</v>
      </c>
      <c r="BJ115" s="32">
        <v>9672</v>
      </c>
      <c r="BK115" s="32">
        <v>10216.5</v>
      </c>
      <c r="BL115" s="32">
        <v>10392.9</v>
      </c>
    </row>
    <row r="116" spans="1:64" ht="20" customHeight="1">
      <c r="A116" s="68">
        <v>112</v>
      </c>
      <c r="B116" s="69" t="s">
        <v>166</v>
      </c>
      <c r="C116" s="70" t="b">
        <f t="array" ref="C116">_xlfn.SWITCH(LEFT(B116,FIND("|",B116)-1),"ابنیه",HLOOKUP(D116,'نمودار ابنیه'!$B$5:$AD$6,2,FALSE),"مکانیکی",HLOOKUP(D116,'نمودار مکانیکی'!$B$5:$AJ$6,2,FALSE),"برقی",HLOOKUP(D116,'نمودار تاسیسات برقی'!$B$5:$AK$6,2,FALSE),"خطوط",HLOOKUP(D116,'نمودار خطوط انتقال '!$B$5:$R$6,2,FALSE),"شبکه",HLOOKUP(D116,'نمودار شبکه توزیع آ'!$B$5:$O$6,2,FALSE),"سد",HLOOKUP(D116,'نمودار سدسازی'!$B$5:$P$6,2,FALSE),"فاضلاب",HLOOKUP(D116,'نمودار جمع‌آوری و ا'!$B$5:$S$6,2,FALSE),"تجهیزات",HLOOKUP(D116,'نمودار تجهیزات آب و'!$B$5:$AG$6,2,FALSE),"پست",HLOOKUP(D116,'نمودار پست های انتق'!$B$5:$AH$6,2,FALSE),"نیرو",HLOOKUP(D116,'نمودار توزیع نیرو ب'!$B$5:$AE$6,2,FALSE),FALSE)</f>
        <v>0</v>
      </c>
      <c r="D116" s="71" t="s">
        <v>179</v>
      </c>
      <c r="E116" s="15"/>
      <c r="F116" s="72"/>
      <c r="G116" s="72"/>
      <c r="H116" s="72"/>
      <c r="I116" s="72"/>
      <c r="J116" s="72"/>
      <c r="K116" s="72"/>
      <c r="L116" s="72"/>
      <c r="M116" s="72"/>
      <c r="N116" s="72"/>
      <c r="O116" s="73">
        <v>600</v>
      </c>
      <c r="P116" s="73">
        <v>605</v>
      </c>
      <c r="Q116" s="73">
        <v>630</v>
      </c>
      <c r="R116" s="73">
        <v>640</v>
      </c>
      <c r="S116" s="73">
        <v>716.8</v>
      </c>
      <c r="T116" s="73">
        <v>716.8</v>
      </c>
      <c r="U116" s="73">
        <v>723.2</v>
      </c>
      <c r="V116" s="73">
        <v>723.2</v>
      </c>
      <c r="W116" s="73">
        <v>723.2</v>
      </c>
      <c r="X116" s="73">
        <v>723.2</v>
      </c>
      <c r="Y116" s="73">
        <v>730.4</v>
      </c>
      <c r="Z116" s="73">
        <v>730.4</v>
      </c>
      <c r="AA116" s="73">
        <v>730.4</v>
      </c>
      <c r="AB116" s="73">
        <v>730.4</v>
      </c>
      <c r="AC116" s="73">
        <v>730.4</v>
      </c>
      <c r="AD116" s="73">
        <v>730.4</v>
      </c>
      <c r="AE116" s="73">
        <v>796.2</v>
      </c>
      <c r="AF116" s="73">
        <v>796.2</v>
      </c>
      <c r="AG116" s="73">
        <v>861.9</v>
      </c>
      <c r="AH116" s="73">
        <v>927.6</v>
      </c>
      <c r="AI116" s="73">
        <v>1020.4</v>
      </c>
      <c r="AJ116" s="73">
        <v>1122.5</v>
      </c>
      <c r="AK116" s="73">
        <v>1122.5</v>
      </c>
      <c r="AL116" s="73">
        <v>1205.9000000000001</v>
      </c>
      <c r="AM116" s="73">
        <v>1363.6</v>
      </c>
      <c r="AN116" s="73">
        <v>1419.3</v>
      </c>
      <c r="AO116" s="73">
        <v>1632.2</v>
      </c>
      <c r="AP116" s="73">
        <v>1632.2</v>
      </c>
      <c r="AQ116" s="73">
        <v>1737.2</v>
      </c>
      <c r="AR116" s="73">
        <v>1737.2</v>
      </c>
      <c r="AS116" s="73">
        <v>2171.5</v>
      </c>
      <c r="AT116" s="73">
        <v>2814.3</v>
      </c>
      <c r="AU116" s="73">
        <v>2814.3</v>
      </c>
      <c r="AV116" s="73">
        <v>2814.3</v>
      </c>
      <c r="AW116" s="73">
        <v>2901.2</v>
      </c>
      <c r="AX116" s="73">
        <v>3109.6</v>
      </c>
      <c r="AY116" s="73">
        <v>3482.8</v>
      </c>
      <c r="AZ116" s="73">
        <v>3824.9</v>
      </c>
      <c r="BA116" s="73">
        <v>4664.5</v>
      </c>
      <c r="BB116" s="73">
        <v>4882.1000000000004</v>
      </c>
      <c r="BC116" s="73">
        <v>5370.3</v>
      </c>
      <c r="BD116" s="73">
        <v>5565.6</v>
      </c>
      <c r="BE116" s="73">
        <v>6288.2</v>
      </c>
      <c r="BF116" s="73">
        <v>6420</v>
      </c>
      <c r="BG116" s="73">
        <v>6420</v>
      </c>
      <c r="BH116" s="73">
        <v>6639.7</v>
      </c>
      <c r="BI116" s="73">
        <v>7077.9</v>
      </c>
      <c r="BJ116" s="73">
        <v>7489.6</v>
      </c>
      <c r="BK116" s="73">
        <v>7595.8</v>
      </c>
      <c r="BL116" s="73">
        <v>7595.8</v>
      </c>
    </row>
    <row r="117" spans="1:64" ht="20" customHeight="1">
      <c r="A117" s="25">
        <v>113</v>
      </c>
      <c r="B117" s="26" t="s">
        <v>166</v>
      </c>
      <c r="C117" s="27" t="b">
        <f t="array" ref="C117">_xlfn.SWITCH(LEFT(B117,FIND("|",B117)-1),"ابنیه",HLOOKUP(D117,'نمودار ابنیه'!$B$5:$AD$6,2,FALSE),"مکانیکی",HLOOKUP(D117,'نمودار مکانیکی'!$B$5:$AJ$6,2,FALSE),"برقی",HLOOKUP(D117,'نمودار تاسیسات برقی'!$B$5:$AK$6,2,FALSE),"خطوط",HLOOKUP(D117,'نمودار خطوط انتقال '!$B$5:$R$6,2,FALSE),"شبکه",HLOOKUP(D117,'نمودار شبکه توزیع آ'!$B$5:$O$6,2,FALSE),"سد",HLOOKUP(D117,'نمودار سدسازی'!$B$5:$P$6,2,FALSE),"فاضلاب",HLOOKUP(D117,'نمودار جمع‌آوری و ا'!$B$5:$S$6,2,FALSE),"تجهیزات",HLOOKUP(D117,'نمودار تجهیزات آب و'!$B$5:$AG$6,2,FALSE),"پست",HLOOKUP(D117,'نمودار پست های انتق'!$B$5:$AH$6,2,FALSE),"نیرو",HLOOKUP(D117,'نمودار توزیع نیرو ب'!$B$5:$AE$6,2,FALSE),FALSE)</f>
        <v>0</v>
      </c>
      <c r="D117" s="28" t="s">
        <v>180</v>
      </c>
      <c r="E117" s="15"/>
      <c r="F117" s="29"/>
      <c r="G117" s="29"/>
      <c r="H117" s="29"/>
      <c r="I117" s="29"/>
      <c r="J117" s="29"/>
      <c r="K117" s="29"/>
      <c r="L117" s="29"/>
      <c r="M117" s="29"/>
      <c r="N117" s="29"/>
      <c r="O117" s="32">
        <v>539</v>
      </c>
      <c r="P117" s="32">
        <v>528</v>
      </c>
      <c r="Q117" s="32">
        <v>528</v>
      </c>
      <c r="R117" s="32">
        <v>528</v>
      </c>
      <c r="S117" s="32">
        <v>549.1</v>
      </c>
      <c r="T117" s="32">
        <v>549.1</v>
      </c>
      <c r="U117" s="32">
        <v>554.4</v>
      </c>
      <c r="V117" s="32">
        <v>554.4</v>
      </c>
      <c r="W117" s="32">
        <v>543.29999999999995</v>
      </c>
      <c r="X117" s="32">
        <v>543.29999999999995</v>
      </c>
      <c r="Y117" s="32">
        <v>504.5</v>
      </c>
      <c r="Z117" s="32">
        <v>493.4</v>
      </c>
      <c r="AA117" s="32">
        <v>510.7</v>
      </c>
      <c r="AB117" s="32">
        <v>518.1</v>
      </c>
      <c r="AC117" s="32">
        <v>582.20000000000005</v>
      </c>
      <c r="AD117" s="32">
        <v>602</v>
      </c>
      <c r="AE117" s="32">
        <v>589.9</v>
      </c>
      <c r="AF117" s="32">
        <v>644.1</v>
      </c>
      <c r="AG117" s="32">
        <v>644.1</v>
      </c>
      <c r="AH117" s="32">
        <v>710.3</v>
      </c>
      <c r="AI117" s="32">
        <v>781.4</v>
      </c>
      <c r="AJ117" s="32">
        <v>838.2</v>
      </c>
      <c r="AK117" s="32">
        <v>944.7</v>
      </c>
      <c r="AL117" s="32">
        <v>987.3</v>
      </c>
      <c r="AM117" s="32">
        <v>1044.2</v>
      </c>
      <c r="AN117" s="32">
        <v>994.5</v>
      </c>
      <c r="AO117" s="32">
        <v>1272.9000000000001</v>
      </c>
      <c r="AP117" s="32">
        <v>1163.5</v>
      </c>
      <c r="AQ117" s="32">
        <v>1183.4000000000001</v>
      </c>
      <c r="AR117" s="32">
        <v>1402.2</v>
      </c>
      <c r="AS117" s="32">
        <v>1898.5</v>
      </c>
      <c r="AT117" s="32">
        <v>2131.3000000000002</v>
      </c>
      <c r="AU117" s="32">
        <v>2313.6</v>
      </c>
      <c r="AV117" s="32">
        <v>2523.9</v>
      </c>
      <c r="AW117" s="32">
        <v>2650.1</v>
      </c>
      <c r="AX117" s="32">
        <v>2916.5</v>
      </c>
      <c r="AY117" s="32">
        <v>3645.7</v>
      </c>
      <c r="AZ117" s="32">
        <v>3995.6</v>
      </c>
      <c r="BA117" s="32">
        <v>3558.2</v>
      </c>
      <c r="BB117" s="32">
        <v>3441.5</v>
      </c>
      <c r="BC117" s="32">
        <v>3613.6</v>
      </c>
      <c r="BD117" s="32">
        <v>3448.4</v>
      </c>
      <c r="BE117" s="32">
        <v>3510.3</v>
      </c>
      <c r="BF117" s="32">
        <v>4023.1</v>
      </c>
      <c r="BG117" s="32">
        <v>4287.8999999999996</v>
      </c>
      <c r="BH117" s="32">
        <v>4859.3999999999996</v>
      </c>
      <c r="BI117" s="32">
        <v>5214.1000000000004</v>
      </c>
      <c r="BJ117" s="32">
        <v>5063.5</v>
      </c>
      <c r="BK117" s="32">
        <v>5170.3999999999996</v>
      </c>
      <c r="BL117" s="32">
        <v>5389.1</v>
      </c>
    </row>
    <row r="118" spans="1:64" ht="20" customHeight="1">
      <c r="A118" s="68">
        <v>114</v>
      </c>
      <c r="B118" s="69" t="s">
        <v>166</v>
      </c>
      <c r="C118" s="70" t="b">
        <f t="array" ref="C118">_xlfn.SWITCH(LEFT(B118,FIND("|",B118)-1),"ابنیه",HLOOKUP(D118,'نمودار ابنیه'!$B$5:$AD$6,2,FALSE),"مکانیکی",HLOOKUP(D118,'نمودار مکانیکی'!$B$5:$AJ$6,2,FALSE),"برقی",HLOOKUP(D118,'نمودار تاسیسات برقی'!$B$5:$AK$6,2,FALSE),"خطوط",HLOOKUP(D118,'نمودار خطوط انتقال '!$B$5:$R$6,2,FALSE),"شبکه",HLOOKUP(D118,'نمودار شبکه توزیع آ'!$B$5:$O$6,2,FALSE),"سد",HLOOKUP(D118,'نمودار سدسازی'!$B$5:$P$6,2,FALSE),"فاضلاب",HLOOKUP(D118,'نمودار جمع‌آوری و ا'!$B$5:$S$6,2,FALSE),"تجهیزات",HLOOKUP(D118,'نمودار تجهیزات آب و'!$B$5:$AG$6,2,FALSE),"پست",HLOOKUP(D118,'نمودار پست های انتق'!$B$5:$AH$6,2,FALSE),"نیرو",HLOOKUP(D118,'نمودار توزیع نیرو ب'!$B$5:$AE$6,2,FALSE),FALSE)</f>
        <v>0</v>
      </c>
      <c r="D118" s="71" t="s">
        <v>181</v>
      </c>
      <c r="E118" s="15"/>
      <c r="F118" s="72"/>
      <c r="G118" s="72"/>
      <c r="H118" s="72"/>
      <c r="I118" s="72"/>
      <c r="J118" s="72"/>
      <c r="K118" s="72"/>
      <c r="L118" s="72"/>
      <c r="M118" s="72"/>
      <c r="N118" s="72"/>
      <c r="O118" s="73">
        <v>475.6</v>
      </c>
      <c r="P118" s="73">
        <v>487.9</v>
      </c>
      <c r="Q118" s="73">
        <v>487.9</v>
      </c>
      <c r="R118" s="73">
        <v>487.9</v>
      </c>
      <c r="S118" s="73">
        <v>487.9</v>
      </c>
      <c r="T118" s="73">
        <v>487.9</v>
      </c>
      <c r="U118" s="73">
        <v>487.9</v>
      </c>
      <c r="V118" s="73">
        <v>487.9</v>
      </c>
      <c r="W118" s="73">
        <v>487.9</v>
      </c>
      <c r="X118" s="73">
        <v>487.9</v>
      </c>
      <c r="Y118" s="73">
        <v>487.9</v>
      </c>
      <c r="Z118" s="73">
        <v>487.9</v>
      </c>
      <c r="AA118" s="73">
        <v>487.9</v>
      </c>
      <c r="AB118" s="73">
        <v>487.9</v>
      </c>
      <c r="AC118" s="73">
        <v>487.9</v>
      </c>
      <c r="AD118" s="73">
        <v>487.9</v>
      </c>
      <c r="AE118" s="73">
        <v>561.1</v>
      </c>
      <c r="AF118" s="73">
        <v>595.20000000000005</v>
      </c>
      <c r="AG118" s="73">
        <v>595.20000000000005</v>
      </c>
      <c r="AH118" s="73">
        <v>595.20000000000005</v>
      </c>
      <c r="AI118" s="73">
        <v>702.3</v>
      </c>
      <c r="AJ118" s="73">
        <v>940.4</v>
      </c>
      <c r="AK118" s="73">
        <v>1017.8</v>
      </c>
      <c r="AL118" s="73">
        <v>1041.5999999999999</v>
      </c>
      <c r="AM118" s="73">
        <v>1071.4000000000001</v>
      </c>
      <c r="AN118" s="73">
        <v>1154.7</v>
      </c>
      <c r="AO118" s="73">
        <v>1385.6</v>
      </c>
      <c r="AP118" s="73">
        <v>1385.6</v>
      </c>
      <c r="AQ118" s="73">
        <v>1558.8</v>
      </c>
      <c r="AR118" s="73">
        <v>1616.9</v>
      </c>
      <c r="AS118" s="73">
        <v>2069.6</v>
      </c>
      <c r="AT118" s="73">
        <v>2263.6999999999998</v>
      </c>
      <c r="AU118" s="73">
        <v>2344.5</v>
      </c>
      <c r="AV118" s="73">
        <v>2700.2</v>
      </c>
      <c r="AW118" s="73">
        <v>2435</v>
      </c>
      <c r="AX118" s="73">
        <v>2435</v>
      </c>
      <c r="AY118" s="73">
        <v>2810</v>
      </c>
      <c r="AZ118" s="73">
        <v>3433.4</v>
      </c>
      <c r="BA118" s="73">
        <v>3547.8</v>
      </c>
      <c r="BB118" s="73">
        <v>3788.9</v>
      </c>
      <c r="BC118" s="73">
        <v>4546.7</v>
      </c>
      <c r="BD118" s="73">
        <v>4736.1000000000004</v>
      </c>
      <c r="BE118" s="73">
        <v>5221.1000000000004</v>
      </c>
      <c r="BF118" s="73">
        <v>5664.4</v>
      </c>
      <c r="BG118" s="73">
        <v>5717.5</v>
      </c>
      <c r="BH118" s="73">
        <v>6361.6</v>
      </c>
      <c r="BI118" s="73">
        <v>7379.5</v>
      </c>
      <c r="BJ118" s="73">
        <v>7665.7</v>
      </c>
      <c r="BK118" s="73">
        <v>7379.5</v>
      </c>
      <c r="BL118" s="73">
        <v>7697.5</v>
      </c>
    </row>
    <row r="119" spans="1:64" ht="20" customHeight="1">
      <c r="A119" s="25">
        <v>115</v>
      </c>
      <c r="B119" s="26" t="s">
        <v>166</v>
      </c>
      <c r="C119" s="27" t="e">
        <f t="array" ref="C119">_xlfn.SWITCH(LEFT(B119,FIND("|",B119)-1),"ابنیه",HLOOKUP(D119,'نمودار ابنیه'!$B$5:$AD$6,2,FALSE),"مکانیکی",HLOOKUP(D119,'نمودار مکانیکی'!$B$5:$AJ$6,2,FALSE),"برقی",HLOOKUP(D119,'نمودار تاسیسات برقی'!$B$5:$AK$6,2,FALSE),"خطوط",HLOOKUP(D119,'نمودار خطوط انتقال '!$B$5:$R$6,2,FALSE),"شبکه",HLOOKUP(D119,'نمودار شبکه توزیع آ'!$B$5:$O$6,2,FALSE),"سد",HLOOKUP(D119,'نمودار سدسازی'!$B$5:$P$6,2,FALSE),"فاضلاب",HLOOKUP(D119,'نمودار جمع‌آوری و ا'!$B$5:$S$6,2,FALSE),"تجهیزات",HLOOKUP(D119,'نمودار تجهیزات آب و'!$B$5:$AG$6,2,FALSE),"پست",HLOOKUP(D119,'نمودار پست های انتق'!$B$5:$AH$6,2,FALSE),"نیرو",HLOOKUP(D119,'نمودار توزیع نیرو ب'!$B$5:$AE$6,2,FALSE),FALSE)</f>
        <v>#N/A</v>
      </c>
      <c r="D119" s="28" t="s">
        <v>182</v>
      </c>
      <c r="E119" s="15"/>
      <c r="F119" s="29"/>
      <c r="G119" s="29"/>
      <c r="H119" s="29"/>
      <c r="I119" s="29"/>
      <c r="J119" s="29"/>
      <c r="K119" s="29"/>
      <c r="L119" s="29"/>
      <c r="M119" s="29"/>
      <c r="N119" s="29"/>
      <c r="O119" s="32">
        <v>486</v>
      </c>
      <c r="P119" s="32">
        <v>486</v>
      </c>
      <c r="Q119" s="32">
        <v>486</v>
      </c>
      <c r="R119" s="32">
        <v>486</v>
      </c>
      <c r="S119" s="32">
        <v>524.9</v>
      </c>
      <c r="T119" s="32">
        <v>524.9</v>
      </c>
      <c r="U119" s="32">
        <v>539.5</v>
      </c>
      <c r="V119" s="32">
        <v>539.5</v>
      </c>
      <c r="W119" s="32">
        <v>539.5</v>
      </c>
      <c r="X119" s="32">
        <v>539.5</v>
      </c>
      <c r="Y119" s="32">
        <v>531.9</v>
      </c>
      <c r="Z119" s="32">
        <v>531.9</v>
      </c>
      <c r="AA119" s="32">
        <v>531.9</v>
      </c>
      <c r="AB119" s="32">
        <v>531.9</v>
      </c>
      <c r="AC119" s="32">
        <v>521.29999999999995</v>
      </c>
      <c r="AD119" s="32">
        <v>521.29999999999995</v>
      </c>
      <c r="AE119" s="32">
        <v>536.9</v>
      </c>
      <c r="AF119" s="32">
        <v>536.9</v>
      </c>
      <c r="AG119" s="32">
        <v>577.79999999999995</v>
      </c>
      <c r="AH119" s="32">
        <v>609.9</v>
      </c>
      <c r="AI119" s="32">
        <v>731.9</v>
      </c>
      <c r="AJ119" s="32">
        <v>914.9</v>
      </c>
      <c r="AK119" s="32">
        <v>1219.9000000000001</v>
      </c>
      <c r="AL119" s="32">
        <v>1219.9000000000001</v>
      </c>
      <c r="AM119" s="32">
        <v>1189.4000000000001</v>
      </c>
      <c r="AN119" s="32">
        <v>1189.4000000000001</v>
      </c>
      <c r="AO119" s="32">
        <v>1486.7</v>
      </c>
      <c r="AP119" s="32">
        <v>1462.9</v>
      </c>
      <c r="AQ119" s="32">
        <v>1546.2</v>
      </c>
      <c r="AR119" s="32">
        <v>1605.6</v>
      </c>
      <c r="AS119" s="32">
        <v>1926.8</v>
      </c>
      <c r="AT119" s="32">
        <v>2649.3</v>
      </c>
      <c r="AU119" s="32">
        <v>2649.3</v>
      </c>
      <c r="AV119" s="32">
        <v>2729.6</v>
      </c>
      <c r="AW119" s="32">
        <v>2938.3</v>
      </c>
      <c r="AX119" s="32">
        <v>2938.3</v>
      </c>
      <c r="AY119" s="32">
        <v>3790.4</v>
      </c>
      <c r="AZ119" s="32">
        <v>3790.4</v>
      </c>
      <c r="BA119" s="32">
        <v>3819.8</v>
      </c>
      <c r="BB119" s="32">
        <v>4025.5</v>
      </c>
      <c r="BC119" s="32">
        <v>4387.8</v>
      </c>
      <c r="BD119" s="32">
        <v>5031.8999999999996</v>
      </c>
      <c r="BE119" s="32">
        <v>5233.2</v>
      </c>
      <c r="BF119" s="32">
        <v>5609.5</v>
      </c>
      <c r="BG119" s="32">
        <v>6646.1</v>
      </c>
      <c r="BH119" s="32">
        <v>7056.7</v>
      </c>
      <c r="BI119" s="32">
        <v>6703.9</v>
      </c>
      <c r="BJ119" s="32">
        <v>6732.1</v>
      </c>
      <c r="BK119" s="32">
        <v>6732.1</v>
      </c>
      <c r="BL119" s="32">
        <v>6901.5</v>
      </c>
    </row>
    <row r="120" spans="1:64" ht="20" customHeight="1">
      <c r="A120" s="62">
        <v>116</v>
      </c>
      <c r="B120" s="63" t="s">
        <v>183</v>
      </c>
      <c r="C120" s="64" t="b">
        <f t="array" ref="C120">_xlfn.SWITCH(LEFT(B120,FIND("|",B120)-1),"ابنیه",HLOOKUP(D120,'نمودار ابنیه'!$B$5:$AD$6,2,FALSE),"مکانیکی",HLOOKUP(D120,'نمودار مکانیکی'!$B$5:$AJ$6,2,FALSE),"برقی",HLOOKUP(D120,'نمودار تاسیسات برقی'!$B$5:$AK$6,2,FALSE),"خطوط",HLOOKUP(D120,'نمودار خطوط انتقال '!$B$5:$R$6,2,FALSE),"شبکه",HLOOKUP(D120,'نمودار شبکه توزیع آ'!$B$5:$O$6,2,FALSE),"سد",HLOOKUP(D120,'نمودار سدسازی'!$B$5:$P$6,2,FALSE),"فاضلاب",HLOOKUP(D120,'نمودار جمع‌آوری و ا'!$B$5:$S$6,2,FALSE),"تجهیزات",HLOOKUP(D120,'نمودار تجهیزات آب و'!$B$5:$AG$6,2,FALSE),"پست",HLOOKUP(D120,'نمودار پست های انتق'!$B$5:$AH$6,2,FALSE),"نیرو",HLOOKUP(D120,'نمودار توزیع نیرو ب'!$B$5:$AE$6,2,FALSE),FALSE)</f>
        <v>1</v>
      </c>
      <c r="D120" s="65" t="s">
        <v>167</v>
      </c>
      <c r="E120" s="15"/>
      <c r="F120" s="66"/>
      <c r="G120" s="67">
        <v>336.1</v>
      </c>
      <c r="H120" s="67">
        <v>346.2</v>
      </c>
      <c r="I120" s="67">
        <v>355.3</v>
      </c>
      <c r="J120" s="67">
        <v>364.3</v>
      </c>
      <c r="K120" s="67">
        <v>403.2</v>
      </c>
      <c r="L120" s="67">
        <v>422.5</v>
      </c>
      <c r="M120" s="67">
        <v>452.6</v>
      </c>
      <c r="N120" s="67">
        <v>465.7</v>
      </c>
      <c r="O120" s="67">
        <v>522.70000000000005</v>
      </c>
      <c r="P120" s="67">
        <v>533</v>
      </c>
      <c r="Q120" s="67">
        <v>543.5</v>
      </c>
      <c r="R120" s="67">
        <v>554.4</v>
      </c>
      <c r="S120" s="67">
        <v>639.29999999999995</v>
      </c>
      <c r="T120" s="67">
        <v>651</v>
      </c>
      <c r="U120" s="67">
        <v>660.3</v>
      </c>
      <c r="V120" s="67">
        <v>668.9</v>
      </c>
      <c r="W120" s="67">
        <v>670</v>
      </c>
      <c r="X120" s="67">
        <v>671</v>
      </c>
      <c r="Y120" s="67">
        <v>672</v>
      </c>
      <c r="Z120" s="67">
        <v>673</v>
      </c>
      <c r="AA120" s="67">
        <v>674</v>
      </c>
      <c r="AB120" s="67">
        <v>675</v>
      </c>
      <c r="AC120" s="67">
        <v>676</v>
      </c>
      <c r="AD120" s="67">
        <v>677</v>
      </c>
      <c r="AE120" s="67">
        <v>678</v>
      </c>
      <c r="AF120" s="67">
        <v>679</v>
      </c>
      <c r="AG120" s="67">
        <v>680</v>
      </c>
      <c r="AH120" s="67">
        <v>681</v>
      </c>
      <c r="AI120" s="67">
        <v>682</v>
      </c>
      <c r="AJ120" s="67">
        <v>683</v>
      </c>
      <c r="AK120" s="67">
        <v>684</v>
      </c>
      <c r="AL120" s="67">
        <v>685</v>
      </c>
      <c r="AM120" s="67">
        <v>685</v>
      </c>
      <c r="AN120" s="67">
        <v>686</v>
      </c>
      <c r="AO120" s="67">
        <v>687</v>
      </c>
      <c r="AP120" s="67">
        <v>688</v>
      </c>
      <c r="AQ120" s="67">
        <v>689</v>
      </c>
      <c r="AR120" s="67">
        <v>690</v>
      </c>
      <c r="AS120" s="67">
        <v>691</v>
      </c>
      <c r="AT120" s="67">
        <v>692</v>
      </c>
      <c r="AU120" s="67">
        <v>693</v>
      </c>
      <c r="AV120" s="67">
        <v>694</v>
      </c>
      <c r="AW120" s="67">
        <v>695</v>
      </c>
      <c r="AX120" s="67">
        <v>696</v>
      </c>
      <c r="AY120" s="67">
        <v>697</v>
      </c>
      <c r="AZ120" s="67">
        <v>698</v>
      </c>
      <c r="BA120" s="67">
        <v>699</v>
      </c>
      <c r="BB120" s="67">
        <v>700</v>
      </c>
      <c r="BC120" s="67">
        <v>701</v>
      </c>
      <c r="BD120" s="67">
        <v>702</v>
      </c>
      <c r="BE120" s="67">
        <v>703</v>
      </c>
      <c r="BF120" s="67">
        <v>704</v>
      </c>
      <c r="BG120" s="67">
        <v>704</v>
      </c>
      <c r="BH120" s="67">
        <v>704</v>
      </c>
      <c r="BI120" s="67">
        <v>705</v>
      </c>
      <c r="BJ120" s="67">
        <v>706</v>
      </c>
      <c r="BK120" s="67">
        <v>707</v>
      </c>
      <c r="BL120" s="67">
        <v>708</v>
      </c>
    </row>
    <row r="121" spans="1:64" ht="20" customHeight="1">
      <c r="A121" s="25">
        <v>117</v>
      </c>
      <c r="B121" s="26" t="s">
        <v>183</v>
      </c>
      <c r="C121" s="27" t="b">
        <f t="array" ref="C121">_xlfn.SWITCH(LEFT(B121,FIND("|",B121)-1),"ابنیه",HLOOKUP(D121,'نمودار ابنیه'!$B$5:$AD$6,2,FALSE),"مکانیکی",HLOOKUP(D121,'نمودار مکانیکی'!$B$5:$AJ$6,2,FALSE),"برقی",HLOOKUP(D121,'نمودار تاسیسات برقی'!$B$5:$AK$6,2,FALSE),"خطوط",HLOOKUP(D121,'نمودار خطوط انتقال '!$B$5:$R$6,2,FALSE),"شبکه",HLOOKUP(D121,'نمودار شبکه توزیع آ'!$B$5:$O$6,2,FALSE),"سد",HLOOKUP(D121,'نمودار سدسازی'!$B$5:$P$6,2,FALSE),"فاضلاب",HLOOKUP(D121,'نمودار جمع‌آوری و ا'!$B$5:$S$6,2,FALSE),"تجهیزات",HLOOKUP(D121,'نمودار تجهیزات آب و'!$B$5:$AG$6,2,FALSE),"پست",HLOOKUP(D121,'نمودار پست های انتق'!$B$5:$AH$6,2,FALSE),"نیرو",HLOOKUP(D121,'نمودار توزیع نیرو ب'!$B$5:$AE$6,2,FALSE),FALSE)</f>
        <v>1</v>
      </c>
      <c r="D121" s="28" t="s">
        <v>168</v>
      </c>
      <c r="E121" s="15"/>
      <c r="F121" s="29"/>
      <c r="G121" s="32">
        <v>335.5</v>
      </c>
      <c r="H121" s="32">
        <v>346</v>
      </c>
      <c r="I121" s="32">
        <v>355.9</v>
      </c>
      <c r="J121" s="32">
        <v>365.7</v>
      </c>
      <c r="K121" s="32">
        <v>404.1</v>
      </c>
      <c r="L121" s="32">
        <v>424</v>
      </c>
      <c r="M121" s="32">
        <v>455.6</v>
      </c>
      <c r="N121" s="32">
        <v>469.7</v>
      </c>
      <c r="O121" s="32">
        <v>525.70000000000005</v>
      </c>
      <c r="P121" s="32">
        <v>536.4</v>
      </c>
      <c r="Q121" s="32">
        <v>546.9</v>
      </c>
      <c r="R121" s="32">
        <v>557.79999999999995</v>
      </c>
      <c r="S121" s="32">
        <v>641.1</v>
      </c>
      <c r="T121" s="32">
        <v>653</v>
      </c>
      <c r="U121" s="32">
        <v>662</v>
      </c>
      <c r="V121" s="32">
        <v>670.5</v>
      </c>
      <c r="W121" s="32">
        <v>731.1</v>
      </c>
      <c r="X121" s="32">
        <v>737</v>
      </c>
      <c r="Y121" s="32">
        <v>741.8</v>
      </c>
      <c r="Z121" s="32">
        <v>745.8</v>
      </c>
      <c r="AA121" s="32">
        <v>798.1</v>
      </c>
      <c r="AB121" s="32">
        <v>805.6</v>
      </c>
      <c r="AC121" s="32">
        <v>813.1</v>
      </c>
      <c r="AD121" s="32">
        <v>820.4</v>
      </c>
      <c r="AE121" s="32">
        <v>888.5</v>
      </c>
      <c r="AF121" s="32">
        <v>891.4</v>
      </c>
      <c r="AG121" s="32">
        <v>908.9</v>
      </c>
      <c r="AH121" s="32">
        <v>917.6</v>
      </c>
      <c r="AI121" s="32">
        <v>1044.9000000000001</v>
      </c>
      <c r="AJ121" s="32">
        <v>1113.2</v>
      </c>
      <c r="AK121" s="32">
        <v>1139.0999999999999</v>
      </c>
      <c r="AL121" s="32">
        <v>1160.4000000000001</v>
      </c>
      <c r="AM121" s="32">
        <v>1178.2</v>
      </c>
      <c r="AN121" s="32">
        <v>1219.4000000000001</v>
      </c>
      <c r="AO121" s="32">
        <v>1467.2</v>
      </c>
      <c r="AP121" s="32">
        <v>1540.4</v>
      </c>
      <c r="AQ121" s="32">
        <v>1593</v>
      </c>
      <c r="AR121" s="32">
        <v>1650.8</v>
      </c>
      <c r="AS121" s="32">
        <v>2017.6</v>
      </c>
      <c r="AT121" s="32">
        <v>2261.6999999999998</v>
      </c>
      <c r="AU121" s="32">
        <v>2303</v>
      </c>
      <c r="AV121" s="32">
        <v>2389.1999999999998</v>
      </c>
      <c r="AW121" s="32">
        <v>2629.2</v>
      </c>
      <c r="AX121" s="32">
        <v>2770.3</v>
      </c>
      <c r="AY121" s="32">
        <v>3611.6</v>
      </c>
      <c r="AZ121" s="32">
        <v>3827</v>
      </c>
      <c r="BA121" s="32">
        <v>3848.6</v>
      </c>
      <c r="BB121" s="32">
        <v>3914.9</v>
      </c>
      <c r="BC121" s="32">
        <v>4933.5</v>
      </c>
      <c r="BD121" s="32">
        <v>5046.6000000000004</v>
      </c>
      <c r="BE121" s="32">
        <v>5471.1</v>
      </c>
      <c r="BF121" s="32">
        <v>5735.6</v>
      </c>
      <c r="BG121" s="32">
        <v>5738</v>
      </c>
      <c r="BH121" s="32">
        <v>5748.3</v>
      </c>
      <c r="BI121" s="32">
        <v>7003.8</v>
      </c>
      <c r="BJ121" s="32">
        <v>7276</v>
      </c>
      <c r="BK121" s="32">
        <v>7424.6</v>
      </c>
      <c r="BL121" s="32">
        <v>7626.4</v>
      </c>
    </row>
    <row r="122" spans="1:64" ht="20" customHeight="1">
      <c r="A122" s="68">
        <v>118</v>
      </c>
      <c r="B122" s="69" t="s">
        <v>183</v>
      </c>
      <c r="C122" s="70" t="b">
        <f t="array" ref="C122">_xlfn.SWITCH(LEFT(B122,FIND("|",B122)-1),"ابنیه",HLOOKUP(D122,'نمودار ابنیه'!$B$5:$AD$6,2,FALSE),"مکانیکی",HLOOKUP(D122,'نمودار مکانیکی'!$B$5:$AJ$6,2,FALSE),"برقی",HLOOKUP(D122,'نمودار تاسیسات برقی'!$B$5:$AK$6,2,FALSE),"خطوط",HLOOKUP(D122,'نمودار خطوط انتقال '!$B$5:$R$6,2,FALSE),"شبکه",HLOOKUP(D122,'نمودار شبکه توزیع آ'!$B$5:$O$6,2,FALSE),"سد",HLOOKUP(D122,'نمودار سدسازی'!$B$5:$P$6,2,FALSE),"فاضلاب",HLOOKUP(D122,'نمودار جمع‌آوری و ا'!$B$5:$S$6,2,FALSE),"تجهیزات",HLOOKUP(D122,'نمودار تجهیزات آب و'!$B$5:$AG$6,2,FALSE),"پست",HLOOKUP(D122,'نمودار پست های انتق'!$B$5:$AH$6,2,FALSE),"نیرو",HLOOKUP(D122,'نمودار توزیع نیرو ب'!$B$5:$AE$6,2,FALSE),FALSE)</f>
        <v>1</v>
      </c>
      <c r="D122" s="71" t="s">
        <v>172</v>
      </c>
      <c r="E122" s="15"/>
      <c r="F122" s="72"/>
      <c r="G122" s="73">
        <v>334.7</v>
      </c>
      <c r="H122" s="73">
        <v>345.3</v>
      </c>
      <c r="I122" s="73">
        <v>356.1</v>
      </c>
      <c r="J122" s="73">
        <v>366.2</v>
      </c>
      <c r="K122" s="73">
        <v>404.1</v>
      </c>
      <c r="L122" s="73">
        <v>425</v>
      </c>
      <c r="M122" s="73">
        <v>458.4</v>
      </c>
      <c r="N122" s="73">
        <v>472.9</v>
      </c>
      <c r="O122" s="73">
        <v>528.4</v>
      </c>
      <c r="P122" s="73">
        <v>539.1</v>
      </c>
      <c r="Q122" s="73">
        <v>549.70000000000005</v>
      </c>
      <c r="R122" s="73">
        <v>560.6</v>
      </c>
      <c r="S122" s="73">
        <v>643.29999999999995</v>
      </c>
      <c r="T122" s="73">
        <v>655</v>
      </c>
      <c r="U122" s="73">
        <v>663.5</v>
      </c>
      <c r="V122" s="73">
        <v>672.3</v>
      </c>
      <c r="W122" s="73">
        <v>733.6</v>
      </c>
      <c r="X122" s="73">
        <v>739</v>
      </c>
      <c r="Y122" s="73">
        <v>743.1</v>
      </c>
      <c r="Z122" s="73">
        <v>746.9</v>
      </c>
      <c r="AA122" s="73">
        <v>799.2</v>
      </c>
      <c r="AB122" s="73">
        <v>806.7</v>
      </c>
      <c r="AC122" s="73">
        <v>814.1</v>
      </c>
      <c r="AD122" s="73">
        <v>821.6</v>
      </c>
      <c r="AE122" s="73">
        <v>889.8</v>
      </c>
      <c r="AF122" s="73">
        <v>892.3</v>
      </c>
      <c r="AG122" s="73">
        <v>910.3</v>
      </c>
      <c r="AH122" s="73">
        <v>919.4</v>
      </c>
      <c r="AI122" s="73">
        <v>1046.3</v>
      </c>
      <c r="AJ122" s="73">
        <v>1117.0999999999999</v>
      </c>
      <c r="AK122" s="73">
        <v>1143.7</v>
      </c>
      <c r="AL122" s="73">
        <v>1169.0999999999999</v>
      </c>
      <c r="AM122" s="73">
        <v>1184.2</v>
      </c>
      <c r="AN122" s="73">
        <v>1228.3</v>
      </c>
      <c r="AO122" s="73">
        <v>1477.6</v>
      </c>
      <c r="AP122" s="73">
        <v>1551.3</v>
      </c>
      <c r="AQ122" s="73">
        <v>1601.7</v>
      </c>
      <c r="AR122" s="73">
        <v>1663.1</v>
      </c>
      <c r="AS122" s="73">
        <v>2027.9</v>
      </c>
      <c r="AT122" s="73">
        <v>2274</v>
      </c>
      <c r="AU122" s="73">
        <v>2317.8000000000002</v>
      </c>
      <c r="AV122" s="73">
        <v>2407.4</v>
      </c>
      <c r="AW122" s="73">
        <v>2654.1</v>
      </c>
      <c r="AX122" s="73">
        <v>2800.9</v>
      </c>
      <c r="AY122" s="73">
        <v>3658.9</v>
      </c>
      <c r="AZ122" s="73">
        <v>3877.4</v>
      </c>
      <c r="BA122" s="73">
        <v>3895.2</v>
      </c>
      <c r="BB122" s="73">
        <v>3960.4</v>
      </c>
      <c r="BC122" s="73">
        <v>4982.2</v>
      </c>
      <c r="BD122" s="73">
        <v>5094.8999999999996</v>
      </c>
      <c r="BE122" s="73">
        <v>5512.3</v>
      </c>
      <c r="BF122" s="73">
        <v>5787.7</v>
      </c>
      <c r="BG122" s="73">
        <v>5789.5</v>
      </c>
      <c r="BH122" s="73">
        <v>5802.5</v>
      </c>
      <c r="BI122" s="73">
        <v>7060.4</v>
      </c>
      <c r="BJ122" s="73">
        <v>7327.8</v>
      </c>
      <c r="BK122" s="73">
        <v>7464.3</v>
      </c>
      <c r="BL122" s="73">
        <v>7674.8</v>
      </c>
    </row>
    <row r="123" spans="1:64" ht="20" customHeight="1">
      <c r="A123" s="25">
        <v>119</v>
      </c>
      <c r="B123" s="26" t="s">
        <v>183</v>
      </c>
      <c r="C123" s="27" t="b">
        <f t="array" ref="C123">_xlfn.SWITCH(LEFT(B123,FIND("|",B123)-1),"ابنیه",HLOOKUP(D123,'نمودار ابنیه'!$B$5:$AD$6,2,FALSE),"مکانیکی",HLOOKUP(D123,'نمودار مکانیکی'!$B$5:$AJ$6,2,FALSE),"برقی",HLOOKUP(D123,'نمودار تاسیسات برقی'!$B$5:$AK$6,2,FALSE),"خطوط",HLOOKUP(D123,'نمودار خطوط انتقال '!$B$5:$R$6,2,FALSE),"شبکه",HLOOKUP(D123,'نمودار شبکه توزیع آ'!$B$5:$O$6,2,FALSE),"سد",HLOOKUP(D123,'نمودار سدسازی'!$B$5:$P$6,2,FALSE),"فاضلاب",HLOOKUP(D123,'نمودار جمع‌آوری و ا'!$B$5:$S$6,2,FALSE),"تجهیزات",HLOOKUP(D123,'نمودار تجهیزات آب و'!$B$5:$AG$6,2,FALSE),"پست",HLOOKUP(D123,'نمودار پست های انتق'!$B$5:$AH$6,2,FALSE),"نیرو",HLOOKUP(D123,'نمودار توزیع نیرو ب'!$B$5:$AE$6,2,FALSE),FALSE)</f>
        <v>1</v>
      </c>
      <c r="D123" s="28" t="s">
        <v>184</v>
      </c>
      <c r="E123" s="15"/>
      <c r="F123" s="29"/>
      <c r="G123" s="32">
        <v>334.7</v>
      </c>
      <c r="H123" s="32">
        <v>345.3</v>
      </c>
      <c r="I123" s="32">
        <v>356.1</v>
      </c>
      <c r="J123" s="32">
        <v>366.2</v>
      </c>
      <c r="K123" s="32">
        <v>404.1</v>
      </c>
      <c r="L123" s="32">
        <v>425</v>
      </c>
      <c r="M123" s="32">
        <v>458.4</v>
      </c>
      <c r="N123" s="32">
        <v>472.9</v>
      </c>
      <c r="O123" s="32">
        <v>528.4</v>
      </c>
      <c r="P123" s="32">
        <v>539.1</v>
      </c>
      <c r="Q123" s="32">
        <v>549.70000000000005</v>
      </c>
      <c r="R123" s="32">
        <v>560.6</v>
      </c>
      <c r="S123" s="32">
        <v>643.29999999999995</v>
      </c>
      <c r="T123" s="32">
        <v>655</v>
      </c>
      <c r="U123" s="32">
        <v>663.5</v>
      </c>
      <c r="V123" s="32">
        <v>672.2</v>
      </c>
      <c r="W123" s="32">
        <v>733.6</v>
      </c>
      <c r="X123" s="32">
        <v>739</v>
      </c>
      <c r="Y123" s="32">
        <v>743.1</v>
      </c>
      <c r="Z123" s="32">
        <v>747.1</v>
      </c>
      <c r="AA123" s="32">
        <v>799.6</v>
      </c>
      <c r="AB123" s="32">
        <v>806.9</v>
      </c>
      <c r="AC123" s="32">
        <v>814.6</v>
      </c>
      <c r="AD123" s="32">
        <v>822.1</v>
      </c>
      <c r="AE123" s="32">
        <v>890.4</v>
      </c>
      <c r="AF123" s="32">
        <v>892.8</v>
      </c>
      <c r="AG123" s="32">
        <v>910.9</v>
      </c>
      <c r="AH123" s="32">
        <v>919.8</v>
      </c>
      <c r="AI123" s="32">
        <v>1046.8</v>
      </c>
      <c r="AJ123" s="32">
        <v>1117.5</v>
      </c>
      <c r="AK123" s="32">
        <v>1143.7</v>
      </c>
      <c r="AL123" s="32">
        <v>1167</v>
      </c>
      <c r="AM123" s="32">
        <v>1184.4000000000001</v>
      </c>
      <c r="AN123" s="32">
        <v>1228.8</v>
      </c>
      <c r="AO123" s="32">
        <v>1477.7</v>
      </c>
      <c r="AP123" s="32">
        <v>1552.2</v>
      </c>
      <c r="AQ123" s="32">
        <v>1602.3</v>
      </c>
      <c r="AR123" s="32">
        <v>1663.2</v>
      </c>
      <c r="AS123" s="32">
        <v>2027.9</v>
      </c>
      <c r="AT123" s="32">
        <v>2274</v>
      </c>
      <c r="AU123" s="32">
        <v>2317.8000000000002</v>
      </c>
      <c r="AV123" s="32">
        <v>2407.4</v>
      </c>
      <c r="AW123" s="32">
        <v>2654.1</v>
      </c>
      <c r="AX123" s="32">
        <v>2800.9</v>
      </c>
      <c r="AY123" s="32">
        <v>3653.2</v>
      </c>
      <c r="AZ123" s="32">
        <v>3869.1</v>
      </c>
      <c r="BA123" s="32">
        <v>3888</v>
      </c>
      <c r="BB123" s="32">
        <v>3960.4</v>
      </c>
      <c r="BC123" s="32">
        <v>4983.1000000000004</v>
      </c>
      <c r="BD123" s="32">
        <v>5094.8</v>
      </c>
      <c r="BE123" s="32">
        <v>5512.3</v>
      </c>
      <c r="BF123" s="32">
        <v>5787.7</v>
      </c>
      <c r="BG123" s="32">
        <v>5789.5</v>
      </c>
      <c r="BH123" s="32">
        <v>5802.5</v>
      </c>
      <c r="BI123" s="32">
        <v>7060.4</v>
      </c>
      <c r="BJ123" s="32">
        <v>7327.8</v>
      </c>
      <c r="BK123" s="32">
        <v>7464.3</v>
      </c>
      <c r="BL123" s="32">
        <v>7674.8</v>
      </c>
    </row>
    <row r="124" spans="1:64" ht="20" customHeight="1">
      <c r="A124" s="68">
        <v>120</v>
      </c>
      <c r="B124" s="69" t="s">
        <v>183</v>
      </c>
      <c r="C124" s="70" t="b">
        <f t="array" ref="C124">_xlfn.SWITCH(LEFT(B124,FIND("|",B124)-1),"ابنیه",HLOOKUP(D124,'نمودار ابنیه'!$B$5:$AD$6,2,FALSE),"مکانیکی",HLOOKUP(D124,'نمودار مکانیکی'!$B$5:$AJ$6,2,FALSE),"برقی",HLOOKUP(D124,'نمودار تاسیسات برقی'!$B$5:$AK$6,2,FALSE),"خطوط",HLOOKUP(D124,'نمودار خطوط انتقال '!$B$5:$R$6,2,FALSE),"شبکه",HLOOKUP(D124,'نمودار شبکه توزیع آ'!$B$5:$O$6,2,FALSE),"سد",HLOOKUP(D124,'نمودار سدسازی'!$B$5:$P$6,2,FALSE),"فاضلاب",HLOOKUP(D124,'نمودار جمع‌آوری و ا'!$B$5:$S$6,2,FALSE),"تجهیزات",HLOOKUP(D124,'نمودار تجهیزات آب و'!$B$5:$AG$6,2,FALSE),"پست",HLOOKUP(D124,'نمودار پست های انتق'!$B$5:$AH$6,2,FALSE),"نیرو",HLOOKUP(D124,'نمودار توزیع نیرو ب'!$B$5:$AE$6,2,FALSE),FALSE)</f>
        <v>1</v>
      </c>
      <c r="D124" s="71" t="s">
        <v>173</v>
      </c>
      <c r="E124" s="15"/>
      <c r="F124" s="72"/>
      <c r="G124" s="73">
        <v>335.6</v>
      </c>
      <c r="H124" s="73">
        <v>346.5</v>
      </c>
      <c r="I124" s="73">
        <v>357.3</v>
      </c>
      <c r="J124" s="73">
        <v>367.4</v>
      </c>
      <c r="K124" s="73">
        <v>405.6</v>
      </c>
      <c r="L124" s="73">
        <v>426.5</v>
      </c>
      <c r="M124" s="73">
        <v>460.1</v>
      </c>
      <c r="N124" s="73">
        <v>474.8</v>
      </c>
      <c r="O124" s="73">
        <v>530.6</v>
      </c>
      <c r="P124" s="73">
        <v>541.4</v>
      </c>
      <c r="Q124" s="73">
        <v>552.1</v>
      </c>
      <c r="R124" s="73">
        <v>562.9</v>
      </c>
      <c r="S124" s="73">
        <v>646.29999999999995</v>
      </c>
      <c r="T124" s="73">
        <v>658.1</v>
      </c>
      <c r="U124" s="73">
        <v>666.6</v>
      </c>
      <c r="V124" s="73">
        <v>675.4</v>
      </c>
      <c r="W124" s="73">
        <v>737.3</v>
      </c>
      <c r="X124" s="73">
        <v>742.7</v>
      </c>
      <c r="Y124" s="73">
        <v>746.7</v>
      </c>
      <c r="Z124" s="73">
        <v>750.7</v>
      </c>
      <c r="AA124" s="73">
        <v>803.4</v>
      </c>
      <c r="AB124" s="73">
        <v>810.8</v>
      </c>
      <c r="AC124" s="73">
        <v>818.4</v>
      </c>
      <c r="AD124" s="73">
        <v>826</v>
      </c>
      <c r="AE124" s="73">
        <v>894.9</v>
      </c>
      <c r="AF124" s="73">
        <v>896.9</v>
      </c>
      <c r="AG124" s="73">
        <v>915.4</v>
      </c>
      <c r="AH124" s="73">
        <v>924.2</v>
      </c>
      <c r="AI124" s="73">
        <v>1051.8</v>
      </c>
      <c r="AJ124" s="73">
        <v>1122.7</v>
      </c>
      <c r="AK124" s="73">
        <v>1148.5</v>
      </c>
      <c r="AL124" s="73">
        <v>1171.9000000000001</v>
      </c>
      <c r="AM124" s="73">
        <v>1189.4000000000001</v>
      </c>
      <c r="AN124" s="73">
        <v>1234.2</v>
      </c>
      <c r="AO124" s="73">
        <v>1485.7</v>
      </c>
      <c r="AP124" s="73">
        <v>1560.9</v>
      </c>
      <c r="AQ124" s="73">
        <v>1611.2</v>
      </c>
      <c r="AR124" s="73">
        <v>1672.7</v>
      </c>
      <c r="AS124" s="73">
        <v>2040.7</v>
      </c>
      <c r="AT124" s="73">
        <v>2287.6999999999998</v>
      </c>
      <c r="AU124" s="73">
        <v>2331.8000000000002</v>
      </c>
      <c r="AV124" s="73">
        <v>2421.8000000000002</v>
      </c>
      <c r="AW124" s="73">
        <v>2669.3</v>
      </c>
      <c r="AX124" s="73">
        <v>2816.4</v>
      </c>
      <c r="AY124" s="73">
        <v>3676.1</v>
      </c>
      <c r="AZ124" s="73">
        <v>3890</v>
      </c>
      <c r="BA124" s="73">
        <v>3907.3</v>
      </c>
      <c r="BB124" s="73">
        <v>3972.4</v>
      </c>
      <c r="BC124" s="73">
        <v>5003.1000000000004</v>
      </c>
      <c r="BD124" s="73">
        <v>5114.3999999999996</v>
      </c>
      <c r="BE124" s="73">
        <v>5547</v>
      </c>
      <c r="BF124" s="73">
        <v>5820.1</v>
      </c>
      <c r="BG124" s="73">
        <v>5821.9</v>
      </c>
      <c r="BH124" s="73">
        <v>5833.8</v>
      </c>
      <c r="BI124" s="73">
        <v>7103.7</v>
      </c>
      <c r="BJ124" s="73">
        <v>7372.5</v>
      </c>
      <c r="BK124" s="73">
        <v>7506.7</v>
      </c>
      <c r="BL124" s="73">
        <v>7718.4</v>
      </c>
    </row>
    <row r="125" spans="1:64" ht="20" customHeight="1">
      <c r="A125" s="25">
        <v>121</v>
      </c>
      <c r="B125" s="26" t="s">
        <v>183</v>
      </c>
      <c r="C125" s="27" t="b">
        <f t="array" ref="C125">_xlfn.SWITCH(LEFT(B125,FIND("|",B125)-1),"ابنیه",HLOOKUP(D125,'نمودار ابنیه'!$B$5:$AD$6,2,FALSE),"مکانیکی",HLOOKUP(D125,'نمودار مکانیکی'!$B$5:$AJ$6,2,FALSE),"برقی",HLOOKUP(D125,'نمودار تاسیسات برقی'!$B$5:$AK$6,2,FALSE),"خطوط",HLOOKUP(D125,'نمودار خطوط انتقال '!$B$5:$R$6,2,FALSE),"شبکه",HLOOKUP(D125,'نمودار شبکه توزیع آ'!$B$5:$O$6,2,FALSE),"سد",HLOOKUP(D125,'نمودار سدسازی'!$B$5:$P$6,2,FALSE),"فاضلاب",HLOOKUP(D125,'نمودار جمع‌آوری و ا'!$B$5:$S$6,2,FALSE),"تجهیزات",HLOOKUP(D125,'نمودار تجهیزات آب و'!$B$5:$AG$6,2,FALSE),"پست",HLOOKUP(D125,'نمودار پست های انتق'!$B$5:$AH$6,2,FALSE),"نیرو",HLOOKUP(D125,'نمودار توزیع نیرو ب'!$B$5:$AE$6,2,FALSE),FALSE)</f>
        <v>0</v>
      </c>
      <c r="D125" s="28" t="s">
        <v>185</v>
      </c>
      <c r="E125" s="15"/>
      <c r="F125" s="29"/>
      <c r="G125" s="32">
        <v>303</v>
      </c>
      <c r="H125" s="32">
        <v>314</v>
      </c>
      <c r="I125" s="32">
        <v>321.60000000000002</v>
      </c>
      <c r="J125" s="32">
        <v>338.3</v>
      </c>
      <c r="K125" s="32">
        <v>360.7</v>
      </c>
      <c r="L125" s="32">
        <v>379.3</v>
      </c>
      <c r="M125" s="32">
        <v>409.5</v>
      </c>
      <c r="N125" s="32">
        <v>431.4</v>
      </c>
      <c r="O125" s="32">
        <v>473.5</v>
      </c>
      <c r="P125" s="32">
        <v>484.4</v>
      </c>
      <c r="Q125" s="32">
        <v>489.6</v>
      </c>
      <c r="R125" s="32">
        <v>494.3</v>
      </c>
      <c r="S125" s="32">
        <v>538.70000000000005</v>
      </c>
      <c r="T125" s="32">
        <v>562.9</v>
      </c>
      <c r="U125" s="32">
        <v>559.70000000000005</v>
      </c>
      <c r="V125" s="32">
        <v>557.4</v>
      </c>
      <c r="W125" s="32">
        <v>583.20000000000005</v>
      </c>
      <c r="X125" s="32">
        <v>585.29999999999995</v>
      </c>
      <c r="Y125" s="32">
        <v>582.9</v>
      </c>
      <c r="Z125" s="32">
        <v>576.29999999999995</v>
      </c>
      <c r="AA125" s="32">
        <v>605.20000000000005</v>
      </c>
      <c r="AB125" s="32">
        <v>613.29999999999995</v>
      </c>
      <c r="AC125" s="32">
        <v>630.1</v>
      </c>
      <c r="AD125" s="32">
        <v>640.20000000000005</v>
      </c>
      <c r="AE125" s="32">
        <v>686.7</v>
      </c>
      <c r="AF125" s="32">
        <v>693.2</v>
      </c>
      <c r="AG125" s="32">
        <v>708.5</v>
      </c>
      <c r="AH125" s="32">
        <v>722.7</v>
      </c>
      <c r="AI125" s="32">
        <v>816.4</v>
      </c>
      <c r="AJ125" s="32">
        <v>888.4</v>
      </c>
      <c r="AK125" s="32">
        <v>944.4</v>
      </c>
      <c r="AL125" s="32">
        <v>1000.3</v>
      </c>
      <c r="AM125" s="32">
        <v>1015.1</v>
      </c>
      <c r="AN125" s="32">
        <v>1016.7</v>
      </c>
      <c r="AO125" s="32">
        <v>1165</v>
      </c>
      <c r="AP125" s="32">
        <v>1228.5999999999999</v>
      </c>
      <c r="AQ125" s="32">
        <v>1261.7</v>
      </c>
      <c r="AR125" s="32">
        <v>1309.5999999999999</v>
      </c>
      <c r="AS125" s="32">
        <v>1542.1</v>
      </c>
      <c r="AT125" s="32">
        <v>1801.1</v>
      </c>
      <c r="AU125" s="32">
        <v>1852.6</v>
      </c>
      <c r="AV125" s="32">
        <v>1945.9</v>
      </c>
      <c r="AW125" s="32">
        <v>2200.4</v>
      </c>
      <c r="AX125" s="32">
        <v>2343.3000000000002</v>
      </c>
      <c r="AY125" s="32">
        <v>2954.9</v>
      </c>
      <c r="AZ125" s="32">
        <v>3279.5</v>
      </c>
      <c r="BA125" s="32">
        <v>3461.5</v>
      </c>
      <c r="BB125" s="32">
        <v>3551.7</v>
      </c>
      <c r="BC125" s="32">
        <v>4325.5</v>
      </c>
      <c r="BD125" s="32">
        <v>4394.3999999999996</v>
      </c>
      <c r="BE125" s="32">
        <v>4672.7</v>
      </c>
      <c r="BF125" s="32">
        <v>4981.5</v>
      </c>
      <c r="BG125" s="32">
        <v>5024.6000000000004</v>
      </c>
      <c r="BH125" s="32">
        <v>5267.7</v>
      </c>
      <c r="BI125" s="32">
        <v>5991.8</v>
      </c>
      <c r="BJ125" s="32">
        <v>6189.9</v>
      </c>
      <c r="BK125" s="32">
        <v>6349.3</v>
      </c>
      <c r="BL125" s="32">
        <v>6400.8</v>
      </c>
    </row>
    <row r="126" spans="1:64" ht="20" customHeight="1">
      <c r="A126" s="68">
        <v>122</v>
      </c>
      <c r="B126" s="69" t="s">
        <v>183</v>
      </c>
      <c r="C126" s="70" t="b">
        <f t="array" ref="C126">_xlfn.SWITCH(LEFT(B126,FIND("|",B126)-1),"ابنیه",HLOOKUP(D126,'نمودار ابنیه'!$B$5:$AD$6,2,FALSE),"مکانیکی",HLOOKUP(D126,'نمودار مکانیکی'!$B$5:$AJ$6,2,FALSE),"برقی",HLOOKUP(D126,'نمودار تاسیسات برقی'!$B$5:$AK$6,2,FALSE),"خطوط",HLOOKUP(D126,'نمودار خطوط انتقال '!$B$5:$R$6,2,FALSE),"شبکه",HLOOKUP(D126,'نمودار شبکه توزیع آ'!$B$5:$O$6,2,FALSE),"سد",HLOOKUP(D126,'نمودار سدسازی'!$B$5:$P$6,2,FALSE),"فاضلاب",HLOOKUP(D126,'نمودار جمع‌آوری و ا'!$B$5:$S$6,2,FALSE),"تجهیزات",HLOOKUP(D126,'نمودار تجهیزات آب و'!$B$5:$AG$6,2,FALSE),"پست",HLOOKUP(D126,'نمودار پست های انتق'!$B$5:$AH$6,2,FALSE),"نیرو",HLOOKUP(D126,'نمودار توزیع نیرو ب'!$B$5:$AE$6,2,FALSE),FALSE)</f>
        <v>0</v>
      </c>
      <c r="D126" s="71" t="s">
        <v>186</v>
      </c>
      <c r="E126" s="15"/>
      <c r="F126" s="72"/>
      <c r="G126" s="73">
        <v>329.9</v>
      </c>
      <c r="H126" s="73">
        <v>338.4</v>
      </c>
      <c r="I126" s="73">
        <v>347.1</v>
      </c>
      <c r="J126" s="73">
        <v>354.5</v>
      </c>
      <c r="K126" s="73">
        <v>392.7</v>
      </c>
      <c r="L126" s="73">
        <v>411</v>
      </c>
      <c r="M126" s="73">
        <v>439.3</v>
      </c>
      <c r="N126" s="73">
        <v>451</v>
      </c>
      <c r="O126" s="73">
        <v>507.3</v>
      </c>
      <c r="P126" s="73">
        <v>517.1</v>
      </c>
      <c r="Q126" s="73">
        <v>529.79999999999995</v>
      </c>
      <c r="R126" s="73">
        <v>541.9</v>
      </c>
      <c r="S126" s="73">
        <v>626</v>
      </c>
      <c r="T126" s="73">
        <v>637.20000000000005</v>
      </c>
      <c r="U126" s="73">
        <v>646.20000000000005</v>
      </c>
      <c r="V126" s="73">
        <v>655.6</v>
      </c>
      <c r="W126" s="73">
        <v>719.9</v>
      </c>
      <c r="X126" s="73">
        <v>725.7</v>
      </c>
      <c r="Y126" s="73">
        <v>730.5</v>
      </c>
      <c r="Z126" s="73">
        <v>735.3</v>
      </c>
      <c r="AA126" s="73">
        <v>791.5</v>
      </c>
      <c r="AB126" s="73">
        <v>798.7</v>
      </c>
      <c r="AC126" s="73">
        <v>806.2</v>
      </c>
      <c r="AD126" s="73">
        <v>813.6</v>
      </c>
      <c r="AE126" s="73">
        <v>884.3</v>
      </c>
      <c r="AF126" s="73">
        <v>887.7</v>
      </c>
      <c r="AG126" s="73">
        <v>903.1</v>
      </c>
      <c r="AH126" s="73">
        <v>911.7</v>
      </c>
      <c r="AI126" s="73">
        <v>1043.2</v>
      </c>
      <c r="AJ126" s="73">
        <v>1099.0999999999999</v>
      </c>
      <c r="AK126" s="73">
        <v>1115.3</v>
      </c>
      <c r="AL126" s="73">
        <v>1129.9000000000001</v>
      </c>
      <c r="AM126" s="73">
        <v>1147.7</v>
      </c>
      <c r="AN126" s="73">
        <v>1184.2</v>
      </c>
      <c r="AO126" s="73">
        <v>1435.7</v>
      </c>
      <c r="AP126" s="73">
        <v>1503.2</v>
      </c>
      <c r="AQ126" s="73">
        <v>1540</v>
      </c>
      <c r="AR126" s="73">
        <v>1588.1</v>
      </c>
      <c r="AS126" s="73">
        <v>1939.9</v>
      </c>
      <c r="AT126" s="73">
        <v>2146.6</v>
      </c>
      <c r="AU126" s="73">
        <v>2174.1999999999998</v>
      </c>
      <c r="AV126" s="73">
        <v>2230.3000000000002</v>
      </c>
      <c r="AW126" s="73">
        <v>2456.1</v>
      </c>
      <c r="AX126" s="73">
        <v>2587</v>
      </c>
      <c r="AY126" s="73">
        <v>3385</v>
      </c>
      <c r="AZ126" s="73">
        <v>3563.1</v>
      </c>
      <c r="BA126" s="73">
        <v>3573.4</v>
      </c>
      <c r="BB126" s="73">
        <v>3614</v>
      </c>
      <c r="BC126" s="73">
        <v>4612.8</v>
      </c>
      <c r="BD126" s="73">
        <v>4707.1000000000004</v>
      </c>
      <c r="BE126" s="73">
        <v>5040.6000000000004</v>
      </c>
      <c r="BF126" s="73">
        <v>5287.2</v>
      </c>
      <c r="BG126" s="73">
        <v>5288.4</v>
      </c>
      <c r="BH126" s="73">
        <v>5296.8</v>
      </c>
      <c r="BI126" s="73">
        <v>6488.9</v>
      </c>
      <c r="BJ126" s="73">
        <v>6720.3</v>
      </c>
      <c r="BK126" s="73">
        <v>6863.7</v>
      </c>
      <c r="BL126" s="73">
        <v>7050.9</v>
      </c>
    </row>
    <row r="127" spans="1:64" ht="20" customHeight="1">
      <c r="A127" s="25">
        <v>123</v>
      </c>
      <c r="B127" s="26" t="s">
        <v>183</v>
      </c>
      <c r="C127" s="27" t="b">
        <f t="array" ref="C127">_xlfn.SWITCH(LEFT(B127,FIND("|",B127)-1),"ابنیه",HLOOKUP(D127,'نمودار ابنیه'!$B$5:$AD$6,2,FALSE),"مکانیکی",HLOOKUP(D127,'نمودار مکانیکی'!$B$5:$AJ$6,2,FALSE),"برقی",HLOOKUP(D127,'نمودار تاسیسات برقی'!$B$5:$AK$6,2,FALSE),"خطوط",HLOOKUP(D127,'نمودار خطوط انتقال '!$B$5:$R$6,2,FALSE),"شبکه",HLOOKUP(D127,'نمودار شبکه توزیع آ'!$B$5:$O$6,2,FALSE),"سد",HLOOKUP(D127,'نمودار سدسازی'!$B$5:$P$6,2,FALSE),"فاضلاب",HLOOKUP(D127,'نمودار جمع‌آوری و ا'!$B$5:$S$6,2,FALSE),"تجهیزات",HLOOKUP(D127,'نمودار تجهیزات آب و'!$B$5:$AG$6,2,FALSE),"پست",HLOOKUP(D127,'نمودار پست های انتق'!$B$5:$AH$6,2,FALSE),"نیرو",HLOOKUP(D127,'نمودار توزیع نیرو ب'!$B$5:$AE$6,2,FALSE),FALSE)</f>
        <v>0</v>
      </c>
      <c r="D127" s="28" t="s">
        <v>176</v>
      </c>
      <c r="E127" s="15"/>
      <c r="F127" s="29"/>
      <c r="G127" s="32">
        <v>336.7</v>
      </c>
      <c r="H127" s="32">
        <v>345</v>
      </c>
      <c r="I127" s="32">
        <v>368.5</v>
      </c>
      <c r="J127" s="32">
        <v>382.4</v>
      </c>
      <c r="K127" s="32">
        <v>419.9</v>
      </c>
      <c r="L127" s="32">
        <v>443.1</v>
      </c>
      <c r="M127" s="32">
        <v>475</v>
      </c>
      <c r="N127" s="32">
        <v>502.4</v>
      </c>
      <c r="O127" s="32">
        <v>548.5</v>
      </c>
      <c r="P127" s="32">
        <v>558.1</v>
      </c>
      <c r="Q127" s="32">
        <v>571.9</v>
      </c>
      <c r="R127" s="32">
        <v>581.9</v>
      </c>
      <c r="S127" s="32">
        <v>648.20000000000005</v>
      </c>
      <c r="T127" s="32">
        <v>661.8</v>
      </c>
      <c r="U127" s="32">
        <v>664.5</v>
      </c>
      <c r="V127" s="32">
        <v>670.4</v>
      </c>
      <c r="W127" s="32">
        <v>718.7</v>
      </c>
      <c r="X127" s="32">
        <v>723</v>
      </c>
      <c r="Y127" s="32">
        <v>718.7</v>
      </c>
      <c r="Z127" s="32">
        <v>700.9</v>
      </c>
      <c r="AA127" s="32">
        <v>745.5</v>
      </c>
      <c r="AB127" s="32">
        <v>757.4</v>
      </c>
      <c r="AC127" s="32">
        <v>770.8</v>
      </c>
      <c r="AD127" s="32">
        <v>785.4</v>
      </c>
      <c r="AE127" s="32">
        <v>844.5</v>
      </c>
      <c r="AF127" s="32">
        <v>847.3</v>
      </c>
      <c r="AG127" s="32">
        <v>865.1</v>
      </c>
      <c r="AH127" s="32">
        <v>883.6</v>
      </c>
      <c r="AI127" s="32">
        <v>997.3</v>
      </c>
      <c r="AJ127" s="32">
        <v>1072.5999999999999</v>
      </c>
      <c r="AK127" s="32">
        <v>1108.3</v>
      </c>
      <c r="AL127" s="32">
        <v>1193.9000000000001</v>
      </c>
      <c r="AM127" s="32">
        <v>1193.4000000000001</v>
      </c>
      <c r="AN127" s="32">
        <v>1220</v>
      </c>
      <c r="AO127" s="32">
        <v>1439.9</v>
      </c>
      <c r="AP127" s="32">
        <v>1508.4</v>
      </c>
      <c r="AQ127" s="32">
        <v>1550.5</v>
      </c>
      <c r="AR127" s="32">
        <v>1601.8</v>
      </c>
      <c r="AS127" s="32">
        <v>1925.9</v>
      </c>
      <c r="AT127" s="32">
        <v>2162</v>
      </c>
      <c r="AU127" s="32">
        <v>2203.6999999999998</v>
      </c>
      <c r="AV127" s="32">
        <v>2306.6</v>
      </c>
      <c r="AW127" s="32">
        <v>2554.4</v>
      </c>
      <c r="AX127" s="32">
        <v>2686.2</v>
      </c>
      <c r="AY127" s="32">
        <v>3456.8</v>
      </c>
      <c r="AZ127" s="32">
        <v>3688.9</v>
      </c>
      <c r="BA127" s="32">
        <v>3763.1</v>
      </c>
      <c r="BB127" s="32">
        <v>3837.3</v>
      </c>
      <c r="BC127" s="32">
        <v>4772.2</v>
      </c>
      <c r="BD127" s="32">
        <v>4870.3</v>
      </c>
      <c r="BE127" s="32">
        <v>5191.8999999999996</v>
      </c>
      <c r="BF127" s="32">
        <v>5503.1</v>
      </c>
      <c r="BG127" s="32">
        <v>5541</v>
      </c>
      <c r="BH127" s="32">
        <v>5667.5</v>
      </c>
      <c r="BI127" s="32">
        <v>6754.8</v>
      </c>
      <c r="BJ127" s="32">
        <v>6978</v>
      </c>
      <c r="BK127" s="32">
        <v>7147.2</v>
      </c>
      <c r="BL127" s="32">
        <v>7354.1</v>
      </c>
    </row>
    <row r="128" spans="1:64" ht="20" customHeight="1">
      <c r="A128" s="68">
        <v>124</v>
      </c>
      <c r="B128" s="69" t="s">
        <v>183</v>
      </c>
      <c r="C128" s="70" t="b">
        <f t="array" ref="C128">_xlfn.SWITCH(LEFT(B128,FIND("|",B128)-1),"ابنیه",HLOOKUP(D128,'نمودار ابنیه'!$B$5:$AD$6,2,FALSE),"مکانیکی",HLOOKUP(D128,'نمودار مکانیکی'!$B$5:$AJ$6,2,FALSE),"برقی",HLOOKUP(D128,'نمودار تاسیسات برقی'!$B$5:$AK$6,2,FALSE),"خطوط",HLOOKUP(D128,'نمودار خطوط انتقال '!$B$5:$R$6,2,FALSE),"شبکه",HLOOKUP(D128,'نمودار شبکه توزیع آ'!$B$5:$O$6,2,FALSE),"سد",HLOOKUP(D128,'نمودار سدسازی'!$B$5:$P$6,2,FALSE),"فاضلاب",HLOOKUP(D128,'نمودار جمع‌آوری و ا'!$B$5:$S$6,2,FALSE),"تجهیزات",HLOOKUP(D128,'نمودار تجهیزات آب و'!$B$5:$AG$6,2,FALSE),"پست",HLOOKUP(D128,'نمودار پست های انتق'!$B$5:$AH$6,2,FALSE),"نیرو",HLOOKUP(D128,'نمودار توزیع نیرو ب'!$B$5:$AE$6,2,FALSE),FALSE)</f>
        <v>0</v>
      </c>
      <c r="D128" s="71" t="s">
        <v>177</v>
      </c>
      <c r="E128" s="15"/>
      <c r="F128" s="72"/>
      <c r="G128" s="73">
        <v>281.60000000000002</v>
      </c>
      <c r="H128" s="73">
        <v>297.10000000000002</v>
      </c>
      <c r="I128" s="73">
        <v>311.8</v>
      </c>
      <c r="J128" s="73">
        <v>362.5</v>
      </c>
      <c r="K128" s="73">
        <v>414.7</v>
      </c>
      <c r="L128" s="73">
        <v>511.8</v>
      </c>
      <c r="M128" s="73">
        <v>593.1</v>
      </c>
      <c r="N128" s="73">
        <v>595.70000000000005</v>
      </c>
      <c r="O128" s="73">
        <v>600.79999999999995</v>
      </c>
      <c r="P128" s="73">
        <v>601</v>
      </c>
      <c r="Q128" s="73">
        <v>591.9</v>
      </c>
      <c r="R128" s="73">
        <v>558</v>
      </c>
      <c r="S128" s="73">
        <v>607.5</v>
      </c>
      <c r="T128" s="73">
        <v>593</v>
      </c>
      <c r="U128" s="73">
        <v>591.29999999999995</v>
      </c>
      <c r="V128" s="73">
        <v>550.5</v>
      </c>
      <c r="W128" s="73">
        <v>523.6</v>
      </c>
      <c r="X128" s="73">
        <v>510.4</v>
      </c>
      <c r="Y128" s="73">
        <v>479.7</v>
      </c>
      <c r="Z128" s="73">
        <v>446.6</v>
      </c>
      <c r="AA128" s="73">
        <v>522.5</v>
      </c>
      <c r="AB128" s="73">
        <v>523.20000000000005</v>
      </c>
      <c r="AC128" s="73">
        <v>549.79999999999995</v>
      </c>
      <c r="AD128" s="73">
        <v>541.20000000000005</v>
      </c>
      <c r="AE128" s="73">
        <v>557.29999999999995</v>
      </c>
      <c r="AF128" s="73">
        <v>674.7</v>
      </c>
      <c r="AG128" s="73">
        <v>700.3</v>
      </c>
      <c r="AH128" s="73">
        <v>737.7</v>
      </c>
      <c r="AI128" s="73">
        <v>908.7</v>
      </c>
      <c r="AJ128" s="73">
        <v>1025.9000000000001</v>
      </c>
      <c r="AK128" s="73">
        <v>1316.8</v>
      </c>
      <c r="AL128" s="73">
        <v>1380.3</v>
      </c>
      <c r="AM128" s="73">
        <v>1280.8</v>
      </c>
      <c r="AN128" s="73">
        <v>1275.5999999999999</v>
      </c>
      <c r="AO128" s="73">
        <v>1497.8</v>
      </c>
      <c r="AP128" s="73">
        <v>1341.3</v>
      </c>
      <c r="AQ128" s="73">
        <v>1390.9</v>
      </c>
      <c r="AR128" s="73">
        <v>1723.3</v>
      </c>
      <c r="AS128" s="73">
        <v>1956</v>
      </c>
      <c r="AT128" s="73">
        <v>2928.6</v>
      </c>
      <c r="AU128" s="73">
        <v>3218.5</v>
      </c>
      <c r="AV128" s="73">
        <v>3350.4</v>
      </c>
      <c r="AW128" s="73">
        <v>3545.1</v>
      </c>
      <c r="AX128" s="73">
        <v>3761.4</v>
      </c>
      <c r="AY128" s="73">
        <v>4151.5</v>
      </c>
      <c r="AZ128" s="73">
        <v>4808.5</v>
      </c>
      <c r="BA128" s="73">
        <v>4685.2</v>
      </c>
      <c r="BB128" s="73">
        <v>4615.8</v>
      </c>
      <c r="BC128" s="73">
        <v>5361.8</v>
      </c>
      <c r="BD128" s="73">
        <v>4940</v>
      </c>
      <c r="BE128" s="73">
        <v>4931.1000000000004</v>
      </c>
      <c r="BF128" s="73">
        <v>5804.3</v>
      </c>
      <c r="BG128" s="73">
        <v>6515</v>
      </c>
      <c r="BH128" s="73">
        <v>7691.1</v>
      </c>
      <c r="BI128" s="73">
        <v>7751.9</v>
      </c>
      <c r="BJ128" s="73">
        <v>7344.3</v>
      </c>
      <c r="BK128" s="73">
        <v>7041.4</v>
      </c>
      <c r="BL128" s="73">
        <v>7403.7</v>
      </c>
    </row>
    <row r="129" spans="1:64" ht="20" customHeight="1">
      <c r="A129" s="25">
        <v>125</v>
      </c>
      <c r="B129" s="26" t="s">
        <v>183</v>
      </c>
      <c r="C129" s="27" t="b">
        <f t="array" ref="C129">_xlfn.SWITCH(LEFT(B129,FIND("|",B129)-1),"ابنیه",HLOOKUP(D129,'نمودار ابنیه'!$B$5:$AD$6,2,FALSE),"مکانیکی",HLOOKUP(D129,'نمودار مکانیکی'!$B$5:$AJ$6,2,FALSE),"برقی",HLOOKUP(D129,'نمودار تاسیسات برقی'!$B$5:$AK$6,2,FALSE),"خطوط",HLOOKUP(D129,'نمودار خطوط انتقال '!$B$5:$R$6,2,FALSE),"شبکه",HLOOKUP(D129,'نمودار شبکه توزیع آ'!$B$5:$O$6,2,FALSE),"سد",HLOOKUP(D129,'نمودار سدسازی'!$B$5:$P$6,2,FALSE),"فاضلاب",HLOOKUP(D129,'نمودار جمع‌آوری و ا'!$B$5:$S$6,2,FALSE),"تجهیزات",HLOOKUP(D129,'نمودار تجهیزات آب و'!$B$5:$AG$6,2,FALSE),"پست",HLOOKUP(D129,'نمودار پست های انتق'!$B$5:$AH$6,2,FALSE),"نیرو",HLOOKUP(D129,'نمودار توزیع نیرو ب'!$B$5:$AE$6,2,FALSE),FALSE)</f>
        <v>0</v>
      </c>
      <c r="D129" s="28" t="s">
        <v>178</v>
      </c>
      <c r="E129" s="15"/>
      <c r="F129" s="29"/>
      <c r="G129" s="32">
        <v>288.3</v>
      </c>
      <c r="H129" s="32">
        <v>301.60000000000002</v>
      </c>
      <c r="I129" s="32">
        <v>308</v>
      </c>
      <c r="J129" s="32">
        <v>324.8</v>
      </c>
      <c r="K129" s="32">
        <v>343.5</v>
      </c>
      <c r="L129" s="32">
        <v>363.6</v>
      </c>
      <c r="M129" s="32">
        <v>398.7</v>
      </c>
      <c r="N129" s="32">
        <v>407.4</v>
      </c>
      <c r="O129" s="32">
        <v>438.3</v>
      </c>
      <c r="P129" s="32">
        <v>450.7</v>
      </c>
      <c r="Q129" s="32">
        <v>465.7</v>
      </c>
      <c r="R129" s="32">
        <v>470.8</v>
      </c>
      <c r="S129" s="32">
        <v>508</v>
      </c>
      <c r="T129" s="32">
        <v>540.1</v>
      </c>
      <c r="U129" s="32">
        <v>542.4</v>
      </c>
      <c r="V129" s="32">
        <v>541.4</v>
      </c>
      <c r="W129" s="32">
        <v>559</v>
      </c>
      <c r="X129" s="32">
        <v>561.1</v>
      </c>
      <c r="Y129" s="32">
        <v>558.20000000000005</v>
      </c>
      <c r="Z129" s="32">
        <v>557.5</v>
      </c>
      <c r="AA129" s="32">
        <v>585.29999999999995</v>
      </c>
      <c r="AB129" s="32">
        <v>590.70000000000005</v>
      </c>
      <c r="AC129" s="32">
        <v>611.1</v>
      </c>
      <c r="AD129" s="32">
        <v>617.5</v>
      </c>
      <c r="AE129" s="32">
        <v>661.7</v>
      </c>
      <c r="AF129" s="32">
        <v>677.4</v>
      </c>
      <c r="AG129" s="32">
        <v>688.5</v>
      </c>
      <c r="AH129" s="32">
        <v>697.9</v>
      </c>
      <c r="AI129" s="32">
        <v>782.4</v>
      </c>
      <c r="AJ129" s="32">
        <v>839.8</v>
      </c>
      <c r="AK129" s="32">
        <v>900.5</v>
      </c>
      <c r="AL129" s="32">
        <v>918.3</v>
      </c>
      <c r="AM129" s="32">
        <v>957</v>
      </c>
      <c r="AN129" s="32">
        <v>971.2</v>
      </c>
      <c r="AO129" s="32">
        <v>1100.9000000000001</v>
      </c>
      <c r="AP129" s="32">
        <v>1184.9000000000001</v>
      </c>
      <c r="AQ129" s="32">
        <v>1227.5</v>
      </c>
      <c r="AR129" s="32">
        <v>1300.8</v>
      </c>
      <c r="AS129" s="32">
        <v>1553.7</v>
      </c>
      <c r="AT129" s="32">
        <v>1818.2</v>
      </c>
      <c r="AU129" s="32">
        <v>1905.7</v>
      </c>
      <c r="AV129" s="32">
        <v>2014</v>
      </c>
      <c r="AW129" s="32">
        <v>2254.3000000000002</v>
      </c>
      <c r="AX129" s="32">
        <v>2343.1</v>
      </c>
      <c r="AY129" s="32">
        <v>2926.9</v>
      </c>
      <c r="AZ129" s="32">
        <v>3319.9</v>
      </c>
      <c r="BA129" s="32">
        <v>3407.3</v>
      </c>
      <c r="BB129" s="32">
        <v>3458.3</v>
      </c>
      <c r="BC129" s="32">
        <v>4094.3</v>
      </c>
      <c r="BD129" s="32">
        <v>4231.1000000000004</v>
      </c>
      <c r="BE129" s="32">
        <v>4530.3999999999996</v>
      </c>
      <c r="BF129" s="32">
        <v>4939.2</v>
      </c>
      <c r="BG129" s="32">
        <v>5004.5</v>
      </c>
      <c r="BH129" s="32">
        <v>5319.1</v>
      </c>
      <c r="BI129" s="32">
        <v>5992.3</v>
      </c>
      <c r="BJ129" s="32">
        <v>6113.4</v>
      </c>
      <c r="BK129" s="32">
        <v>6342.5</v>
      </c>
      <c r="BL129" s="32">
        <v>6447.1</v>
      </c>
    </row>
    <row r="130" spans="1:64" ht="20" customHeight="1">
      <c r="A130" s="68">
        <v>126</v>
      </c>
      <c r="B130" s="69" t="s">
        <v>183</v>
      </c>
      <c r="C130" s="70" t="b">
        <f t="array" ref="C130">_xlfn.SWITCH(LEFT(B130,FIND("|",B130)-1),"ابنیه",HLOOKUP(D130,'نمودار ابنیه'!$B$5:$AD$6,2,FALSE),"مکانیکی",HLOOKUP(D130,'نمودار مکانیکی'!$B$5:$AJ$6,2,FALSE),"برقی",HLOOKUP(D130,'نمودار تاسیسات برقی'!$B$5:$AK$6,2,FALSE),"خطوط",HLOOKUP(D130,'نمودار خطوط انتقال '!$B$5:$R$6,2,FALSE),"شبکه",HLOOKUP(D130,'نمودار شبکه توزیع آ'!$B$5:$O$6,2,FALSE),"سد",HLOOKUP(D130,'نمودار سدسازی'!$B$5:$P$6,2,FALSE),"فاضلاب",HLOOKUP(D130,'نمودار جمع‌آوری و ا'!$B$5:$S$6,2,FALSE),"تجهیزات",HLOOKUP(D130,'نمودار تجهیزات آب و'!$B$5:$AG$6,2,FALSE),"پست",HLOOKUP(D130,'نمودار پست های انتق'!$B$5:$AH$6,2,FALSE),"نیرو",HLOOKUP(D130,'نمودار توزیع نیرو ب'!$B$5:$AE$6,2,FALSE),FALSE)</f>
        <v>0</v>
      </c>
      <c r="D130" s="71" t="s">
        <v>95</v>
      </c>
      <c r="E130" s="15"/>
      <c r="F130" s="72"/>
      <c r="G130" s="73">
        <v>297.60000000000002</v>
      </c>
      <c r="H130" s="73">
        <v>306.3</v>
      </c>
      <c r="I130" s="73">
        <v>323.89999999999998</v>
      </c>
      <c r="J130" s="73">
        <v>344.3</v>
      </c>
      <c r="K130" s="73">
        <v>378.6</v>
      </c>
      <c r="L130" s="73">
        <v>395.9</v>
      </c>
      <c r="M130" s="73">
        <v>413.1</v>
      </c>
      <c r="N130" s="73">
        <v>430.3</v>
      </c>
      <c r="O130" s="73">
        <v>495.2</v>
      </c>
      <c r="P130" s="73">
        <v>521.5</v>
      </c>
      <c r="Q130" s="73">
        <v>522.79999999999995</v>
      </c>
      <c r="R130" s="73">
        <v>522.79999999999995</v>
      </c>
      <c r="S130" s="73">
        <v>567.20000000000005</v>
      </c>
      <c r="T130" s="73">
        <v>580.29999999999995</v>
      </c>
      <c r="U130" s="73">
        <v>582</v>
      </c>
      <c r="V130" s="73">
        <v>582.6</v>
      </c>
      <c r="W130" s="73">
        <v>600</v>
      </c>
      <c r="X130" s="73">
        <v>614.6</v>
      </c>
      <c r="Y130" s="73">
        <v>626.9</v>
      </c>
      <c r="Z130" s="73">
        <v>626.9</v>
      </c>
      <c r="AA130" s="73">
        <v>626.9</v>
      </c>
      <c r="AB130" s="73">
        <v>661.6</v>
      </c>
      <c r="AC130" s="73">
        <v>684.5</v>
      </c>
      <c r="AD130" s="73">
        <v>690.8</v>
      </c>
      <c r="AE130" s="73">
        <v>725.3</v>
      </c>
      <c r="AF130" s="73">
        <v>746.1</v>
      </c>
      <c r="AG130" s="73">
        <v>753</v>
      </c>
      <c r="AH130" s="73">
        <v>759.9</v>
      </c>
      <c r="AI130" s="73">
        <v>843.4</v>
      </c>
      <c r="AJ130" s="73">
        <v>927.1</v>
      </c>
      <c r="AK130" s="73">
        <v>1025.9000000000001</v>
      </c>
      <c r="AL130" s="73">
        <v>1052.5</v>
      </c>
      <c r="AM130" s="73">
        <v>1109.4000000000001</v>
      </c>
      <c r="AN130" s="73">
        <v>1227.2</v>
      </c>
      <c r="AO130" s="73">
        <v>1405.1</v>
      </c>
      <c r="AP130" s="73">
        <v>1509.6</v>
      </c>
      <c r="AQ130" s="73">
        <v>1772.7</v>
      </c>
      <c r="AR130" s="73">
        <v>1877.6</v>
      </c>
      <c r="AS130" s="73">
        <v>2371.4</v>
      </c>
      <c r="AT130" s="73">
        <v>2891.4</v>
      </c>
      <c r="AU130" s="73">
        <v>2966.6</v>
      </c>
      <c r="AV130" s="73">
        <v>3191.9</v>
      </c>
      <c r="AW130" s="73">
        <v>3379.6</v>
      </c>
      <c r="AX130" s="73">
        <v>3539.2</v>
      </c>
      <c r="AY130" s="73">
        <v>4654</v>
      </c>
      <c r="AZ130" s="73">
        <v>4901.7</v>
      </c>
      <c r="BA130" s="73">
        <v>4990.3</v>
      </c>
      <c r="BB130" s="73">
        <v>5096.3999999999996</v>
      </c>
      <c r="BC130" s="73">
        <v>6345</v>
      </c>
      <c r="BD130" s="73">
        <v>6564.2</v>
      </c>
      <c r="BE130" s="73">
        <v>7032.9</v>
      </c>
      <c r="BF130" s="73">
        <v>7425.4</v>
      </c>
      <c r="BG130" s="73">
        <v>7547.7</v>
      </c>
      <c r="BH130" s="73">
        <v>7670</v>
      </c>
      <c r="BI130" s="73">
        <v>9104.2999999999993</v>
      </c>
      <c r="BJ130" s="73">
        <v>9672</v>
      </c>
      <c r="BK130" s="73">
        <v>10216.5</v>
      </c>
      <c r="BL130" s="73">
        <v>10392.9</v>
      </c>
    </row>
    <row r="131" spans="1:64" ht="20" customHeight="1">
      <c r="A131" s="25">
        <v>127</v>
      </c>
      <c r="B131" s="26" t="s">
        <v>183</v>
      </c>
      <c r="C131" s="27" t="b">
        <f t="array" ref="C131">_xlfn.SWITCH(LEFT(B131,FIND("|",B131)-1),"ابنیه",HLOOKUP(D131,'نمودار ابنیه'!$B$5:$AD$6,2,FALSE),"مکانیکی",HLOOKUP(D131,'نمودار مکانیکی'!$B$5:$AJ$6,2,FALSE),"برقی",HLOOKUP(D131,'نمودار تاسیسات برقی'!$B$5:$AK$6,2,FALSE),"خطوط",HLOOKUP(D131,'نمودار خطوط انتقال '!$B$5:$R$6,2,FALSE),"شبکه",HLOOKUP(D131,'نمودار شبکه توزیع آ'!$B$5:$O$6,2,FALSE),"سد",HLOOKUP(D131,'نمودار سدسازی'!$B$5:$P$6,2,FALSE),"فاضلاب",HLOOKUP(D131,'نمودار جمع‌آوری و ا'!$B$5:$S$6,2,FALSE),"تجهیزات",HLOOKUP(D131,'نمودار تجهیزات آب و'!$B$5:$AG$6,2,FALSE),"پست",HLOOKUP(D131,'نمودار پست های انتق'!$B$5:$AH$6,2,FALSE),"نیرو",HLOOKUP(D131,'نمودار توزیع نیرو ب'!$B$5:$AE$6,2,FALSE),FALSE)</f>
        <v>0</v>
      </c>
      <c r="D131" s="28" t="s">
        <v>179</v>
      </c>
      <c r="E131" s="15"/>
      <c r="F131" s="29"/>
      <c r="G131" s="29"/>
      <c r="H131" s="29"/>
      <c r="I131" s="29"/>
      <c r="J131" s="29"/>
      <c r="K131" s="29"/>
      <c r="L131" s="29"/>
      <c r="M131" s="29"/>
      <c r="N131" s="29"/>
      <c r="O131" s="32">
        <v>585</v>
      </c>
      <c r="P131" s="32">
        <v>590</v>
      </c>
      <c r="Q131" s="32">
        <v>620</v>
      </c>
      <c r="R131" s="32">
        <v>625</v>
      </c>
      <c r="S131" s="32">
        <v>700</v>
      </c>
      <c r="T131" s="32">
        <v>700</v>
      </c>
      <c r="U131" s="32">
        <v>712.5</v>
      </c>
      <c r="V131" s="32">
        <v>712.5</v>
      </c>
      <c r="W131" s="32">
        <v>712.5</v>
      </c>
      <c r="X131" s="32">
        <v>712.5</v>
      </c>
      <c r="Y131" s="32">
        <v>719.6</v>
      </c>
      <c r="Z131" s="32">
        <v>719.6</v>
      </c>
      <c r="AA131" s="32">
        <v>719.6</v>
      </c>
      <c r="AB131" s="32">
        <v>719.6</v>
      </c>
      <c r="AC131" s="32">
        <v>719.6</v>
      </c>
      <c r="AD131" s="32">
        <v>719.6</v>
      </c>
      <c r="AE131" s="32">
        <v>784.4</v>
      </c>
      <c r="AF131" s="32">
        <v>784.4</v>
      </c>
      <c r="AG131" s="32">
        <v>849.2</v>
      </c>
      <c r="AH131" s="32">
        <v>913.9</v>
      </c>
      <c r="AI131" s="32">
        <v>1005.3</v>
      </c>
      <c r="AJ131" s="32">
        <v>1105.8</v>
      </c>
      <c r="AK131" s="32">
        <v>1105.8</v>
      </c>
      <c r="AL131" s="32">
        <v>1188.0999999999999</v>
      </c>
      <c r="AM131" s="32">
        <v>1343.5</v>
      </c>
      <c r="AN131" s="32">
        <v>1398.3</v>
      </c>
      <c r="AO131" s="32">
        <v>1608</v>
      </c>
      <c r="AP131" s="32">
        <v>1608</v>
      </c>
      <c r="AQ131" s="32">
        <v>1711.5</v>
      </c>
      <c r="AR131" s="32">
        <v>1711.5</v>
      </c>
      <c r="AS131" s="32">
        <v>2139.4</v>
      </c>
      <c r="AT131" s="32">
        <v>2772.7</v>
      </c>
      <c r="AU131" s="32">
        <v>2772.7</v>
      </c>
      <c r="AV131" s="32">
        <v>2772.7</v>
      </c>
      <c r="AW131" s="32">
        <v>2824</v>
      </c>
      <c r="AX131" s="32">
        <v>3029.4</v>
      </c>
      <c r="AY131" s="32">
        <v>3271.7</v>
      </c>
      <c r="AZ131" s="32">
        <v>3605</v>
      </c>
      <c r="BA131" s="32">
        <v>4453.2</v>
      </c>
      <c r="BB131" s="32">
        <v>4665.3</v>
      </c>
      <c r="BC131" s="32">
        <v>5131.8</v>
      </c>
      <c r="BD131" s="32">
        <v>5318.4</v>
      </c>
      <c r="BE131" s="32">
        <v>6008.9</v>
      </c>
      <c r="BF131" s="32">
        <v>6134.8</v>
      </c>
      <c r="BG131" s="32">
        <v>6134.8</v>
      </c>
      <c r="BH131" s="32">
        <v>6344.8</v>
      </c>
      <c r="BI131" s="32">
        <v>6776.2</v>
      </c>
      <c r="BJ131" s="32">
        <v>7175.9</v>
      </c>
      <c r="BK131" s="32">
        <v>7277.4</v>
      </c>
      <c r="BL131" s="32">
        <v>7277.4</v>
      </c>
    </row>
    <row r="132" spans="1:64" ht="20" customHeight="1">
      <c r="A132" s="68">
        <v>128</v>
      </c>
      <c r="B132" s="69" t="s">
        <v>183</v>
      </c>
      <c r="C132" s="70" t="b">
        <f t="array" ref="C132">_xlfn.SWITCH(LEFT(B132,FIND("|",B132)-1),"ابنیه",HLOOKUP(D132,'نمودار ابنیه'!$B$5:$AD$6,2,FALSE),"مکانیکی",HLOOKUP(D132,'نمودار مکانیکی'!$B$5:$AJ$6,2,FALSE),"برقی",HLOOKUP(D132,'نمودار تاسیسات برقی'!$B$5:$AK$6,2,FALSE),"خطوط",HLOOKUP(D132,'نمودار خطوط انتقال '!$B$5:$R$6,2,FALSE),"شبکه",HLOOKUP(D132,'نمودار شبکه توزیع آ'!$B$5:$O$6,2,FALSE),"سد",HLOOKUP(D132,'نمودار سدسازی'!$B$5:$P$6,2,FALSE),"فاضلاب",HLOOKUP(D132,'نمودار جمع‌آوری و ا'!$B$5:$S$6,2,FALSE),"تجهیزات",HLOOKUP(D132,'نمودار تجهیزات آب و'!$B$5:$AG$6,2,FALSE),"پست",HLOOKUP(D132,'نمودار پست های انتق'!$B$5:$AH$6,2,FALSE),"نیرو",HLOOKUP(D132,'نمودار توزیع نیرو ب'!$B$5:$AE$6,2,FALSE),FALSE)</f>
        <v>0</v>
      </c>
      <c r="D132" s="71" t="s">
        <v>182</v>
      </c>
      <c r="E132" s="15"/>
      <c r="F132" s="72"/>
      <c r="G132" s="72"/>
      <c r="H132" s="72"/>
      <c r="I132" s="72"/>
      <c r="J132" s="72"/>
      <c r="K132" s="72"/>
      <c r="L132" s="72"/>
      <c r="M132" s="72"/>
      <c r="N132" s="72"/>
      <c r="O132" s="73">
        <v>495</v>
      </c>
      <c r="P132" s="73">
        <v>495</v>
      </c>
      <c r="Q132" s="73">
        <v>504</v>
      </c>
      <c r="R132" s="73">
        <v>504</v>
      </c>
      <c r="S132" s="73">
        <v>544.29999999999995</v>
      </c>
      <c r="T132" s="73">
        <v>544.29999999999995</v>
      </c>
      <c r="U132" s="73">
        <v>559.4</v>
      </c>
      <c r="V132" s="73">
        <v>559.4</v>
      </c>
      <c r="W132" s="73">
        <v>559.4</v>
      </c>
      <c r="X132" s="73">
        <v>559.4</v>
      </c>
      <c r="Y132" s="73">
        <v>554.9</v>
      </c>
      <c r="Z132" s="73">
        <v>554.9</v>
      </c>
      <c r="AA132" s="73">
        <v>554.9</v>
      </c>
      <c r="AB132" s="73">
        <v>554.9</v>
      </c>
      <c r="AC132" s="73">
        <v>543.79999999999995</v>
      </c>
      <c r="AD132" s="73">
        <v>543.79999999999995</v>
      </c>
      <c r="AE132" s="73">
        <v>560.1</v>
      </c>
      <c r="AF132" s="73">
        <v>560.1</v>
      </c>
      <c r="AG132" s="73">
        <v>581.9</v>
      </c>
      <c r="AH132" s="73">
        <v>636.29999999999995</v>
      </c>
      <c r="AI132" s="73">
        <v>763.5</v>
      </c>
      <c r="AJ132" s="73">
        <v>954.4</v>
      </c>
      <c r="AK132" s="73">
        <v>1272.5999999999999</v>
      </c>
      <c r="AL132" s="73">
        <v>1272.5999999999999</v>
      </c>
      <c r="AM132" s="73">
        <v>1240.7</v>
      </c>
      <c r="AN132" s="73">
        <v>1240.7</v>
      </c>
      <c r="AO132" s="73">
        <v>1550.9</v>
      </c>
      <c r="AP132" s="73">
        <v>1526.1</v>
      </c>
      <c r="AQ132" s="73">
        <v>1550.9</v>
      </c>
      <c r="AR132" s="73">
        <v>1650.2</v>
      </c>
      <c r="AS132" s="73">
        <v>1980.2</v>
      </c>
      <c r="AT132" s="73">
        <v>2722.8</v>
      </c>
      <c r="AU132" s="73">
        <v>2722.8</v>
      </c>
      <c r="AV132" s="73">
        <v>2805.3</v>
      </c>
      <c r="AW132" s="73">
        <v>3019.8</v>
      </c>
      <c r="AX132" s="73">
        <v>3019.8</v>
      </c>
      <c r="AY132" s="73">
        <v>3835.2</v>
      </c>
      <c r="AZ132" s="73">
        <v>3835.2</v>
      </c>
      <c r="BA132" s="73">
        <v>3925.8</v>
      </c>
      <c r="BB132" s="73">
        <v>4137.2</v>
      </c>
      <c r="BC132" s="73">
        <v>4509.6000000000004</v>
      </c>
      <c r="BD132" s="73">
        <v>5171.5</v>
      </c>
      <c r="BE132" s="73">
        <v>5378.3</v>
      </c>
      <c r="BF132" s="73">
        <v>5841.7</v>
      </c>
      <c r="BG132" s="73">
        <v>6921.5</v>
      </c>
      <c r="BH132" s="73">
        <v>7351.8</v>
      </c>
      <c r="BI132" s="73">
        <v>6984.9</v>
      </c>
      <c r="BJ132" s="73">
        <v>7013.6</v>
      </c>
      <c r="BK132" s="73">
        <v>7013.6</v>
      </c>
      <c r="BL132" s="73">
        <v>7190</v>
      </c>
    </row>
    <row r="133" spans="1:64" ht="20" customHeight="1">
      <c r="A133" s="25">
        <v>129</v>
      </c>
      <c r="B133" s="26" t="s">
        <v>183</v>
      </c>
      <c r="C133" s="27" t="b">
        <f t="array" ref="C133">_xlfn.SWITCH(LEFT(B133,FIND("|",B133)-1),"ابنیه",HLOOKUP(D133,'نمودار ابنیه'!$B$5:$AD$6,2,FALSE),"مکانیکی",HLOOKUP(D133,'نمودار مکانیکی'!$B$5:$AJ$6,2,FALSE),"برقی",HLOOKUP(D133,'نمودار تاسیسات برقی'!$B$5:$AK$6,2,FALSE),"خطوط",HLOOKUP(D133,'نمودار خطوط انتقال '!$B$5:$R$6,2,FALSE),"شبکه",HLOOKUP(D133,'نمودار شبکه توزیع آ'!$B$5:$O$6,2,FALSE),"سد",HLOOKUP(D133,'نمودار سدسازی'!$B$5:$P$6,2,FALSE),"فاضلاب",HLOOKUP(D133,'نمودار جمع‌آوری و ا'!$B$5:$S$6,2,FALSE),"تجهیزات",HLOOKUP(D133,'نمودار تجهیزات آب و'!$B$5:$AG$6,2,FALSE),"پست",HLOOKUP(D133,'نمودار پست های انتق'!$B$5:$AH$6,2,FALSE),"نیرو",HLOOKUP(D133,'نمودار توزیع نیرو ب'!$B$5:$AE$6,2,FALSE),FALSE)</f>
        <v>0</v>
      </c>
      <c r="D133" s="28" t="s">
        <v>187</v>
      </c>
      <c r="E133" s="15"/>
      <c r="F133" s="29"/>
      <c r="G133" s="29"/>
      <c r="H133" s="29"/>
      <c r="I133" s="29"/>
      <c r="J133" s="29"/>
      <c r="K133" s="29"/>
      <c r="L133" s="29"/>
      <c r="M133" s="29"/>
      <c r="N133" s="29"/>
      <c r="O133" s="32">
        <v>477</v>
      </c>
      <c r="P133" s="32">
        <v>477</v>
      </c>
      <c r="Q133" s="32">
        <v>480</v>
      </c>
      <c r="R133" s="32">
        <v>493.5</v>
      </c>
      <c r="S133" s="32">
        <v>559.6</v>
      </c>
      <c r="T133" s="32">
        <v>563.6</v>
      </c>
      <c r="U133" s="32">
        <v>574.4</v>
      </c>
      <c r="V133" s="32">
        <v>574.4</v>
      </c>
      <c r="W133" s="32">
        <v>580.79999999999995</v>
      </c>
      <c r="X133" s="32">
        <v>600.1</v>
      </c>
      <c r="Y133" s="32">
        <v>557.9</v>
      </c>
      <c r="Z133" s="32">
        <v>547.70000000000005</v>
      </c>
      <c r="AA133" s="32">
        <v>556.6</v>
      </c>
      <c r="AB133" s="32">
        <v>569.79999999999995</v>
      </c>
      <c r="AC133" s="32">
        <v>588.5</v>
      </c>
      <c r="AD133" s="32">
        <v>609.1</v>
      </c>
      <c r="AE133" s="32">
        <v>614.9</v>
      </c>
      <c r="AF133" s="32">
        <v>623.5</v>
      </c>
      <c r="AG133" s="32">
        <v>690.7</v>
      </c>
      <c r="AH133" s="32">
        <v>755.3</v>
      </c>
      <c r="AI133" s="32">
        <v>835.3</v>
      </c>
      <c r="AJ133" s="32">
        <v>1012.1</v>
      </c>
      <c r="AK133" s="32">
        <v>1197.9000000000001</v>
      </c>
      <c r="AL133" s="32">
        <v>1451.6</v>
      </c>
      <c r="AM133" s="32">
        <v>1264.3</v>
      </c>
      <c r="AN133" s="32">
        <v>1228.0999999999999</v>
      </c>
      <c r="AO133" s="32">
        <v>1395.8</v>
      </c>
      <c r="AP133" s="32">
        <v>1349.9</v>
      </c>
      <c r="AQ133" s="32">
        <v>1342.5</v>
      </c>
      <c r="AR133" s="32">
        <v>1379.9</v>
      </c>
      <c r="AS133" s="32">
        <v>1782.8</v>
      </c>
      <c r="AT133" s="32">
        <v>1876.6</v>
      </c>
      <c r="AU133" s="32">
        <v>2069.8000000000002</v>
      </c>
      <c r="AV133" s="32">
        <v>2367.9</v>
      </c>
      <c r="AW133" s="32">
        <v>2875.7</v>
      </c>
      <c r="AX133" s="32">
        <v>2986</v>
      </c>
      <c r="AY133" s="32">
        <v>3290.6</v>
      </c>
      <c r="AZ133" s="32">
        <v>3362.3</v>
      </c>
      <c r="BA133" s="32">
        <v>3434</v>
      </c>
      <c r="BB133" s="32">
        <v>3463.8</v>
      </c>
      <c r="BC133" s="32">
        <v>4149.6000000000004</v>
      </c>
      <c r="BD133" s="32">
        <v>4083.6</v>
      </c>
      <c r="BE133" s="32">
        <v>4110.8999999999996</v>
      </c>
      <c r="BF133" s="32">
        <v>4052.7</v>
      </c>
      <c r="BG133" s="32">
        <v>4401.8</v>
      </c>
      <c r="BH133" s="32">
        <v>4758.6000000000004</v>
      </c>
      <c r="BI133" s="32">
        <v>4868</v>
      </c>
      <c r="BJ133" s="32">
        <v>4708.1000000000004</v>
      </c>
      <c r="BK133" s="32">
        <v>5019.3999999999996</v>
      </c>
      <c r="BL133" s="32">
        <v>5042.2</v>
      </c>
    </row>
    <row r="134" spans="1:64" ht="20" customHeight="1">
      <c r="A134" s="62">
        <v>130</v>
      </c>
      <c r="B134" s="63" t="s">
        <v>188</v>
      </c>
      <c r="C134" s="64" t="b">
        <f t="array" ref="C134">_xlfn.SWITCH(LEFT(B134,FIND("|",B134)-1),"ابنیه",HLOOKUP(D134,'نمودار ابنیه'!$B$5:$AD$6,2,FALSE),"مکانیکی",HLOOKUP(D134,'نمودار مکانیکی'!$B$5:$AJ$6,2,FALSE),"برقی",HLOOKUP(D134,'نمودار تاسیسات برقی'!$B$5:$AK$6,2,FALSE),"خطوط",HLOOKUP(D134,'نمودار خطوط انتقال '!$B$5:$R$6,2,FALSE),"شبکه",HLOOKUP(D134,'نمودار شبکه توزیع آ'!$B$5:$O$6,2,FALSE),"سد",HLOOKUP(D134,'نمودار سدسازی'!$B$5:$P$6,2,FALSE),"فاضلاب",HLOOKUP(D134,'نمودار جمع‌آوری و ا'!$B$5:$S$6,2,FALSE),"تجهیزات",HLOOKUP(D134,'نمودار تجهیزات آب و'!$B$5:$AG$6,2,FALSE),"پست",HLOOKUP(D134,'نمودار پست های انتق'!$B$5:$AH$6,2,FALSE),"نیرو",HLOOKUP(D134,'نمودار توزیع نیرو ب'!$B$5:$AE$6,2,FALSE),FALSE)</f>
        <v>1</v>
      </c>
      <c r="D134" s="65" t="s">
        <v>189</v>
      </c>
      <c r="E134" s="15"/>
      <c r="F134" s="66"/>
      <c r="G134" s="67">
        <v>352.9</v>
      </c>
      <c r="H134" s="67">
        <v>367</v>
      </c>
      <c r="I134" s="67">
        <v>387.3</v>
      </c>
      <c r="J134" s="67">
        <v>404.1</v>
      </c>
      <c r="K134" s="67">
        <v>440.8</v>
      </c>
      <c r="L134" s="67">
        <v>465.9</v>
      </c>
      <c r="M134" s="67">
        <v>528.20000000000005</v>
      </c>
      <c r="N134" s="67">
        <v>550.1</v>
      </c>
      <c r="O134" s="67">
        <v>596.6</v>
      </c>
      <c r="P134" s="67">
        <v>610.6</v>
      </c>
      <c r="Q134" s="67">
        <v>628</v>
      </c>
      <c r="R134" s="67">
        <v>639</v>
      </c>
      <c r="S134" s="67">
        <v>705.9</v>
      </c>
      <c r="T134" s="67">
        <v>723.3</v>
      </c>
      <c r="U134" s="67">
        <v>732.3</v>
      </c>
      <c r="V134" s="67">
        <v>739.5</v>
      </c>
      <c r="W134" s="67">
        <v>790.8</v>
      </c>
      <c r="X134" s="67">
        <v>795</v>
      </c>
      <c r="Y134" s="67">
        <v>796.3</v>
      </c>
      <c r="Z134" s="67">
        <v>797.9</v>
      </c>
      <c r="AA134" s="67">
        <v>841.5</v>
      </c>
      <c r="AB134" s="67">
        <v>848.8</v>
      </c>
      <c r="AC134" s="67">
        <v>856.2</v>
      </c>
      <c r="AD134" s="67">
        <v>863.6</v>
      </c>
      <c r="AE134" s="67">
        <v>918.2</v>
      </c>
      <c r="AF134" s="67">
        <v>919.8</v>
      </c>
      <c r="AG134" s="67">
        <v>942.9</v>
      </c>
      <c r="AH134" s="67">
        <v>951</v>
      </c>
      <c r="AI134" s="67">
        <v>1057.5999999999999</v>
      </c>
      <c r="AJ134" s="67">
        <v>1171.0999999999999</v>
      </c>
      <c r="AK134" s="67">
        <v>1218.8</v>
      </c>
      <c r="AL134" s="67">
        <v>1265</v>
      </c>
      <c r="AM134" s="67">
        <v>1295</v>
      </c>
      <c r="AN134" s="67">
        <v>1356.4</v>
      </c>
      <c r="AO134" s="67">
        <v>1574.2</v>
      </c>
      <c r="AP134" s="67">
        <v>1666.2</v>
      </c>
      <c r="AQ134" s="67">
        <v>1740.2</v>
      </c>
      <c r="AR134" s="67">
        <v>1825.5</v>
      </c>
      <c r="AS134" s="67">
        <v>2179.3000000000002</v>
      </c>
      <c r="AT134" s="67">
        <v>2489.6999999999998</v>
      </c>
      <c r="AU134" s="67">
        <v>2575.9</v>
      </c>
      <c r="AV134" s="67">
        <v>2757</v>
      </c>
      <c r="AW134" s="67">
        <v>3025.5</v>
      </c>
      <c r="AX134" s="67">
        <v>3226.5</v>
      </c>
      <c r="AY134" s="67">
        <v>4162.3</v>
      </c>
      <c r="AZ134" s="67">
        <v>4511</v>
      </c>
      <c r="BA134" s="67">
        <v>4572.7</v>
      </c>
      <c r="BB134" s="67">
        <v>4729.8999999999996</v>
      </c>
      <c r="BC134" s="67">
        <v>5875.5</v>
      </c>
      <c r="BD134" s="67">
        <v>6040.7</v>
      </c>
      <c r="BE134" s="67">
        <v>6527.3</v>
      </c>
      <c r="BF134" s="67">
        <v>6904.4</v>
      </c>
      <c r="BG134" s="67">
        <v>6904.4</v>
      </c>
      <c r="BH134" s="67">
        <v>6905.1</v>
      </c>
      <c r="BI134" s="67">
        <v>8288.7999999999993</v>
      </c>
      <c r="BJ134" s="67">
        <v>8680.1</v>
      </c>
      <c r="BK134" s="67">
        <v>8809.7000000000007</v>
      </c>
      <c r="BL134" s="67">
        <v>9083.5</v>
      </c>
    </row>
    <row r="135" spans="1:64" ht="20" customHeight="1">
      <c r="A135" s="25">
        <v>131</v>
      </c>
      <c r="B135" s="26" t="s">
        <v>188</v>
      </c>
      <c r="C135" s="27" t="b">
        <f t="array" ref="C135">_xlfn.SWITCH(LEFT(B135,FIND("|",B135)-1),"ابنیه",HLOOKUP(D135,'نمودار ابنیه'!$B$5:$AD$6,2,FALSE),"مکانیکی",HLOOKUP(D135,'نمودار مکانیکی'!$B$5:$AJ$6,2,FALSE),"برقی",HLOOKUP(D135,'نمودار تاسیسات برقی'!$B$5:$AK$6,2,FALSE),"خطوط",HLOOKUP(D135,'نمودار خطوط انتقال '!$B$5:$R$6,2,FALSE),"شبکه",HLOOKUP(D135,'نمودار شبکه توزیع آ'!$B$5:$O$6,2,FALSE),"سد",HLOOKUP(D135,'نمودار سدسازی'!$B$5:$P$6,2,FALSE),"فاضلاب",HLOOKUP(D135,'نمودار جمع‌آوری و ا'!$B$5:$S$6,2,FALSE),"تجهیزات",HLOOKUP(D135,'نمودار تجهیزات آب و'!$B$5:$AG$6,2,FALSE),"پست",HLOOKUP(D135,'نمودار پست های انتق'!$B$5:$AH$6,2,FALSE),"نیرو",HLOOKUP(D135,'نمودار توزیع نیرو ب'!$B$5:$AE$6,2,FALSE),FALSE)</f>
        <v>1</v>
      </c>
      <c r="D135" s="28" t="s">
        <v>190</v>
      </c>
      <c r="E135" s="15"/>
      <c r="F135" s="29"/>
      <c r="G135" s="32">
        <v>323.10000000000002</v>
      </c>
      <c r="H135" s="32">
        <v>332.1</v>
      </c>
      <c r="I135" s="32">
        <v>354.5</v>
      </c>
      <c r="J135" s="32">
        <v>365.7</v>
      </c>
      <c r="K135" s="32">
        <v>405.3</v>
      </c>
      <c r="L135" s="32">
        <v>421.7</v>
      </c>
      <c r="M135" s="32">
        <v>509.9</v>
      </c>
      <c r="N135" s="32">
        <v>524.5</v>
      </c>
      <c r="O135" s="32">
        <v>553.29999999999995</v>
      </c>
      <c r="P135" s="32">
        <v>562.5</v>
      </c>
      <c r="Q135" s="32">
        <v>587.5</v>
      </c>
      <c r="R135" s="32">
        <v>594.29999999999995</v>
      </c>
      <c r="S135" s="32">
        <v>636.1</v>
      </c>
      <c r="T135" s="32">
        <v>658.6</v>
      </c>
      <c r="U135" s="32">
        <v>671.3</v>
      </c>
      <c r="V135" s="32">
        <v>675.7</v>
      </c>
      <c r="W135" s="32">
        <v>707.4</v>
      </c>
      <c r="X135" s="32">
        <v>709.9</v>
      </c>
      <c r="Y135" s="32">
        <v>710.3</v>
      </c>
      <c r="Z135" s="32">
        <v>711</v>
      </c>
      <c r="AA135" s="32">
        <v>737.3</v>
      </c>
      <c r="AB135" s="32">
        <v>741.9</v>
      </c>
      <c r="AC135" s="32">
        <v>746.6</v>
      </c>
      <c r="AD135" s="32">
        <v>751.2</v>
      </c>
      <c r="AE135" s="32">
        <v>784.9</v>
      </c>
      <c r="AF135" s="32">
        <v>785.4</v>
      </c>
      <c r="AG135" s="32">
        <v>814.3</v>
      </c>
      <c r="AH135" s="32">
        <v>819.3</v>
      </c>
      <c r="AI135" s="32">
        <v>884.7</v>
      </c>
      <c r="AJ135" s="32">
        <v>982.2</v>
      </c>
      <c r="AK135" s="32">
        <v>1014.8</v>
      </c>
      <c r="AL135" s="32">
        <v>1046.4000000000001</v>
      </c>
      <c r="AM135" s="32">
        <v>1094.0999999999999</v>
      </c>
      <c r="AN135" s="32">
        <v>1101.0999999999999</v>
      </c>
      <c r="AO135" s="32">
        <v>1261.3</v>
      </c>
      <c r="AP135" s="32">
        <v>1318.7</v>
      </c>
      <c r="AQ135" s="32">
        <v>1365.7</v>
      </c>
      <c r="AR135" s="32">
        <v>1420</v>
      </c>
      <c r="AS135" s="32">
        <v>1739.9</v>
      </c>
      <c r="AT135" s="32">
        <v>1951.4</v>
      </c>
      <c r="AU135" s="32">
        <v>2006.8</v>
      </c>
      <c r="AV135" s="32">
        <v>2123</v>
      </c>
      <c r="AW135" s="32">
        <v>2292.4</v>
      </c>
      <c r="AX135" s="32">
        <v>2652.7</v>
      </c>
      <c r="AY135" s="32">
        <v>3418.9</v>
      </c>
      <c r="AZ135" s="32">
        <v>3789.5</v>
      </c>
      <c r="BA135" s="32">
        <v>3852.8</v>
      </c>
      <c r="BB135" s="32">
        <v>4092</v>
      </c>
      <c r="BC135" s="32">
        <v>4846.3999999999996</v>
      </c>
      <c r="BD135" s="32">
        <v>4948.6000000000004</v>
      </c>
      <c r="BE135" s="32">
        <v>5507.3</v>
      </c>
      <c r="BF135" s="32">
        <v>5736.8</v>
      </c>
      <c r="BG135" s="32">
        <v>5736.8</v>
      </c>
      <c r="BH135" s="32">
        <v>5736.8</v>
      </c>
      <c r="BI135" s="32">
        <v>6710.9</v>
      </c>
      <c r="BJ135" s="32">
        <v>6940.1</v>
      </c>
      <c r="BK135" s="32">
        <v>7430</v>
      </c>
      <c r="BL135" s="32">
        <v>7595.4</v>
      </c>
    </row>
    <row r="136" spans="1:64" ht="20" customHeight="1">
      <c r="A136" s="68">
        <v>132</v>
      </c>
      <c r="B136" s="69" t="s">
        <v>188</v>
      </c>
      <c r="C136" s="70" t="b">
        <f t="array" ref="C136">_xlfn.SWITCH(LEFT(B136,FIND("|",B136)-1),"ابنیه",HLOOKUP(D136,'نمودار ابنیه'!$B$5:$AD$6,2,FALSE),"مکانیکی",HLOOKUP(D136,'نمودار مکانیکی'!$B$5:$AJ$6,2,FALSE),"برقی",HLOOKUP(D136,'نمودار تاسیسات برقی'!$B$5:$AK$6,2,FALSE),"خطوط",HLOOKUP(D136,'نمودار خطوط انتقال '!$B$5:$R$6,2,FALSE),"شبکه",HLOOKUP(D136,'نمودار شبکه توزیع آ'!$B$5:$O$6,2,FALSE),"سد",HLOOKUP(D136,'نمودار سدسازی'!$B$5:$P$6,2,FALSE),"فاضلاب",HLOOKUP(D136,'نمودار جمع‌آوری و ا'!$B$5:$S$6,2,FALSE),"تجهیزات",HLOOKUP(D136,'نمودار تجهیزات آب و'!$B$5:$AG$6,2,FALSE),"پست",HLOOKUP(D136,'نمودار پست های انتق'!$B$5:$AH$6,2,FALSE),"نیرو",HLOOKUP(D136,'نمودار توزیع نیرو ب'!$B$5:$AE$6,2,FALSE),FALSE)</f>
        <v>1</v>
      </c>
      <c r="D136" s="71" t="s">
        <v>191</v>
      </c>
      <c r="E136" s="15"/>
      <c r="F136" s="72"/>
      <c r="G136" s="73">
        <v>297.39999999999998</v>
      </c>
      <c r="H136" s="73">
        <v>313</v>
      </c>
      <c r="I136" s="73">
        <v>326.7</v>
      </c>
      <c r="J136" s="73">
        <v>339.8</v>
      </c>
      <c r="K136" s="73">
        <v>367</v>
      </c>
      <c r="L136" s="73">
        <v>387.9</v>
      </c>
      <c r="M136" s="73">
        <v>433.8</v>
      </c>
      <c r="N136" s="73">
        <v>450.4</v>
      </c>
      <c r="O136" s="73">
        <v>492.1</v>
      </c>
      <c r="P136" s="73">
        <v>508.2</v>
      </c>
      <c r="Q136" s="73">
        <v>516.29999999999995</v>
      </c>
      <c r="R136" s="73">
        <v>524.20000000000005</v>
      </c>
      <c r="S136" s="73">
        <v>579.6</v>
      </c>
      <c r="T136" s="73">
        <v>599.70000000000005</v>
      </c>
      <c r="U136" s="73">
        <v>600.29999999999995</v>
      </c>
      <c r="V136" s="73">
        <v>605.29999999999995</v>
      </c>
      <c r="W136" s="73">
        <v>646.1</v>
      </c>
      <c r="X136" s="73">
        <v>649.20000000000005</v>
      </c>
      <c r="Y136" s="73">
        <v>647</v>
      </c>
      <c r="Z136" s="73">
        <v>648.20000000000005</v>
      </c>
      <c r="AA136" s="73">
        <v>684.4</v>
      </c>
      <c r="AB136" s="73">
        <v>691.6</v>
      </c>
      <c r="AC136" s="73">
        <v>703.8</v>
      </c>
      <c r="AD136" s="73">
        <v>711.3</v>
      </c>
      <c r="AE136" s="73">
        <v>761</v>
      </c>
      <c r="AF136" s="73">
        <v>763.9</v>
      </c>
      <c r="AG136" s="73">
        <v>780.3</v>
      </c>
      <c r="AH136" s="73">
        <v>787.2</v>
      </c>
      <c r="AI136" s="73">
        <v>884.7</v>
      </c>
      <c r="AJ136" s="73">
        <v>969.3</v>
      </c>
      <c r="AK136" s="73">
        <v>1018.4</v>
      </c>
      <c r="AL136" s="73">
        <v>1053.2</v>
      </c>
      <c r="AM136" s="73">
        <v>1074.5</v>
      </c>
      <c r="AN136" s="73">
        <v>1122.3</v>
      </c>
      <c r="AO136" s="73">
        <v>1296.3</v>
      </c>
      <c r="AP136" s="73">
        <v>1395.1</v>
      </c>
      <c r="AQ136" s="73">
        <v>1461</v>
      </c>
      <c r="AR136" s="73">
        <v>1532</v>
      </c>
      <c r="AS136" s="73">
        <v>1805.1</v>
      </c>
      <c r="AT136" s="73">
        <v>2075.6</v>
      </c>
      <c r="AU136" s="73">
        <v>2139.4</v>
      </c>
      <c r="AV136" s="73">
        <v>2280.3000000000002</v>
      </c>
      <c r="AW136" s="73">
        <v>2531.6999999999998</v>
      </c>
      <c r="AX136" s="73">
        <v>2661.8</v>
      </c>
      <c r="AY136" s="73">
        <v>3440.1</v>
      </c>
      <c r="AZ136" s="73">
        <v>3807.3</v>
      </c>
      <c r="BA136" s="73">
        <v>3783.8</v>
      </c>
      <c r="BB136" s="73">
        <v>3903</v>
      </c>
      <c r="BC136" s="73">
        <v>4832.1000000000004</v>
      </c>
      <c r="BD136" s="73">
        <v>5014.3999999999996</v>
      </c>
      <c r="BE136" s="73">
        <v>5332.3</v>
      </c>
      <c r="BF136" s="73">
        <v>5640.1</v>
      </c>
      <c r="BG136" s="73">
        <v>5656.8</v>
      </c>
      <c r="BH136" s="73">
        <v>5790.3</v>
      </c>
      <c r="BI136" s="73">
        <v>6856.6</v>
      </c>
      <c r="BJ136" s="73">
        <v>7221.9</v>
      </c>
      <c r="BK136" s="73">
        <v>7346.4</v>
      </c>
      <c r="BL136" s="73">
        <v>7555.3</v>
      </c>
    </row>
    <row r="137" spans="1:64" ht="20" customHeight="1">
      <c r="A137" s="25">
        <v>133</v>
      </c>
      <c r="B137" s="26" t="s">
        <v>188</v>
      </c>
      <c r="C137" s="27" t="b">
        <f t="array" ref="C137">_xlfn.SWITCH(LEFT(B137,FIND("|",B137)-1),"ابنیه",HLOOKUP(D137,'نمودار ابنیه'!$B$5:$AD$6,2,FALSE),"مکانیکی",HLOOKUP(D137,'نمودار مکانیکی'!$B$5:$AJ$6,2,FALSE),"برقی",HLOOKUP(D137,'نمودار تاسیسات برقی'!$B$5:$AK$6,2,FALSE),"خطوط",HLOOKUP(D137,'نمودار خطوط انتقال '!$B$5:$R$6,2,FALSE),"شبکه",HLOOKUP(D137,'نمودار شبکه توزیع آ'!$B$5:$O$6,2,FALSE),"سد",HLOOKUP(D137,'نمودار سدسازی'!$B$5:$P$6,2,FALSE),"فاضلاب",HLOOKUP(D137,'نمودار جمع‌آوری و ا'!$B$5:$S$6,2,FALSE),"تجهیزات",HLOOKUP(D137,'نمودار تجهیزات آب و'!$B$5:$AG$6,2,FALSE),"پست",HLOOKUP(D137,'نمودار پست های انتق'!$B$5:$AH$6,2,FALSE),"نیرو",HLOOKUP(D137,'نمودار توزیع نیرو ب'!$B$5:$AE$6,2,FALSE),FALSE)</f>
        <v>1</v>
      </c>
      <c r="D137" s="28" t="s">
        <v>192</v>
      </c>
      <c r="E137" s="15"/>
      <c r="F137" s="29"/>
      <c r="G137" s="32">
        <v>315.8</v>
      </c>
      <c r="H137" s="32">
        <v>328.6</v>
      </c>
      <c r="I137" s="32">
        <v>346.5</v>
      </c>
      <c r="J137" s="32">
        <v>362.4</v>
      </c>
      <c r="K137" s="32">
        <v>393.5</v>
      </c>
      <c r="L137" s="32">
        <v>418.1</v>
      </c>
      <c r="M137" s="32">
        <v>464.1</v>
      </c>
      <c r="N137" s="32">
        <v>486.7</v>
      </c>
      <c r="O137" s="32">
        <v>530.4</v>
      </c>
      <c r="P137" s="32">
        <v>543.6</v>
      </c>
      <c r="Q137" s="32">
        <v>553.6</v>
      </c>
      <c r="R137" s="32">
        <v>564</v>
      </c>
      <c r="S137" s="32">
        <v>627.20000000000005</v>
      </c>
      <c r="T137" s="32">
        <v>640.1</v>
      </c>
      <c r="U137" s="32">
        <v>645.4</v>
      </c>
      <c r="V137" s="32">
        <v>652.1</v>
      </c>
      <c r="W137" s="32">
        <v>699.9</v>
      </c>
      <c r="X137" s="32">
        <v>703.7</v>
      </c>
      <c r="Y137" s="32">
        <v>704.6</v>
      </c>
      <c r="Z137" s="32">
        <v>705.8</v>
      </c>
      <c r="AA137" s="32">
        <v>746.7</v>
      </c>
      <c r="AB137" s="32">
        <v>753.7</v>
      </c>
      <c r="AC137" s="32">
        <v>761.7</v>
      </c>
      <c r="AD137" s="32">
        <v>768.9</v>
      </c>
      <c r="AE137" s="32">
        <v>820.5</v>
      </c>
      <c r="AF137" s="32">
        <v>822.6</v>
      </c>
      <c r="AG137" s="32">
        <v>842.9</v>
      </c>
      <c r="AH137" s="32">
        <v>850.7</v>
      </c>
      <c r="AI137" s="32">
        <v>951.5</v>
      </c>
      <c r="AJ137" s="32">
        <v>1055.5</v>
      </c>
      <c r="AK137" s="32">
        <v>1102.3</v>
      </c>
      <c r="AL137" s="32">
        <v>1148.0999999999999</v>
      </c>
      <c r="AM137" s="32">
        <v>1166.4000000000001</v>
      </c>
      <c r="AN137" s="32">
        <v>1209.0999999999999</v>
      </c>
      <c r="AO137" s="32">
        <v>1410.8</v>
      </c>
      <c r="AP137" s="32">
        <v>1495</v>
      </c>
      <c r="AQ137" s="32">
        <v>1563.5</v>
      </c>
      <c r="AR137" s="32">
        <v>1648</v>
      </c>
      <c r="AS137" s="32">
        <v>1958.7</v>
      </c>
      <c r="AT137" s="32">
        <v>2258</v>
      </c>
      <c r="AU137" s="32">
        <v>2344.6999999999998</v>
      </c>
      <c r="AV137" s="32">
        <v>2522.1</v>
      </c>
      <c r="AW137" s="32">
        <v>2784.3</v>
      </c>
      <c r="AX137" s="32">
        <v>2940.2</v>
      </c>
      <c r="AY137" s="32">
        <v>3664.7</v>
      </c>
      <c r="AZ137" s="32">
        <v>3951</v>
      </c>
      <c r="BA137" s="32">
        <v>4124.3999999999996</v>
      </c>
      <c r="BB137" s="32">
        <v>4242.7</v>
      </c>
      <c r="BC137" s="32">
        <v>5308.9</v>
      </c>
      <c r="BD137" s="32">
        <v>5462</v>
      </c>
      <c r="BE137" s="32">
        <v>5797.7</v>
      </c>
      <c r="BF137" s="32">
        <v>6159.1</v>
      </c>
      <c r="BG137" s="32">
        <v>6160.3</v>
      </c>
      <c r="BH137" s="32">
        <v>6169</v>
      </c>
      <c r="BI137" s="32">
        <v>7431.8</v>
      </c>
      <c r="BJ137" s="32">
        <v>7772.2</v>
      </c>
      <c r="BK137" s="32">
        <v>7879.1</v>
      </c>
      <c r="BL137" s="32">
        <v>8134.6</v>
      </c>
    </row>
    <row r="138" spans="1:64" ht="20" customHeight="1">
      <c r="A138" s="68">
        <v>134</v>
      </c>
      <c r="B138" s="69" t="s">
        <v>188</v>
      </c>
      <c r="C138" s="70" t="b">
        <f t="array" ref="C138">_xlfn.SWITCH(LEFT(B138,FIND("|",B138)-1),"ابنیه",HLOOKUP(D138,'نمودار ابنیه'!$B$5:$AD$6,2,FALSE),"مکانیکی",HLOOKUP(D138,'نمودار مکانیکی'!$B$5:$AJ$6,2,FALSE),"برقی",HLOOKUP(D138,'نمودار تاسیسات برقی'!$B$5:$AK$6,2,FALSE),"خطوط",HLOOKUP(D138,'نمودار خطوط انتقال '!$B$5:$R$6,2,FALSE),"شبکه",HLOOKUP(D138,'نمودار شبکه توزیع آ'!$B$5:$O$6,2,FALSE),"سد",HLOOKUP(D138,'نمودار سدسازی'!$B$5:$P$6,2,FALSE),"فاضلاب",HLOOKUP(D138,'نمودار جمع‌آوری و ا'!$B$5:$S$6,2,FALSE),"تجهیزات",HLOOKUP(D138,'نمودار تجهیزات آب و'!$B$5:$AG$6,2,FALSE),"پست",HLOOKUP(D138,'نمودار پست های انتق'!$B$5:$AH$6,2,FALSE),"نیرو",HLOOKUP(D138,'نمودار توزیع نیرو ب'!$B$5:$AE$6,2,FALSE),FALSE)</f>
        <v>1</v>
      </c>
      <c r="D138" s="71" t="s">
        <v>177</v>
      </c>
      <c r="E138" s="15"/>
      <c r="F138" s="72"/>
      <c r="G138" s="73">
        <v>306.39999999999998</v>
      </c>
      <c r="H138" s="73">
        <v>323.89999999999998</v>
      </c>
      <c r="I138" s="73">
        <v>337</v>
      </c>
      <c r="J138" s="73">
        <v>392.5</v>
      </c>
      <c r="K138" s="73">
        <v>452.7</v>
      </c>
      <c r="L138" s="73">
        <v>559.79999999999995</v>
      </c>
      <c r="M138" s="73">
        <v>645.4</v>
      </c>
      <c r="N138" s="73">
        <v>645.79999999999995</v>
      </c>
      <c r="O138" s="73">
        <v>650.1</v>
      </c>
      <c r="P138" s="73">
        <v>650.70000000000005</v>
      </c>
      <c r="Q138" s="73">
        <v>644.29999999999995</v>
      </c>
      <c r="R138" s="73">
        <v>606.1</v>
      </c>
      <c r="S138" s="73">
        <v>657.8</v>
      </c>
      <c r="T138" s="73">
        <v>640.6</v>
      </c>
      <c r="U138" s="73">
        <v>638.4</v>
      </c>
      <c r="V138" s="73">
        <v>594.70000000000005</v>
      </c>
      <c r="W138" s="73">
        <v>561.5</v>
      </c>
      <c r="X138" s="73">
        <v>543.79999999999995</v>
      </c>
      <c r="Y138" s="73">
        <v>521.29999999999995</v>
      </c>
      <c r="Z138" s="73">
        <v>484.1</v>
      </c>
      <c r="AA138" s="73">
        <v>572.20000000000005</v>
      </c>
      <c r="AB138" s="73">
        <v>574.5</v>
      </c>
      <c r="AC138" s="73">
        <v>611.20000000000005</v>
      </c>
      <c r="AD138" s="73">
        <v>600.6</v>
      </c>
      <c r="AE138" s="73">
        <v>608</v>
      </c>
      <c r="AF138" s="73">
        <v>740.6</v>
      </c>
      <c r="AG138" s="73">
        <v>773.7</v>
      </c>
      <c r="AH138" s="73">
        <v>823.2</v>
      </c>
      <c r="AI138" s="73">
        <v>986.3</v>
      </c>
      <c r="AJ138" s="73">
        <v>1169.5</v>
      </c>
      <c r="AK138" s="73">
        <v>1450.1</v>
      </c>
      <c r="AL138" s="73">
        <v>1504</v>
      </c>
      <c r="AM138" s="73">
        <v>1405.2</v>
      </c>
      <c r="AN138" s="73">
        <v>1386.8</v>
      </c>
      <c r="AO138" s="73">
        <v>1637.8</v>
      </c>
      <c r="AP138" s="73">
        <v>1457.2</v>
      </c>
      <c r="AQ138" s="73">
        <v>1514.8</v>
      </c>
      <c r="AR138" s="73">
        <v>1894.9</v>
      </c>
      <c r="AS138" s="73">
        <v>2128.3000000000002</v>
      </c>
      <c r="AT138" s="73">
        <v>3205.2</v>
      </c>
      <c r="AU138" s="73">
        <v>3429.2</v>
      </c>
      <c r="AV138" s="73">
        <v>3674.4</v>
      </c>
      <c r="AW138" s="73">
        <v>3888.7</v>
      </c>
      <c r="AX138" s="73">
        <v>4141.8</v>
      </c>
      <c r="AY138" s="73">
        <v>4629.7</v>
      </c>
      <c r="AZ138" s="73">
        <v>5356.2</v>
      </c>
      <c r="BA138" s="73">
        <v>5193.8</v>
      </c>
      <c r="BB138" s="73">
        <v>5110.8999999999996</v>
      </c>
      <c r="BC138" s="73">
        <v>5957.4</v>
      </c>
      <c r="BD138" s="73">
        <v>5485.4</v>
      </c>
      <c r="BE138" s="73">
        <v>5530.9</v>
      </c>
      <c r="BF138" s="73">
        <v>6547.7</v>
      </c>
      <c r="BG138" s="73">
        <v>7263.3</v>
      </c>
      <c r="BH138" s="73">
        <v>8408.7000000000007</v>
      </c>
      <c r="BI138" s="73">
        <v>8565.4</v>
      </c>
      <c r="BJ138" s="73">
        <v>8162.4</v>
      </c>
      <c r="BK138" s="73">
        <v>79007</v>
      </c>
      <c r="BL138" s="73">
        <v>8239.6</v>
      </c>
    </row>
    <row r="139" spans="1:64" ht="20" customHeight="1">
      <c r="A139" s="25">
        <v>135</v>
      </c>
      <c r="B139" s="26" t="s">
        <v>188</v>
      </c>
      <c r="C139" s="27" t="b">
        <f t="array" ref="C139">_xlfn.SWITCH(LEFT(B139,FIND("|",B139)-1),"ابنیه",HLOOKUP(D139,'نمودار ابنیه'!$B$5:$AD$6,2,FALSE),"مکانیکی",HLOOKUP(D139,'نمودار مکانیکی'!$B$5:$AJ$6,2,FALSE),"برقی",HLOOKUP(D139,'نمودار تاسیسات برقی'!$B$5:$AK$6,2,FALSE),"خطوط",HLOOKUP(D139,'نمودار خطوط انتقال '!$B$5:$R$6,2,FALSE),"شبکه",HLOOKUP(D139,'نمودار شبکه توزیع آ'!$B$5:$O$6,2,FALSE),"سد",HLOOKUP(D139,'نمودار سدسازی'!$B$5:$P$6,2,FALSE),"فاضلاب",HLOOKUP(D139,'نمودار جمع‌آوری و ا'!$B$5:$S$6,2,FALSE),"تجهیزات",HLOOKUP(D139,'نمودار تجهیزات آب و'!$B$5:$AG$6,2,FALSE),"پست",HLOOKUP(D139,'نمودار پست های انتق'!$B$5:$AH$6,2,FALSE),"نیرو",HLOOKUP(D139,'نمودار توزیع نیرو ب'!$B$5:$AE$6,2,FALSE),FALSE)</f>
        <v>0</v>
      </c>
      <c r="D139" s="28" t="s">
        <v>193</v>
      </c>
      <c r="E139" s="15"/>
      <c r="F139" s="29"/>
      <c r="G139" s="32">
        <v>236.6</v>
      </c>
      <c r="H139" s="32">
        <v>240.5</v>
      </c>
      <c r="I139" s="32">
        <v>246.2</v>
      </c>
      <c r="J139" s="32">
        <v>250.7</v>
      </c>
      <c r="K139" s="32">
        <v>272.39999999999998</v>
      </c>
      <c r="L139" s="32">
        <v>293.5</v>
      </c>
      <c r="M139" s="32">
        <v>310.89999999999998</v>
      </c>
      <c r="N139" s="32">
        <v>317.89999999999998</v>
      </c>
      <c r="O139" s="32">
        <v>343.8</v>
      </c>
      <c r="P139" s="32">
        <v>349.2</v>
      </c>
      <c r="Q139" s="32">
        <v>356.3</v>
      </c>
      <c r="R139" s="32">
        <v>362.2</v>
      </c>
      <c r="S139" s="32">
        <v>410.5</v>
      </c>
      <c r="T139" s="32">
        <v>416.1</v>
      </c>
      <c r="U139" s="32">
        <v>420.6</v>
      </c>
      <c r="V139" s="32">
        <v>424.7</v>
      </c>
      <c r="W139" s="32">
        <v>455.6</v>
      </c>
      <c r="X139" s="32">
        <v>458.4</v>
      </c>
      <c r="Y139" s="32">
        <v>451.3</v>
      </c>
      <c r="Z139" s="32">
        <v>453.4</v>
      </c>
      <c r="AA139" s="32">
        <v>498.5</v>
      </c>
      <c r="AB139" s="32">
        <v>504.6</v>
      </c>
      <c r="AC139" s="32">
        <v>511</v>
      </c>
      <c r="AD139" s="32">
        <v>517.4</v>
      </c>
      <c r="AE139" s="32">
        <v>550.29999999999995</v>
      </c>
      <c r="AF139" s="32">
        <v>569.70000000000005</v>
      </c>
      <c r="AG139" s="32">
        <v>577.5</v>
      </c>
      <c r="AH139" s="32">
        <v>581.70000000000005</v>
      </c>
      <c r="AI139" s="32">
        <v>662.5</v>
      </c>
      <c r="AJ139" s="32">
        <v>710.8</v>
      </c>
      <c r="AK139" s="32">
        <v>730.8</v>
      </c>
      <c r="AL139" s="32">
        <v>741.3</v>
      </c>
      <c r="AM139" s="32">
        <v>783.4</v>
      </c>
      <c r="AN139" s="32">
        <v>832</v>
      </c>
      <c r="AO139" s="32">
        <v>971.2</v>
      </c>
      <c r="AP139" s="32">
        <v>1004.9</v>
      </c>
      <c r="AQ139" s="32">
        <v>1067.7</v>
      </c>
      <c r="AR139" s="32">
        <v>1146.7</v>
      </c>
      <c r="AS139" s="32">
        <v>1464.7</v>
      </c>
      <c r="AT139" s="32">
        <v>1677.8</v>
      </c>
      <c r="AU139" s="32">
        <v>1716.9</v>
      </c>
      <c r="AV139" s="32">
        <v>1790.2</v>
      </c>
      <c r="AW139" s="32">
        <v>1978.1</v>
      </c>
      <c r="AX139" s="32">
        <v>2035.4</v>
      </c>
      <c r="AY139" s="32">
        <v>2492</v>
      </c>
      <c r="AZ139" s="32">
        <v>2679.2</v>
      </c>
      <c r="BA139" s="32">
        <v>2748.6</v>
      </c>
      <c r="BB139" s="32">
        <v>2770.1</v>
      </c>
      <c r="BC139" s="32">
        <v>3386</v>
      </c>
      <c r="BD139" s="32">
        <v>3428.3</v>
      </c>
      <c r="BE139" s="32">
        <v>3590.4</v>
      </c>
      <c r="BF139" s="32">
        <v>3840.9</v>
      </c>
      <c r="BG139" s="32">
        <v>3906.1</v>
      </c>
      <c r="BH139" s="32">
        <v>4124.3999999999996</v>
      </c>
      <c r="BI139" s="32">
        <v>4701</v>
      </c>
      <c r="BJ139" s="32">
        <v>4818.8</v>
      </c>
      <c r="BK139" s="32">
        <v>5083.1000000000004</v>
      </c>
      <c r="BL139" s="32">
        <v>5332.9</v>
      </c>
    </row>
    <row r="140" spans="1:64" ht="20" customHeight="1">
      <c r="A140" s="68">
        <v>136</v>
      </c>
      <c r="B140" s="69" t="s">
        <v>188</v>
      </c>
      <c r="C140" s="70" t="b">
        <f t="array" ref="C140">_xlfn.SWITCH(LEFT(B140,FIND("|",B140)-1),"ابنیه",HLOOKUP(D140,'نمودار ابنیه'!$B$5:$AD$6,2,FALSE),"مکانیکی",HLOOKUP(D140,'نمودار مکانیکی'!$B$5:$AJ$6,2,FALSE),"برقی",HLOOKUP(D140,'نمودار تاسیسات برقی'!$B$5:$AK$6,2,FALSE),"خطوط",HLOOKUP(D140,'نمودار خطوط انتقال '!$B$5:$R$6,2,FALSE),"شبکه",HLOOKUP(D140,'نمودار شبکه توزیع آ'!$B$5:$O$6,2,FALSE),"سد",HLOOKUP(D140,'نمودار سدسازی'!$B$5:$P$6,2,FALSE),"فاضلاب",HLOOKUP(D140,'نمودار جمع‌آوری و ا'!$B$5:$S$6,2,FALSE),"تجهیزات",HLOOKUP(D140,'نمودار تجهیزات آب و'!$B$5:$AG$6,2,FALSE),"پست",HLOOKUP(D140,'نمودار پست های انتق'!$B$5:$AH$6,2,FALSE),"نیرو",HLOOKUP(D140,'نمودار توزیع نیرو ب'!$B$5:$AE$6,2,FALSE),FALSE)</f>
        <v>0</v>
      </c>
      <c r="D140" s="71" t="s">
        <v>194</v>
      </c>
      <c r="E140" s="15"/>
      <c r="F140" s="72"/>
      <c r="G140" s="73">
        <v>291.5</v>
      </c>
      <c r="H140" s="73">
        <v>314.8</v>
      </c>
      <c r="I140" s="73">
        <v>327.39999999999998</v>
      </c>
      <c r="J140" s="73">
        <v>340.4</v>
      </c>
      <c r="K140" s="73">
        <v>359.8</v>
      </c>
      <c r="L140" s="73">
        <v>376.6</v>
      </c>
      <c r="M140" s="73">
        <v>432.3</v>
      </c>
      <c r="N140" s="73">
        <v>449.1</v>
      </c>
      <c r="O140" s="73">
        <v>485.2</v>
      </c>
      <c r="P140" s="73">
        <v>508.9</v>
      </c>
      <c r="Q140" s="73">
        <v>516.6</v>
      </c>
      <c r="R140" s="73">
        <v>522.9</v>
      </c>
      <c r="S140" s="73">
        <v>561</v>
      </c>
      <c r="T140" s="73">
        <v>598.5</v>
      </c>
      <c r="U140" s="73">
        <v>583.70000000000005</v>
      </c>
      <c r="V140" s="73">
        <v>587.4</v>
      </c>
      <c r="W140" s="73">
        <v>614.70000000000005</v>
      </c>
      <c r="X140" s="73">
        <v>616.70000000000005</v>
      </c>
      <c r="Y140" s="73">
        <v>607.1</v>
      </c>
      <c r="Z140" s="73">
        <v>607.29999999999995</v>
      </c>
      <c r="AA140" s="73">
        <v>630.29999999999995</v>
      </c>
      <c r="AB140" s="73">
        <v>639.29999999999995</v>
      </c>
      <c r="AC140" s="73">
        <v>661.4</v>
      </c>
      <c r="AD140" s="73">
        <v>671.4</v>
      </c>
      <c r="AE140" s="73">
        <v>713.2</v>
      </c>
      <c r="AF140" s="73">
        <v>714.3</v>
      </c>
      <c r="AG140" s="73">
        <v>729.2</v>
      </c>
      <c r="AH140" s="73">
        <v>734.6</v>
      </c>
      <c r="AI140" s="73">
        <v>824.9</v>
      </c>
      <c r="AJ140" s="73">
        <v>901.6</v>
      </c>
      <c r="AK140" s="73">
        <v>963.5</v>
      </c>
      <c r="AL140" s="73">
        <v>998.1</v>
      </c>
      <c r="AM140" s="73">
        <v>1006.5</v>
      </c>
      <c r="AN140" s="73">
        <v>1044.8</v>
      </c>
      <c r="AO140" s="73">
        <v>1166.7</v>
      </c>
      <c r="AP140" s="73">
        <v>1310.2</v>
      </c>
      <c r="AQ140" s="73">
        <v>1363.6</v>
      </c>
      <c r="AR140" s="73">
        <v>1426.1</v>
      </c>
      <c r="AS140" s="73">
        <v>1626.7</v>
      </c>
      <c r="AT140" s="73">
        <v>1901.6</v>
      </c>
      <c r="AU140" s="73">
        <v>1967.1</v>
      </c>
      <c r="AV140" s="73">
        <v>2103.9</v>
      </c>
      <c r="AW140" s="73">
        <v>2295.6999999999998</v>
      </c>
      <c r="AX140" s="73">
        <v>2404.1</v>
      </c>
      <c r="AY140" s="73">
        <v>3101.3</v>
      </c>
      <c r="AZ140" s="73">
        <v>3565.1</v>
      </c>
      <c r="BA140" s="73">
        <v>3516</v>
      </c>
      <c r="BB140" s="73">
        <v>3679.3</v>
      </c>
      <c r="BC140" s="73">
        <v>4542.3</v>
      </c>
      <c r="BD140" s="73">
        <v>4856.2</v>
      </c>
      <c r="BE140" s="73">
        <v>5072.6000000000004</v>
      </c>
      <c r="BF140" s="73">
        <v>5326.2</v>
      </c>
      <c r="BG140" s="73">
        <v>5378.9</v>
      </c>
      <c r="BH140" s="73">
        <v>5597.5</v>
      </c>
      <c r="BI140" s="73">
        <v>6397.4</v>
      </c>
      <c r="BJ140" s="73">
        <v>6896.4</v>
      </c>
      <c r="BK140" s="73">
        <v>6970.2</v>
      </c>
      <c r="BL140" s="73">
        <v>7219.6</v>
      </c>
    </row>
    <row r="141" spans="1:64" ht="20" customHeight="1">
      <c r="A141" s="25">
        <v>137</v>
      </c>
      <c r="B141" s="26" t="s">
        <v>188</v>
      </c>
      <c r="C141" s="27" t="b">
        <f t="array" ref="C141">_xlfn.SWITCH(LEFT(B141,FIND("|",B141)-1),"ابنیه",HLOOKUP(D141,'نمودار ابنیه'!$B$5:$AD$6,2,FALSE),"مکانیکی",HLOOKUP(D141,'نمودار مکانیکی'!$B$5:$AJ$6,2,FALSE),"برقی",HLOOKUP(D141,'نمودار تاسیسات برقی'!$B$5:$AK$6,2,FALSE),"خطوط",HLOOKUP(D141,'نمودار خطوط انتقال '!$B$5:$R$6,2,FALSE),"شبکه",HLOOKUP(D141,'نمودار شبکه توزیع آ'!$B$5:$O$6,2,FALSE),"سد",HLOOKUP(D141,'نمودار سدسازی'!$B$5:$P$6,2,FALSE),"فاضلاب",HLOOKUP(D141,'نمودار جمع‌آوری و ا'!$B$5:$S$6,2,FALSE),"تجهیزات",HLOOKUP(D141,'نمودار تجهیزات آب و'!$B$5:$AG$6,2,FALSE),"پست",HLOOKUP(D141,'نمودار پست های انتق'!$B$5:$AH$6,2,FALSE),"نیرو",HLOOKUP(D141,'نمودار توزیع نیرو ب'!$B$5:$AE$6,2,FALSE),FALSE)</f>
        <v>0</v>
      </c>
      <c r="D141" s="28" t="s">
        <v>71</v>
      </c>
      <c r="E141" s="15"/>
      <c r="F141" s="29"/>
      <c r="G141" s="32">
        <v>314</v>
      </c>
      <c r="H141" s="32">
        <v>316.8</v>
      </c>
      <c r="I141" s="32">
        <v>342.1</v>
      </c>
      <c r="J141" s="32">
        <v>346.5</v>
      </c>
      <c r="K141" s="32">
        <v>384.9</v>
      </c>
      <c r="L141" s="32">
        <v>422.1</v>
      </c>
      <c r="M141" s="32">
        <v>436.6</v>
      </c>
      <c r="N141" s="32">
        <v>452</v>
      </c>
      <c r="O141" s="32">
        <v>486</v>
      </c>
      <c r="P141" s="32">
        <v>496.5</v>
      </c>
      <c r="Q141" s="32">
        <v>522</v>
      </c>
      <c r="R141" s="32">
        <v>525.5</v>
      </c>
      <c r="S141" s="32">
        <v>580.9</v>
      </c>
      <c r="T141" s="32">
        <v>590.1</v>
      </c>
      <c r="U141" s="32">
        <v>587.6</v>
      </c>
      <c r="V141" s="32">
        <v>591.29999999999995</v>
      </c>
      <c r="W141" s="32">
        <v>623</v>
      </c>
      <c r="X141" s="32">
        <v>619.5</v>
      </c>
      <c r="Y141" s="32">
        <v>624.29999999999995</v>
      </c>
      <c r="Z141" s="32">
        <v>626.29999999999995</v>
      </c>
      <c r="AA141" s="32">
        <v>681.5</v>
      </c>
      <c r="AB141" s="32">
        <v>686.4</v>
      </c>
      <c r="AC141" s="32">
        <v>693.1</v>
      </c>
      <c r="AD141" s="32">
        <v>696.9</v>
      </c>
      <c r="AE141" s="32">
        <v>746.1</v>
      </c>
      <c r="AF141" s="32">
        <v>754.1</v>
      </c>
      <c r="AG141" s="32">
        <v>768.4</v>
      </c>
      <c r="AH141" s="32">
        <v>778.3</v>
      </c>
      <c r="AI141" s="32">
        <v>874.5</v>
      </c>
      <c r="AJ141" s="32">
        <v>911.9</v>
      </c>
      <c r="AK141" s="32">
        <v>949.3</v>
      </c>
      <c r="AL141" s="32">
        <v>983</v>
      </c>
      <c r="AM141" s="32">
        <v>1061.9000000000001</v>
      </c>
      <c r="AN141" s="32">
        <v>1078.3</v>
      </c>
      <c r="AO141" s="32">
        <v>1267.7</v>
      </c>
      <c r="AP141" s="32">
        <v>1310.4000000000001</v>
      </c>
      <c r="AQ141" s="32">
        <v>1334.6</v>
      </c>
      <c r="AR141" s="32">
        <v>1416</v>
      </c>
      <c r="AS141" s="32">
        <v>1776.5</v>
      </c>
      <c r="AT141" s="32">
        <v>1975.3</v>
      </c>
      <c r="AU141" s="32">
        <v>1986.1</v>
      </c>
      <c r="AV141" s="32">
        <v>2100.5</v>
      </c>
      <c r="AW141" s="32">
        <v>2269.4</v>
      </c>
      <c r="AX141" s="32">
        <v>2456.5</v>
      </c>
      <c r="AY141" s="32">
        <v>3028</v>
      </c>
      <c r="AZ141" s="32">
        <v>3294.1</v>
      </c>
      <c r="BA141" s="32">
        <v>3310.9</v>
      </c>
      <c r="BB141" s="32">
        <v>3360.3</v>
      </c>
      <c r="BC141" s="32">
        <v>4097.5</v>
      </c>
      <c r="BD141" s="32">
        <v>4174.2</v>
      </c>
      <c r="BE141" s="32">
        <v>4469.2</v>
      </c>
      <c r="BF141" s="32">
        <v>4785.8</v>
      </c>
      <c r="BG141" s="32">
        <v>4823.8</v>
      </c>
      <c r="BH141" s="32">
        <v>5142.3</v>
      </c>
      <c r="BI141" s="32">
        <v>5885.2</v>
      </c>
      <c r="BJ141" s="32">
        <v>6034.5</v>
      </c>
      <c r="BK141" s="32">
        <v>6293.5</v>
      </c>
      <c r="BL141" s="32">
        <v>6389.2</v>
      </c>
    </row>
    <row r="142" spans="1:64" ht="20" customHeight="1">
      <c r="A142" s="68">
        <v>138</v>
      </c>
      <c r="B142" s="69" t="s">
        <v>188</v>
      </c>
      <c r="C142" s="70" t="b">
        <f t="array" ref="C142">_xlfn.SWITCH(LEFT(B142,FIND("|",B142)-1),"ابنیه",HLOOKUP(D142,'نمودار ابنیه'!$B$5:$AD$6,2,FALSE),"مکانیکی",HLOOKUP(D142,'نمودار مکانیکی'!$B$5:$AJ$6,2,FALSE),"برقی",HLOOKUP(D142,'نمودار تاسیسات برقی'!$B$5:$AK$6,2,FALSE),"خطوط",HLOOKUP(D142,'نمودار خطوط انتقال '!$B$5:$R$6,2,FALSE),"شبکه",HLOOKUP(D142,'نمودار شبکه توزیع آ'!$B$5:$O$6,2,FALSE),"سد",HLOOKUP(D142,'نمودار سدسازی'!$B$5:$P$6,2,FALSE),"فاضلاب",HLOOKUP(D142,'نمودار جمع‌آوری و ا'!$B$5:$S$6,2,FALSE),"تجهیزات",HLOOKUP(D142,'نمودار تجهیزات آب و'!$B$5:$AG$6,2,FALSE),"پست",HLOOKUP(D142,'نمودار پست های انتق'!$B$5:$AH$6,2,FALSE),"نیرو",HLOOKUP(D142,'نمودار توزیع نیرو ب'!$B$5:$AE$6,2,FALSE),FALSE)</f>
        <v>0</v>
      </c>
      <c r="D142" s="71" t="s">
        <v>195</v>
      </c>
      <c r="E142" s="15"/>
      <c r="F142" s="72"/>
      <c r="G142" s="73">
        <v>279.10000000000002</v>
      </c>
      <c r="H142" s="73">
        <v>293.5</v>
      </c>
      <c r="I142" s="73">
        <v>311.7</v>
      </c>
      <c r="J142" s="73">
        <v>326.39999999999998</v>
      </c>
      <c r="K142" s="73">
        <v>356</v>
      </c>
      <c r="L142" s="73">
        <v>384.3</v>
      </c>
      <c r="M142" s="73">
        <v>428.8</v>
      </c>
      <c r="N142" s="73">
        <v>478</v>
      </c>
      <c r="O142" s="73">
        <v>502.7</v>
      </c>
      <c r="P142" s="73">
        <v>505.9</v>
      </c>
      <c r="Q142" s="73">
        <v>515.6</v>
      </c>
      <c r="R142" s="73">
        <v>522.70000000000005</v>
      </c>
      <c r="S142" s="73">
        <v>578.29999999999995</v>
      </c>
      <c r="T142" s="73">
        <v>588.79999999999995</v>
      </c>
      <c r="U142" s="73">
        <v>590</v>
      </c>
      <c r="V142" s="73">
        <v>593.9</v>
      </c>
      <c r="W142" s="73">
        <v>621</v>
      </c>
      <c r="X142" s="73">
        <v>621.5</v>
      </c>
      <c r="Y142" s="73">
        <v>618.5</v>
      </c>
      <c r="Z142" s="73">
        <v>618</v>
      </c>
      <c r="AA142" s="73">
        <v>649.6</v>
      </c>
      <c r="AB142" s="73">
        <v>655</v>
      </c>
      <c r="AC142" s="73">
        <v>681.1</v>
      </c>
      <c r="AD142" s="73">
        <v>690.3</v>
      </c>
      <c r="AE142" s="73">
        <v>726.7</v>
      </c>
      <c r="AF142" s="73">
        <v>744.6</v>
      </c>
      <c r="AG142" s="73">
        <v>775</v>
      </c>
      <c r="AH142" s="73">
        <v>781</v>
      </c>
      <c r="AI142" s="73">
        <v>878.6</v>
      </c>
      <c r="AJ142" s="73">
        <v>972.5</v>
      </c>
      <c r="AK142" s="73">
        <v>1048.2</v>
      </c>
      <c r="AL142" s="73">
        <v>1115.7</v>
      </c>
      <c r="AM142" s="73">
        <v>1172.5999999999999</v>
      </c>
      <c r="AN142" s="73">
        <v>1214.5</v>
      </c>
      <c r="AO142" s="73">
        <v>1444.8</v>
      </c>
      <c r="AP142" s="73">
        <v>1461</v>
      </c>
      <c r="AQ142" s="73">
        <v>1500.3</v>
      </c>
      <c r="AR142" s="73">
        <v>1639.5</v>
      </c>
      <c r="AS142" s="73">
        <v>1968.6</v>
      </c>
      <c r="AT142" s="73">
        <v>2389.6</v>
      </c>
      <c r="AU142" s="73">
        <v>2486.8000000000002</v>
      </c>
      <c r="AV142" s="73">
        <v>2723.7</v>
      </c>
      <c r="AW142" s="73">
        <v>3010.2</v>
      </c>
      <c r="AX142" s="73">
        <v>3210.8</v>
      </c>
      <c r="AY142" s="73">
        <v>3979.1</v>
      </c>
      <c r="AZ142" s="73">
        <v>4276</v>
      </c>
      <c r="BA142" s="73">
        <v>4308.5</v>
      </c>
      <c r="BB142" s="73">
        <v>4357.6000000000004</v>
      </c>
      <c r="BC142" s="73">
        <v>5208.2</v>
      </c>
      <c r="BD142" s="73">
        <v>5264.7</v>
      </c>
      <c r="BE142" s="73">
        <v>5637.6</v>
      </c>
      <c r="BF142" s="73">
        <v>5938.5</v>
      </c>
      <c r="BG142" s="73">
        <v>6057.6</v>
      </c>
      <c r="BH142" s="73">
        <v>6210.7</v>
      </c>
      <c r="BI142" s="73">
        <v>7233.4</v>
      </c>
      <c r="BJ142" s="73">
        <v>7452.1</v>
      </c>
      <c r="BK142" s="73">
        <v>7535.8</v>
      </c>
      <c r="BL142" s="73">
        <v>7855.4</v>
      </c>
    </row>
    <row r="143" spans="1:64" ht="20" customHeight="1">
      <c r="A143" s="25">
        <v>139</v>
      </c>
      <c r="B143" s="26" t="s">
        <v>188</v>
      </c>
      <c r="C143" s="27" t="b">
        <f t="array" ref="C143">_xlfn.SWITCH(LEFT(B143,FIND("|",B143)-1),"ابنیه",HLOOKUP(D143,'نمودار ابنیه'!$B$5:$AD$6,2,FALSE),"مکانیکی",HLOOKUP(D143,'نمودار مکانیکی'!$B$5:$AJ$6,2,FALSE),"برقی",HLOOKUP(D143,'نمودار تاسیسات برقی'!$B$5:$AK$6,2,FALSE),"خطوط",HLOOKUP(D143,'نمودار خطوط انتقال '!$B$5:$R$6,2,FALSE),"شبکه",HLOOKUP(D143,'نمودار شبکه توزیع آ'!$B$5:$O$6,2,FALSE),"سد",HLOOKUP(D143,'نمودار سدسازی'!$B$5:$P$6,2,FALSE),"فاضلاب",HLOOKUP(D143,'نمودار جمع‌آوری و ا'!$B$5:$S$6,2,FALSE),"تجهیزات",HLOOKUP(D143,'نمودار تجهیزات آب و'!$B$5:$AG$6,2,FALSE),"پست",HLOOKUP(D143,'نمودار پست های انتق'!$B$5:$AH$6,2,FALSE),"نیرو",HLOOKUP(D143,'نمودار توزیع نیرو ب'!$B$5:$AE$6,2,FALSE),FALSE)</f>
        <v>0</v>
      </c>
      <c r="D143" s="28" t="s">
        <v>196</v>
      </c>
      <c r="E143" s="15"/>
      <c r="F143" s="29"/>
      <c r="G143" s="32">
        <v>304.3</v>
      </c>
      <c r="H143" s="32">
        <v>313.2</v>
      </c>
      <c r="I143" s="32">
        <v>331.1</v>
      </c>
      <c r="J143" s="32">
        <v>352</v>
      </c>
      <c r="K143" s="32">
        <v>387.1</v>
      </c>
      <c r="L143" s="32">
        <v>404.8</v>
      </c>
      <c r="M143" s="32">
        <v>422.4</v>
      </c>
      <c r="N143" s="32">
        <v>439.9</v>
      </c>
      <c r="O143" s="32">
        <v>506.3</v>
      </c>
      <c r="P143" s="32">
        <v>533.1</v>
      </c>
      <c r="Q143" s="32">
        <v>534.5</v>
      </c>
      <c r="R143" s="32">
        <v>534.5</v>
      </c>
      <c r="S143" s="32">
        <v>579.9</v>
      </c>
      <c r="T143" s="32">
        <v>593.20000000000005</v>
      </c>
      <c r="U143" s="32">
        <v>595</v>
      </c>
      <c r="V143" s="32">
        <v>595.6</v>
      </c>
      <c r="W143" s="32">
        <v>613.4</v>
      </c>
      <c r="X143" s="32">
        <v>628.29999999999995</v>
      </c>
      <c r="Y143" s="32">
        <v>640.9</v>
      </c>
      <c r="Z143" s="32">
        <v>640.9</v>
      </c>
      <c r="AA143" s="32">
        <v>640.9</v>
      </c>
      <c r="AB143" s="32">
        <v>676.4</v>
      </c>
      <c r="AC143" s="32">
        <v>699.8</v>
      </c>
      <c r="AD143" s="32">
        <v>706.3</v>
      </c>
      <c r="AE143" s="32">
        <v>741.5</v>
      </c>
      <c r="AF143" s="32">
        <v>762.7</v>
      </c>
      <c r="AG143" s="32">
        <v>769.8</v>
      </c>
      <c r="AH143" s="32">
        <v>776.9</v>
      </c>
      <c r="AI143" s="32">
        <v>862.3</v>
      </c>
      <c r="AJ143" s="32">
        <v>947.8</v>
      </c>
      <c r="AK143" s="32">
        <v>1048.8</v>
      </c>
      <c r="AL143" s="32">
        <v>1076</v>
      </c>
      <c r="AM143" s="32">
        <v>1134.2</v>
      </c>
      <c r="AN143" s="32">
        <v>1254.5999999999999</v>
      </c>
      <c r="AO143" s="32">
        <v>1436.5</v>
      </c>
      <c r="AP143" s="32">
        <v>1543.3</v>
      </c>
      <c r="AQ143" s="32">
        <v>1812.3</v>
      </c>
      <c r="AR143" s="32">
        <v>1919.5</v>
      </c>
      <c r="AS143" s="32">
        <v>2424.4</v>
      </c>
      <c r="AT143" s="32">
        <v>2956.1</v>
      </c>
      <c r="AU143" s="32">
        <v>3032.9</v>
      </c>
      <c r="AV143" s="32">
        <v>3263.3</v>
      </c>
      <c r="AW143" s="32">
        <v>3455.2</v>
      </c>
      <c r="AX143" s="32">
        <v>3618.3</v>
      </c>
      <c r="AY143" s="32">
        <v>4758</v>
      </c>
      <c r="AZ143" s="32">
        <v>5011.3</v>
      </c>
      <c r="BA143" s="32">
        <v>5101.8</v>
      </c>
      <c r="BB143" s="32">
        <v>5210.3</v>
      </c>
      <c r="BC143" s="32">
        <v>6486.7</v>
      </c>
      <c r="BD143" s="32">
        <v>6710.9</v>
      </c>
      <c r="BE143" s="32">
        <v>7190.1</v>
      </c>
      <c r="BF143" s="32">
        <v>7591.3</v>
      </c>
      <c r="BG143" s="32">
        <v>7716.4</v>
      </c>
      <c r="BH143" s="32">
        <v>7841.4</v>
      </c>
      <c r="BI143" s="32">
        <v>9307.7000000000007</v>
      </c>
      <c r="BJ143" s="32">
        <v>9888.1</v>
      </c>
      <c r="BK143" s="32">
        <v>10444.799999999999</v>
      </c>
      <c r="BL143" s="32">
        <v>10625.1</v>
      </c>
    </row>
    <row r="144" spans="1:64" ht="20" customHeight="1">
      <c r="A144" s="68">
        <v>140</v>
      </c>
      <c r="B144" s="69" t="s">
        <v>188</v>
      </c>
      <c r="C144" s="70" t="b">
        <f t="array" ref="C144">_xlfn.SWITCH(LEFT(B144,FIND("|",B144)-1),"ابنیه",HLOOKUP(D144,'نمودار ابنیه'!$B$5:$AD$6,2,FALSE),"مکانیکی",HLOOKUP(D144,'نمودار مکانیکی'!$B$5:$AJ$6,2,FALSE),"برقی",HLOOKUP(D144,'نمودار تاسیسات برقی'!$B$5:$AK$6,2,FALSE),"خطوط",HLOOKUP(D144,'نمودار خطوط انتقال '!$B$5:$R$6,2,FALSE),"شبکه",HLOOKUP(D144,'نمودار شبکه توزیع آ'!$B$5:$O$6,2,FALSE),"سد",HLOOKUP(D144,'نمودار سدسازی'!$B$5:$P$6,2,FALSE),"فاضلاب",HLOOKUP(D144,'نمودار جمع‌آوری و ا'!$B$5:$S$6,2,FALSE),"تجهیزات",HLOOKUP(D144,'نمودار تجهیزات آب و'!$B$5:$AG$6,2,FALSE),"پست",HLOOKUP(D144,'نمودار پست های انتق'!$B$5:$AH$6,2,FALSE),"نیرو",HLOOKUP(D144,'نمودار توزیع نیرو ب'!$B$5:$AE$6,2,FALSE),FALSE)</f>
        <v>0</v>
      </c>
      <c r="D144" s="71" t="s">
        <v>197</v>
      </c>
      <c r="E144" s="15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3">
        <v>7000</v>
      </c>
    </row>
    <row r="145" spans="1:64" ht="20" customHeight="1">
      <c r="A145" s="25">
        <v>141</v>
      </c>
      <c r="B145" s="26" t="s">
        <v>188</v>
      </c>
      <c r="C145" s="27" t="b">
        <f t="array" ref="C145">_xlfn.SWITCH(LEFT(B145,FIND("|",B145)-1),"ابنیه",HLOOKUP(D145,'نمودار ابنیه'!$B$5:$AD$6,2,FALSE),"مکانیکی",HLOOKUP(D145,'نمودار مکانیکی'!$B$5:$AJ$6,2,FALSE),"برقی",HLOOKUP(D145,'نمودار تاسیسات برقی'!$B$5:$AK$6,2,FALSE),"خطوط",HLOOKUP(D145,'نمودار خطوط انتقال '!$B$5:$R$6,2,FALSE),"شبکه",HLOOKUP(D145,'نمودار شبکه توزیع آ'!$B$5:$O$6,2,FALSE),"سد",HLOOKUP(D145,'نمودار سدسازی'!$B$5:$P$6,2,FALSE),"فاضلاب",HLOOKUP(D145,'نمودار جمع‌آوری و ا'!$B$5:$S$6,2,FALSE),"تجهیزات",HLOOKUP(D145,'نمودار تجهیزات آب و'!$B$5:$AG$6,2,FALSE),"پست",HLOOKUP(D145,'نمودار پست های انتق'!$B$5:$AH$6,2,FALSE),"نیرو",HLOOKUP(D145,'نمودار توزیع نیرو ب'!$B$5:$AE$6,2,FALSE),FALSE)</f>
        <v>0</v>
      </c>
      <c r="D145" s="28" t="s">
        <v>198</v>
      </c>
      <c r="E145" s="15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32">
        <v>7000</v>
      </c>
    </row>
    <row r="146" spans="1:64" ht="20" customHeight="1">
      <c r="A146" s="68">
        <v>142</v>
      </c>
      <c r="B146" s="69" t="s">
        <v>188</v>
      </c>
      <c r="C146" s="70" t="b">
        <f t="array" ref="C146">_xlfn.SWITCH(LEFT(B146,FIND("|",B146)-1),"ابنیه",HLOOKUP(D146,'نمودار ابنیه'!$B$5:$AD$6,2,FALSE),"مکانیکی",HLOOKUP(D146,'نمودار مکانیکی'!$B$5:$AJ$6,2,FALSE),"برقی",HLOOKUP(D146,'نمودار تاسیسات برقی'!$B$5:$AK$6,2,FALSE),"خطوط",HLOOKUP(D146,'نمودار خطوط انتقال '!$B$5:$R$6,2,FALSE),"شبکه",HLOOKUP(D146,'نمودار شبکه توزیع آ'!$B$5:$O$6,2,FALSE),"سد",HLOOKUP(D146,'نمودار سدسازی'!$B$5:$P$6,2,FALSE),"فاضلاب",HLOOKUP(D146,'نمودار جمع‌آوری و ا'!$B$5:$S$6,2,FALSE),"تجهیزات",HLOOKUP(D146,'نمودار تجهیزات آب و'!$B$5:$AG$6,2,FALSE),"پست",HLOOKUP(D146,'نمودار پست های انتق'!$B$5:$AH$6,2,FALSE),"نیرو",HLOOKUP(D146,'نمودار توزیع نیرو ب'!$B$5:$AE$6,2,FALSE),FALSE)</f>
        <v>0</v>
      </c>
      <c r="D146" s="71" t="s">
        <v>199</v>
      </c>
      <c r="E146" s="15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3">
        <v>7000</v>
      </c>
    </row>
    <row r="147" spans="1:64" ht="20" customHeight="1">
      <c r="A147" s="25">
        <v>143</v>
      </c>
      <c r="B147" s="26" t="s">
        <v>188</v>
      </c>
      <c r="C147" s="27" t="b">
        <f t="array" ref="C147">_xlfn.SWITCH(LEFT(B147,FIND("|",B147)-1),"ابنیه",HLOOKUP(D147,'نمودار ابنیه'!$B$5:$AD$6,2,FALSE),"مکانیکی",HLOOKUP(D147,'نمودار مکانیکی'!$B$5:$AJ$6,2,FALSE),"برقی",HLOOKUP(D147,'نمودار تاسیسات برقی'!$B$5:$AK$6,2,FALSE),"خطوط",HLOOKUP(D147,'نمودار خطوط انتقال '!$B$5:$R$6,2,FALSE),"شبکه",HLOOKUP(D147,'نمودار شبکه توزیع آ'!$B$5:$O$6,2,FALSE),"سد",HLOOKUP(D147,'نمودار سدسازی'!$B$5:$P$6,2,FALSE),"فاضلاب",HLOOKUP(D147,'نمودار جمع‌آوری و ا'!$B$5:$S$6,2,FALSE),"تجهیزات",HLOOKUP(D147,'نمودار تجهیزات آب و'!$B$5:$AG$6,2,FALSE),"پست",HLOOKUP(D147,'نمودار پست های انتق'!$B$5:$AH$6,2,FALSE),"نیرو",HLOOKUP(D147,'نمودار توزیع نیرو ب'!$B$5:$AE$6,2,FALSE),FALSE)</f>
        <v>0</v>
      </c>
      <c r="D147" s="28" t="s">
        <v>200</v>
      </c>
      <c r="E147" s="15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32">
        <v>7000</v>
      </c>
    </row>
    <row r="148" spans="1:64" ht="20" customHeight="1">
      <c r="A148" s="68">
        <v>144</v>
      </c>
      <c r="B148" s="69" t="s">
        <v>188</v>
      </c>
      <c r="C148" s="70" t="b">
        <f t="array" ref="C148">_xlfn.SWITCH(LEFT(B148,FIND("|",B148)-1),"ابنیه",HLOOKUP(D148,'نمودار ابنیه'!$B$5:$AD$6,2,FALSE),"مکانیکی",HLOOKUP(D148,'نمودار مکانیکی'!$B$5:$AJ$6,2,FALSE),"برقی",HLOOKUP(D148,'نمودار تاسیسات برقی'!$B$5:$AK$6,2,FALSE),"خطوط",HLOOKUP(D148,'نمودار خطوط انتقال '!$B$5:$R$6,2,FALSE),"شبکه",HLOOKUP(D148,'نمودار شبکه توزیع آ'!$B$5:$O$6,2,FALSE),"سد",HLOOKUP(D148,'نمودار سدسازی'!$B$5:$P$6,2,FALSE),"فاضلاب",HLOOKUP(D148,'نمودار جمع‌آوری و ا'!$B$5:$S$6,2,FALSE),"تجهیزات",HLOOKUP(D148,'نمودار تجهیزات آب و'!$B$5:$AG$6,2,FALSE),"پست",HLOOKUP(D148,'نمودار پست های انتق'!$B$5:$AH$6,2,FALSE),"نیرو",HLOOKUP(D148,'نمودار توزیع نیرو ب'!$B$5:$AE$6,2,FALSE),FALSE)</f>
        <v>0</v>
      </c>
      <c r="D148" s="71" t="s">
        <v>201</v>
      </c>
      <c r="E148" s="15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3">
        <v>7000</v>
      </c>
    </row>
    <row r="149" spans="1:64" ht="20" customHeight="1">
      <c r="A149" s="20">
        <v>145</v>
      </c>
      <c r="B149" s="21" t="s">
        <v>202</v>
      </c>
      <c r="C149" s="22" t="b">
        <f t="array" ref="C149">_xlfn.SWITCH(LEFT(B149,FIND("|",B149)-1),"ابنیه",HLOOKUP(D149,'نمودار ابنیه'!$B$5:$AD$6,2,FALSE),"مکانیکی",HLOOKUP(D149,'نمودار مکانیکی'!$B$5:$AJ$6,2,FALSE),"برقی",HLOOKUP(D149,'نمودار تاسیسات برقی'!$B$5:$AK$6,2,FALSE),"خطوط",HLOOKUP(D149,'نمودار خطوط انتقال '!$B$5:$R$6,2,FALSE),"شبکه",HLOOKUP(D149,'نمودار شبکه توزیع آ'!$B$5:$O$6,2,FALSE),"سد",HLOOKUP(D149,'نمودار سدسازی'!$B$5:$P$6,2,FALSE),"فاضلاب",HLOOKUP(D149,'نمودار جمع‌آوری و ا'!$B$5:$S$6,2,FALSE),"تجهیزات",HLOOKUP(D149,'نمودار تجهیزات آب و'!$B$5:$AG$6,2,FALSE),"پست",HLOOKUP(D149,'نمودار پست های انتق'!$B$5:$AH$6,2,FALSE),"نیرو",HLOOKUP(D149,'نمودار توزیع نیرو ب'!$B$5:$AE$6,2,FALSE),FALSE)</f>
        <v>0</v>
      </c>
      <c r="D149" s="23" t="s">
        <v>203</v>
      </c>
      <c r="E149" s="15"/>
      <c r="F149" s="24"/>
      <c r="G149" s="31">
        <v>332.4</v>
      </c>
      <c r="H149" s="31">
        <v>344.7</v>
      </c>
      <c r="I149" s="31">
        <v>359.7</v>
      </c>
      <c r="J149" s="31">
        <v>374</v>
      </c>
      <c r="K149" s="31">
        <v>409.5</v>
      </c>
      <c r="L149" s="31">
        <v>432.3</v>
      </c>
      <c r="M149" s="31">
        <v>473</v>
      </c>
      <c r="N149" s="31">
        <v>492.1</v>
      </c>
      <c r="O149" s="31">
        <v>542.5</v>
      </c>
      <c r="P149" s="31">
        <v>555.6</v>
      </c>
      <c r="Q149" s="31">
        <v>566.70000000000005</v>
      </c>
      <c r="R149" s="31">
        <v>578</v>
      </c>
      <c r="S149" s="31">
        <v>651.6</v>
      </c>
      <c r="T149" s="31">
        <v>664.4</v>
      </c>
      <c r="U149" s="31">
        <v>671.9</v>
      </c>
      <c r="V149" s="31">
        <v>679.2</v>
      </c>
      <c r="W149" s="31">
        <v>680</v>
      </c>
      <c r="X149" s="31">
        <v>681</v>
      </c>
      <c r="Y149" s="31">
        <v>682</v>
      </c>
      <c r="Z149" s="31">
        <v>683</v>
      </c>
      <c r="AA149" s="31">
        <v>684</v>
      </c>
      <c r="AB149" s="31">
        <v>685</v>
      </c>
      <c r="AC149" s="31">
        <v>686</v>
      </c>
      <c r="AD149" s="31">
        <v>687</v>
      </c>
      <c r="AE149" s="31">
        <v>688</v>
      </c>
      <c r="AF149" s="31">
        <v>689</v>
      </c>
      <c r="AG149" s="31">
        <v>690</v>
      </c>
      <c r="AH149" s="31">
        <v>691</v>
      </c>
      <c r="AI149" s="31">
        <v>692</v>
      </c>
      <c r="AJ149" s="31">
        <v>693</v>
      </c>
      <c r="AK149" s="31">
        <v>694</v>
      </c>
      <c r="AL149" s="31">
        <v>695</v>
      </c>
      <c r="AM149" s="31">
        <v>695</v>
      </c>
      <c r="AN149" s="31">
        <v>696</v>
      </c>
      <c r="AO149" s="31">
        <v>697</v>
      </c>
      <c r="AP149" s="31">
        <v>698</v>
      </c>
      <c r="AQ149" s="31">
        <v>699</v>
      </c>
      <c r="AR149" s="31">
        <v>700</v>
      </c>
      <c r="AS149" s="31">
        <v>701</v>
      </c>
      <c r="AT149" s="31">
        <v>702</v>
      </c>
      <c r="AU149" s="31">
        <v>703</v>
      </c>
      <c r="AV149" s="31">
        <v>704</v>
      </c>
      <c r="AW149" s="31">
        <v>705</v>
      </c>
      <c r="AX149" s="31">
        <v>706</v>
      </c>
      <c r="AY149" s="31">
        <v>707</v>
      </c>
      <c r="AZ149" s="31">
        <v>708</v>
      </c>
      <c r="BA149" s="31">
        <v>709</v>
      </c>
      <c r="BB149" s="31">
        <v>710</v>
      </c>
      <c r="BC149" s="31">
        <v>711</v>
      </c>
      <c r="BD149" s="31">
        <v>712</v>
      </c>
      <c r="BE149" s="31">
        <v>713</v>
      </c>
      <c r="BF149" s="31">
        <v>714</v>
      </c>
      <c r="BG149" s="31">
        <v>714</v>
      </c>
      <c r="BH149" s="31">
        <v>714</v>
      </c>
      <c r="BI149" s="31">
        <v>715</v>
      </c>
      <c r="BJ149" s="31">
        <v>716</v>
      </c>
      <c r="BK149" s="31">
        <v>717</v>
      </c>
      <c r="BL149" s="31">
        <v>718</v>
      </c>
    </row>
    <row r="150" spans="1:64" ht="20" customHeight="1">
      <c r="A150" s="68">
        <v>146</v>
      </c>
      <c r="B150" s="69" t="s">
        <v>202</v>
      </c>
      <c r="C150" s="70" t="b">
        <f t="array" ref="C150">_xlfn.SWITCH(LEFT(B150,FIND("|",B150)-1),"ابنیه",HLOOKUP(D150,'نمودار ابنیه'!$B$5:$AD$6,2,FALSE),"مکانیکی",HLOOKUP(D150,'نمودار مکانیکی'!$B$5:$AJ$6,2,FALSE),"برقی",HLOOKUP(D150,'نمودار تاسیسات برقی'!$B$5:$AK$6,2,FALSE),"خطوط",HLOOKUP(D150,'نمودار خطوط انتقال '!$B$5:$R$6,2,FALSE),"شبکه",HLOOKUP(D150,'نمودار شبکه توزیع آ'!$B$5:$O$6,2,FALSE),"سد",HLOOKUP(D150,'نمودار سدسازی'!$B$5:$P$6,2,FALSE),"فاضلاب",HLOOKUP(D150,'نمودار جمع‌آوری و ا'!$B$5:$S$6,2,FALSE),"تجهیزات",HLOOKUP(D150,'نمودار تجهیزات آب و'!$B$5:$AG$6,2,FALSE),"پست",HLOOKUP(D150,'نمودار پست های انتق'!$B$5:$AH$6,2,FALSE),"نیرو",HLOOKUP(D150,'نمودار توزیع نیرو ب'!$B$5:$AE$6,2,FALSE),FALSE)</f>
        <v>1</v>
      </c>
      <c r="D150" s="71" t="s">
        <v>204</v>
      </c>
      <c r="E150" s="15"/>
      <c r="F150" s="72"/>
      <c r="G150" s="73">
        <v>328.3</v>
      </c>
      <c r="H150" s="73">
        <v>340.8</v>
      </c>
      <c r="I150" s="73">
        <v>355.3</v>
      </c>
      <c r="J150" s="73">
        <v>370.5</v>
      </c>
      <c r="K150" s="73">
        <v>406</v>
      </c>
      <c r="L150" s="73">
        <v>428</v>
      </c>
      <c r="M150" s="73">
        <v>467.8</v>
      </c>
      <c r="N150" s="73">
        <v>487.3</v>
      </c>
      <c r="O150" s="73">
        <v>536.9</v>
      </c>
      <c r="P150" s="73">
        <v>550.1</v>
      </c>
      <c r="Q150" s="73">
        <v>561.29999999999995</v>
      </c>
      <c r="R150" s="73">
        <v>572.29999999999995</v>
      </c>
      <c r="S150" s="73">
        <v>643.4</v>
      </c>
      <c r="T150" s="73">
        <v>656.5</v>
      </c>
      <c r="U150" s="73">
        <v>664.8</v>
      </c>
      <c r="V150" s="73">
        <v>670.9</v>
      </c>
      <c r="W150" s="73">
        <v>720</v>
      </c>
      <c r="X150" s="73">
        <v>725.8</v>
      </c>
      <c r="Y150" s="73">
        <v>730.8</v>
      </c>
      <c r="Z150" s="73">
        <v>732.9</v>
      </c>
      <c r="AA150" s="73">
        <v>776</v>
      </c>
      <c r="AB150" s="73">
        <v>784.1</v>
      </c>
      <c r="AC150" s="73">
        <v>790.6</v>
      </c>
      <c r="AD150" s="73">
        <v>797.1</v>
      </c>
      <c r="AE150" s="73">
        <v>852.4</v>
      </c>
      <c r="AF150" s="73">
        <v>857</v>
      </c>
      <c r="AG150" s="73">
        <v>875.3</v>
      </c>
      <c r="AH150" s="73">
        <v>883.3</v>
      </c>
      <c r="AI150" s="73">
        <v>995.4</v>
      </c>
      <c r="AJ150" s="73">
        <v>1089.3</v>
      </c>
      <c r="AK150" s="73">
        <v>1136</v>
      </c>
      <c r="AL150" s="73">
        <v>1171.5999999999999</v>
      </c>
      <c r="AM150" s="73">
        <v>1193.3</v>
      </c>
      <c r="AN150" s="73">
        <v>1254.0999999999999</v>
      </c>
      <c r="AO150" s="73">
        <v>1474</v>
      </c>
      <c r="AP150" s="73">
        <v>1558.1</v>
      </c>
      <c r="AQ150" s="73">
        <v>1641.3</v>
      </c>
      <c r="AR150" s="73">
        <v>1715.7</v>
      </c>
      <c r="AS150" s="73">
        <v>2068.4</v>
      </c>
      <c r="AT150" s="73">
        <v>2376.5</v>
      </c>
      <c r="AU150" s="73">
        <v>2449.1</v>
      </c>
      <c r="AV150" s="73">
        <v>2608.3000000000002</v>
      </c>
      <c r="AW150" s="73">
        <v>2860.3</v>
      </c>
      <c r="AX150" s="73">
        <v>3010.6</v>
      </c>
      <c r="AY150" s="73">
        <v>3882.2</v>
      </c>
      <c r="AZ150" s="73">
        <v>4190.3</v>
      </c>
      <c r="BA150" s="73">
        <v>4238</v>
      </c>
      <c r="BB150" s="73">
        <v>4365.3</v>
      </c>
      <c r="BC150" s="73">
        <v>5465.6</v>
      </c>
      <c r="BD150" s="73">
        <v>5630.3</v>
      </c>
      <c r="BE150" s="73">
        <v>6033.9</v>
      </c>
      <c r="BF150" s="73">
        <v>6367.9</v>
      </c>
      <c r="BG150" s="73">
        <v>6371.8</v>
      </c>
      <c r="BH150" s="73">
        <v>6375.1</v>
      </c>
      <c r="BI150" s="73">
        <v>7704.4</v>
      </c>
      <c r="BJ150" s="73">
        <v>8075.9</v>
      </c>
      <c r="BK150" s="73">
        <v>8251.2999999999993</v>
      </c>
      <c r="BL150" s="73">
        <v>8483.7999999999993</v>
      </c>
    </row>
    <row r="151" spans="1:64" ht="20" customHeight="1">
      <c r="A151" s="25">
        <v>147</v>
      </c>
      <c r="B151" s="26" t="s">
        <v>202</v>
      </c>
      <c r="C151" s="27" t="b">
        <f t="array" ref="C151">_xlfn.SWITCH(LEFT(B151,FIND("|",B151)-1),"ابنیه",HLOOKUP(D151,'نمودار ابنیه'!$B$5:$AD$6,2,FALSE),"مکانیکی",HLOOKUP(D151,'نمودار مکانیکی'!$B$5:$AJ$6,2,FALSE),"برقی",HLOOKUP(D151,'نمودار تاسیسات برقی'!$B$5:$AK$6,2,FALSE),"خطوط",HLOOKUP(D151,'نمودار خطوط انتقال '!$B$5:$R$6,2,FALSE),"شبکه",HLOOKUP(D151,'نمودار شبکه توزیع آ'!$B$5:$O$6,2,FALSE),"سد",HLOOKUP(D151,'نمودار سدسازی'!$B$5:$P$6,2,FALSE),"فاضلاب",HLOOKUP(D151,'نمودار جمع‌آوری و ا'!$B$5:$S$6,2,FALSE),"تجهیزات",HLOOKUP(D151,'نمودار تجهیزات آب و'!$B$5:$AG$6,2,FALSE),"پست",HLOOKUP(D151,'نمودار پست های انتق'!$B$5:$AH$6,2,FALSE),"نیرو",HLOOKUP(D151,'نمودار توزیع نیرو ب'!$B$5:$AE$6,2,FALSE),FALSE)</f>
        <v>1</v>
      </c>
      <c r="D151" s="28" t="s">
        <v>205</v>
      </c>
      <c r="E151" s="15"/>
      <c r="F151" s="29"/>
      <c r="G151" s="32">
        <v>329.6</v>
      </c>
      <c r="H151" s="32">
        <v>341.9</v>
      </c>
      <c r="I151" s="32">
        <v>357.6</v>
      </c>
      <c r="J151" s="32">
        <v>372.2</v>
      </c>
      <c r="K151" s="32">
        <v>404.8</v>
      </c>
      <c r="L151" s="32">
        <v>429.1</v>
      </c>
      <c r="M151" s="32">
        <v>470.5</v>
      </c>
      <c r="N151" s="32">
        <v>490</v>
      </c>
      <c r="O151" s="32">
        <v>536.1</v>
      </c>
      <c r="P151" s="32">
        <v>548.9</v>
      </c>
      <c r="Q151" s="32">
        <v>559.1</v>
      </c>
      <c r="R151" s="32">
        <v>569.5</v>
      </c>
      <c r="S151" s="32">
        <v>636.4</v>
      </c>
      <c r="T151" s="32">
        <v>648.70000000000005</v>
      </c>
      <c r="U151" s="32">
        <v>655</v>
      </c>
      <c r="V151" s="32">
        <v>661.8</v>
      </c>
      <c r="W151" s="32">
        <v>711.3</v>
      </c>
      <c r="X151" s="32">
        <v>715.8</v>
      </c>
      <c r="Y151" s="32">
        <v>718.2</v>
      </c>
      <c r="Z151" s="32">
        <v>720.1</v>
      </c>
      <c r="AA151" s="32">
        <v>762</v>
      </c>
      <c r="AB151" s="32">
        <v>769.2</v>
      </c>
      <c r="AC151" s="32">
        <v>776</v>
      </c>
      <c r="AD151" s="32">
        <v>782.8</v>
      </c>
      <c r="AE151" s="32">
        <v>838.5</v>
      </c>
      <c r="AF151" s="32">
        <v>840.3</v>
      </c>
      <c r="AG151" s="32">
        <v>859.3</v>
      </c>
      <c r="AH151" s="32">
        <v>866.9</v>
      </c>
      <c r="AI151" s="32">
        <v>973</v>
      </c>
      <c r="AJ151" s="32">
        <v>1067.9000000000001</v>
      </c>
      <c r="AK151" s="32">
        <v>1110.4000000000001</v>
      </c>
      <c r="AL151" s="32">
        <v>1149.5</v>
      </c>
      <c r="AM151" s="32">
        <v>1175.3</v>
      </c>
      <c r="AN151" s="32">
        <v>1234.2</v>
      </c>
      <c r="AO151" s="32">
        <v>1448.1</v>
      </c>
      <c r="AP151" s="32">
        <v>1533.2</v>
      </c>
      <c r="AQ151" s="32">
        <v>1601.9</v>
      </c>
      <c r="AR151" s="32">
        <v>1678.5</v>
      </c>
      <c r="AS151" s="32">
        <v>2006.7</v>
      </c>
      <c r="AT151" s="32">
        <v>2296.1</v>
      </c>
      <c r="AU151" s="32">
        <v>2370.6</v>
      </c>
      <c r="AV151" s="32">
        <v>2535</v>
      </c>
      <c r="AW151" s="32">
        <v>2801.1</v>
      </c>
      <c r="AX151" s="32">
        <v>2953.3</v>
      </c>
      <c r="AY151" s="32">
        <v>3816.6</v>
      </c>
      <c r="AZ151" s="32">
        <v>4107.1000000000004</v>
      </c>
      <c r="BA151" s="32">
        <v>4143.3999999999996</v>
      </c>
      <c r="BB151" s="32">
        <v>4256.6000000000004</v>
      </c>
      <c r="BC151" s="32">
        <v>5317.5</v>
      </c>
      <c r="BD151" s="32">
        <v>5469.5</v>
      </c>
      <c r="BE151" s="32">
        <v>5847.9</v>
      </c>
      <c r="BF151" s="32">
        <v>6181.7</v>
      </c>
      <c r="BG151" s="32">
        <v>6182.6</v>
      </c>
      <c r="BH151" s="32">
        <v>6183.3</v>
      </c>
      <c r="BI151" s="32">
        <v>7467.4</v>
      </c>
      <c r="BJ151" s="32">
        <v>7807</v>
      </c>
      <c r="BK151" s="32">
        <v>7952.1</v>
      </c>
      <c r="BL151" s="32">
        <v>8197.2999999999993</v>
      </c>
    </row>
    <row r="152" spans="1:64" ht="20" customHeight="1">
      <c r="A152" s="68">
        <v>148</v>
      </c>
      <c r="B152" s="69" t="s">
        <v>202</v>
      </c>
      <c r="C152" s="70" t="b">
        <f t="array" ref="C152">_xlfn.SWITCH(LEFT(B152,FIND("|",B152)-1),"ابنیه",HLOOKUP(D152,'نمودار ابنیه'!$B$5:$AD$6,2,FALSE),"مکانیکی",HLOOKUP(D152,'نمودار مکانیکی'!$B$5:$AJ$6,2,FALSE),"برقی",HLOOKUP(D152,'نمودار تاسیسات برقی'!$B$5:$AK$6,2,FALSE),"خطوط",HLOOKUP(D152,'نمودار خطوط انتقال '!$B$5:$R$6,2,FALSE),"شبکه",HLOOKUP(D152,'نمودار شبکه توزیع آ'!$B$5:$O$6,2,FALSE),"سد",HLOOKUP(D152,'نمودار سدسازی'!$B$5:$P$6,2,FALSE),"فاضلاب",HLOOKUP(D152,'نمودار جمع‌آوری و ا'!$B$5:$S$6,2,FALSE),"تجهیزات",HLOOKUP(D152,'نمودار تجهیزات آب و'!$B$5:$AG$6,2,FALSE),"پست",HLOOKUP(D152,'نمودار پست های انتق'!$B$5:$AH$6,2,FALSE),"نیرو",HLOOKUP(D152,'نمودار توزیع نیرو ب'!$B$5:$AE$6,2,FALSE),FALSE)</f>
        <v>1</v>
      </c>
      <c r="D152" s="71" t="s">
        <v>206</v>
      </c>
      <c r="E152" s="15"/>
      <c r="F152" s="72"/>
      <c r="G152" s="73">
        <v>336.5</v>
      </c>
      <c r="H152" s="73">
        <v>349.5</v>
      </c>
      <c r="I152" s="73">
        <v>365.9</v>
      </c>
      <c r="J152" s="73">
        <v>381.2</v>
      </c>
      <c r="K152" s="73">
        <v>416.4</v>
      </c>
      <c r="L152" s="73">
        <v>440.4</v>
      </c>
      <c r="M152" s="73">
        <v>484.2</v>
      </c>
      <c r="N152" s="73">
        <v>504.7</v>
      </c>
      <c r="O152" s="73">
        <v>554.79999999999995</v>
      </c>
      <c r="P152" s="73">
        <v>568.4</v>
      </c>
      <c r="Q152" s="73">
        <v>579.29999999999995</v>
      </c>
      <c r="R152" s="73">
        <v>590.5</v>
      </c>
      <c r="S152" s="73">
        <v>663.5</v>
      </c>
      <c r="T152" s="73">
        <v>676.6</v>
      </c>
      <c r="U152" s="73">
        <v>683.5</v>
      </c>
      <c r="V152" s="73">
        <v>691</v>
      </c>
      <c r="W152" s="73">
        <v>745.5</v>
      </c>
      <c r="X152" s="73">
        <v>750.3</v>
      </c>
      <c r="Y152" s="73">
        <v>752.9</v>
      </c>
      <c r="Z152" s="73">
        <v>755.1</v>
      </c>
      <c r="AA152" s="73">
        <v>801.2</v>
      </c>
      <c r="AB152" s="73">
        <v>808.9</v>
      </c>
      <c r="AC152" s="73">
        <v>816.3</v>
      </c>
      <c r="AD152" s="73">
        <v>823.7</v>
      </c>
      <c r="AE152" s="73">
        <v>882.6</v>
      </c>
      <c r="AF152" s="73">
        <v>884.5</v>
      </c>
      <c r="AG152" s="73">
        <v>904.7</v>
      </c>
      <c r="AH152" s="73">
        <v>913</v>
      </c>
      <c r="AI152" s="73">
        <v>1029</v>
      </c>
      <c r="AJ152" s="73">
        <v>1128.5</v>
      </c>
      <c r="AK152" s="73">
        <v>1172.0999999999999</v>
      </c>
      <c r="AL152" s="73">
        <v>1212.7</v>
      </c>
      <c r="AM152" s="73">
        <v>1232.0999999999999</v>
      </c>
      <c r="AN152" s="73">
        <v>1291.4000000000001</v>
      </c>
      <c r="AO152" s="73">
        <v>1525.1</v>
      </c>
      <c r="AP152" s="73">
        <v>1615.5</v>
      </c>
      <c r="AQ152" s="73">
        <v>1685.7</v>
      </c>
      <c r="AR152" s="73">
        <v>1766.1</v>
      </c>
      <c r="AS152" s="73">
        <v>2117.5</v>
      </c>
      <c r="AT152" s="73">
        <v>2419.1999999999998</v>
      </c>
      <c r="AU152" s="73">
        <v>2496.1</v>
      </c>
      <c r="AV152" s="73">
        <v>2658.5</v>
      </c>
      <c r="AW152" s="73">
        <v>2927.4</v>
      </c>
      <c r="AX152" s="73">
        <v>3086.1</v>
      </c>
      <c r="AY152" s="73">
        <v>4004.2</v>
      </c>
      <c r="AZ152" s="73">
        <v>4296.8999999999996</v>
      </c>
      <c r="BA152" s="73">
        <v>4331.6000000000004</v>
      </c>
      <c r="BB152" s="73">
        <v>4447.7</v>
      </c>
      <c r="BC152" s="73">
        <v>5580.9</v>
      </c>
      <c r="BD152" s="73">
        <v>5737.7</v>
      </c>
      <c r="BE152" s="73">
        <v>6137</v>
      </c>
      <c r="BF152" s="73">
        <v>6488.6</v>
      </c>
      <c r="BG152" s="73">
        <v>6489.3</v>
      </c>
      <c r="BH152" s="73">
        <v>6489.8</v>
      </c>
      <c r="BI152" s="73">
        <v>7858.2</v>
      </c>
      <c r="BJ152" s="73">
        <v>8213.7999999999993</v>
      </c>
      <c r="BK152" s="73">
        <v>8343.6</v>
      </c>
      <c r="BL152" s="73">
        <v>8598</v>
      </c>
    </row>
    <row r="153" spans="1:64" ht="20" customHeight="1">
      <c r="A153" s="25">
        <v>149</v>
      </c>
      <c r="B153" s="26" t="s">
        <v>202</v>
      </c>
      <c r="C153" s="27" t="b">
        <f t="array" ref="C153">_xlfn.SWITCH(LEFT(B153,FIND("|",B153)-1),"ابنیه",HLOOKUP(D153,'نمودار ابنیه'!$B$5:$AD$6,2,FALSE),"مکانیکی",HLOOKUP(D153,'نمودار مکانیکی'!$B$5:$AJ$6,2,FALSE),"برقی",HLOOKUP(D153,'نمودار تاسیسات برقی'!$B$5:$AK$6,2,FALSE),"خطوط",HLOOKUP(D153,'نمودار خطوط انتقال '!$B$5:$R$6,2,FALSE),"شبکه",HLOOKUP(D153,'نمودار شبکه توزیع آ'!$B$5:$O$6,2,FALSE),"سد",HLOOKUP(D153,'نمودار سدسازی'!$B$5:$P$6,2,FALSE),"فاضلاب",HLOOKUP(D153,'نمودار جمع‌آوری و ا'!$B$5:$S$6,2,FALSE),"تجهیزات",HLOOKUP(D153,'نمودار تجهیزات آب و'!$B$5:$AG$6,2,FALSE),"پست",HLOOKUP(D153,'نمودار پست های انتق'!$B$5:$AH$6,2,FALSE),"نیرو",HLOOKUP(D153,'نمودار توزیع نیرو ب'!$B$5:$AE$6,2,FALSE),FALSE)</f>
        <v>1</v>
      </c>
      <c r="D153" s="28" t="s">
        <v>207</v>
      </c>
      <c r="E153" s="15"/>
      <c r="F153" s="29"/>
      <c r="G153" s="32">
        <v>312.3</v>
      </c>
      <c r="H153" s="32">
        <v>322.60000000000002</v>
      </c>
      <c r="I153" s="32">
        <v>334.4</v>
      </c>
      <c r="J153" s="32">
        <v>349.9</v>
      </c>
      <c r="K153" s="32">
        <v>390.9</v>
      </c>
      <c r="L153" s="32">
        <v>418.4</v>
      </c>
      <c r="M153" s="32">
        <v>456.4</v>
      </c>
      <c r="N153" s="32">
        <v>472.3</v>
      </c>
      <c r="O153" s="32">
        <v>521.79999999999995</v>
      </c>
      <c r="P153" s="32">
        <v>533</v>
      </c>
      <c r="Q153" s="32">
        <v>542.1</v>
      </c>
      <c r="R153" s="32">
        <v>548</v>
      </c>
      <c r="S153" s="32">
        <v>616.70000000000005</v>
      </c>
      <c r="T153" s="32">
        <v>625.4</v>
      </c>
      <c r="U153" s="32">
        <v>633.4</v>
      </c>
      <c r="V153" s="32">
        <v>637.5</v>
      </c>
      <c r="W153" s="32">
        <v>677.8</v>
      </c>
      <c r="X153" s="32">
        <v>680.6</v>
      </c>
      <c r="Y153" s="32">
        <v>681.5</v>
      </c>
      <c r="Z153" s="32">
        <v>680.7</v>
      </c>
      <c r="AA153" s="32">
        <v>727.1</v>
      </c>
      <c r="AB153" s="32">
        <v>735</v>
      </c>
      <c r="AC153" s="32">
        <v>743.7</v>
      </c>
      <c r="AD153" s="32">
        <v>752.4</v>
      </c>
      <c r="AE153" s="32">
        <v>806.2</v>
      </c>
      <c r="AF153" s="32">
        <v>824.9</v>
      </c>
      <c r="AG153" s="32">
        <v>846.9</v>
      </c>
      <c r="AH153" s="32">
        <v>854.8</v>
      </c>
      <c r="AI153" s="32">
        <v>978.1</v>
      </c>
      <c r="AJ153" s="32">
        <v>1054.9000000000001</v>
      </c>
      <c r="AK153" s="32">
        <v>1128.7</v>
      </c>
      <c r="AL153" s="32">
        <v>1154.0999999999999</v>
      </c>
      <c r="AM153" s="32">
        <v>1178.7</v>
      </c>
      <c r="AN153" s="32">
        <v>1215.3</v>
      </c>
      <c r="AO153" s="32">
        <v>1442.9</v>
      </c>
      <c r="AP153" s="32">
        <v>1499.3</v>
      </c>
      <c r="AQ153" s="32">
        <v>1546.6</v>
      </c>
      <c r="AR153" s="32">
        <v>1635.7</v>
      </c>
      <c r="AS153" s="32">
        <v>1965</v>
      </c>
      <c r="AT153" s="32">
        <v>2302</v>
      </c>
      <c r="AU153" s="32">
        <v>2402.3000000000002</v>
      </c>
      <c r="AV153" s="32">
        <v>2502.1</v>
      </c>
      <c r="AW153" s="32">
        <v>2720.1</v>
      </c>
      <c r="AX153" s="32">
        <v>2872.2</v>
      </c>
      <c r="AY153" s="32">
        <v>3629.9</v>
      </c>
      <c r="AZ153" s="32">
        <v>3885.7</v>
      </c>
      <c r="BA153" s="32">
        <v>3905.8</v>
      </c>
      <c r="BB153" s="32">
        <v>3971.1</v>
      </c>
      <c r="BC153" s="32">
        <v>4929</v>
      </c>
      <c r="BD153" s="32">
        <v>4992.3</v>
      </c>
      <c r="BE153" s="32">
        <v>5282.1</v>
      </c>
      <c r="BF153" s="32">
        <v>5656.6</v>
      </c>
      <c r="BG153" s="32">
        <v>5764.2</v>
      </c>
      <c r="BH153" s="32">
        <v>5944.9</v>
      </c>
      <c r="BI153" s="32">
        <v>984.2</v>
      </c>
      <c r="BJ153" s="32">
        <v>7169.9</v>
      </c>
      <c r="BK153" s="32">
        <v>7261.9</v>
      </c>
      <c r="BL153" s="32">
        <v>7481.8</v>
      </c>
    </row>
    <row r="154" spans="1:64" ht="20" customHeight="1">
      <c r="A154" s="68">
        <v>150</v>
      </c>
      <c r="B154" s="69" t="s">
        <v>202</v>
      </c>
      <c r="C154" s="70" t="b">
        <f t="array" ref="C154">_xlfn.SWITCH(LEFT(B154,FIND("|",B154)-1),"ابنیه",HLOOKUP(D154,'نمودار ابنیه'!$B$5:$AD$6,2,FALSE),"مکانیکی",HLOOKUP(D154,'نمودار مکانیکی'!$B$5:$AJ$6,2,FALSE),"برقی",HLOOKUP(D154,'نمودار تاسیسات برقی'!$B$5:$AK$6,2,FALSE),"خطوط",HLOOKUP(D154,'نمودار خطوط انتقال '!$B$5:$R$6,2,FALSE),"شبکه",HLOOKUP(D154,'نمودار شبکه توزیع آ'!$B$5:$O$6,2,FALSE),"سد",HLOOKUP(D154,'نمودار سدسازی'!$B$5:$P$6,2,FALSE),"فاضلاب",HLOOKUP(D154,'نمودار جمع‌آوری و ا'!$B$5:$S$6,2,FALSE),"تجهیزات",HLOOKUP(D154,'نمودار تجهیزات آب و'!$B$5:$AG$6,2,FALSE),"پست",HLOOKUP(D154,'نمودار پست های انتق'!$B$5:$AH$6,2,FALSE),"نیرو",HLOOKUP(D154,'نمودار توزیع نیرو ب'!$B$5:$AE$6,2,FALSE),FALSE)</f>
        <v>0</v>
      </c>
      <c r="D154" s="71" t="s">
        <v>172</v>
      </c>
      <c r="E154" s="15"/>
      <c r="F154" s="72"/>
      <c r="G154" s="73">
        <v>334.7</v>
      </c>
      <c r="H154" s="73">
        <v>345.3</v>
      </c>
      <c r="I154" s="73">
        <v>356.1</v>
      </c>
      <c r="J154" s="73">
        <v>366.2</v>
      </c>
      <c r="K154" s="73">
        <v>404.1</v>
      </c>
      <c r="L154" s="73">
        <v>425</v>
      </c>
      <c r="M154" s="73">
        <v>458.4</v>
      </c>
      <c r="N154" s="73">
        <v>472.9</v>
      </c>
      <c r="O154" s="73">
        <v>528.4</v>
      </c>
      <c r="P154" s="73">
        <v>539.1</v>
      </c>
      <c r="Q154" s="73">
        <v>542.79999999999995</v>
      </c>
      <c r="R154" s="73">
        <v>553.29999999999995</v>
      </c>
      <c r="S154" s="73">
        <v>621.9</v>
      </c>
      <c r="T154" s="73">
        <v>634.1</v>
      </c>
      <c r="U154" s="73">
        <v>640.20000000000005</v>
      </c>
      <c r="V154" s="73">
        <v>647.4</v>
      </c>
      <c r="W154" s="73">
        <v>698.5</v>
      </c>
      <c r="X154" s="73">
        <v>703.1</v>
      </c>
      <c r="Y154" s="73">
        <v>705.7</v>
      </c>
      <c r="Z154" s="73">
        <v>707</v>
      </c>
      <c r="AA154" s="73">
        <v>750.1</v>
      </c>
      <c r="AB154" s="73">
        <v>757.2</v>
      </c>
      <c r="AC154" s="73">
        <v>764.3</v>
      </c>
      <c r="AD154" s="73">
        <v>771.3</v>
      </c>
      <c r="AE154" s="73">
        <v>826.8</v>
      </c>
      <c r="AF154" s="73">
        <v>828.4</v>
      </c>
      <c r="AG154" s="73">
        <v>846.9</v>
      </c>
      <c r="AH154" s="73">
        <v>854.6</v>
      </c>
      <c r="AI154" s="73">
        <v>963.1</v>
      </c>
      <c r="AJ154" s="73">
        <v>1056.3</v>
      </c>
      <c r="AK154" s="73">
        <v>1097.3</v>
      </c>
      <c r="AL154" s="73">
        <v>1134.9000000000001</v>
      </c>
      <c r="AM154" s="73">
        <v>1153.7</v>
      </c>
      <c r="AN154" s="73">
        <v>1208.4000000000001</v>
      </c>
      <c r="AO154" s="73">
        <v>1427.1</v>
      </c>
      <c r="AP154" s="73">
        <v>1511.7</v>
      </c>
      <c r="AQ154" s="73">
        <v>1577</v>
      </c>
      <c r="AR154" s="73">
        <v>1653.1</v>
      </c>
      <c r="AS154" s="73">
        <v>1982.1</v>
      </c>
      <c r="AT154" s="73">
        <v>2264.6999999999998</v>
      </c>
      <c r="AU154" s="73">
        <v>2335.8000000000002</v>
      </c>
      <c r="AV154" s="73">
        <v>2487.9</v>
      </c>
      <c r="AW154" s="73">
        <v>2740.8</v>
      </c>
      <c r="AX154" s="73">
        <v>2888</v>
      </c>
      <c r="AY154" s="73">
        <v>3745.7</v>
      </c>
      <c r="AZ154" s="73">
        <v>4020.1</v>
      </c>
      <c r="BA154" s="73">
        <v>4066</v>
      </c>
      <c r="BB154" s="73">
        <v>4173.2</v>
      </c>
      <c r="BC154" s="73">
        <v>5237.3999999999996</v>
      </c>
      <c r="BD154" s="73">
        <v>5383.4</v>
      </c>
      <c r="BE154" s="73">
        <v>5759</v>
      </c>
      <c r="BF154" s="73">
        <v>6088.7</v>
      </c>
      <c r="BG154" s="73">
        <v>6088.7</v>
      </c>
      <c r="BH154" s="73">
        <v>6088.7</v>
      </c>
      <c r="BI154" s="73">
        <v>7373.4</v>
      </c>
      <c r="BJ154" s="73">
        <v>7708.3</v>
      </c>
      <c r="BK154" s="73">
        <v>7830.1</v>
      </c>
      <c r="BL154" s="73">
        <v>8067.5</v>
      </c>
    </row>
    <row r="155" spans="1:64" ht="20" customHeight="1">
      <c r="A155" s="25">
        <v>151</v>
      </c>
      <c r="B155" s="26" t="s">
        <v>202</v>
      </c>
      <c r="C155" s="27" t="b">
        <f t="array" ref="C155">_xlfn.SWITCH(LEFT(B155,FIND("|",B155)-1),"ابنیه",HLOOKUP(D155,'نمودار ابنیه'!$B$5:$AD$6,2,FALSE),"مکانیکی",HLOOKUP(D155,'نمودار مکانیکی'!$B$5:$AJ$6,2,FALSE),"برقی",HLOOKUP(D155,'نمودار تاسیسات برقی'!$B$5:$AK$6,2,FALSE),"خطوط",HLOOKUP(D155,'نمودار خطوط انتقال '!$B$5:$R$6,2,FALSE),"شبکه",HLOOKUP(D155,'نمودار شبکه توزیع آ'!$B$5:$O$6,2,FALSE),"سد",HLOOKUP(D155,'نمودار سدسازی'!$B$5:$P$6,2,FALSE),"فاضلاب",HLOOKUP(D155,'نمودار جمع‌آوری و ا'!$B$5:$S$6,2,FALSE),"تجهیزات",HLOOKUP(D155,'نمودار تجهیزات آب و'!$B$5:$AG$6,2,FALSE),"پست",HLOOKUP(D155,'نمودار پست های انتق'!$B$5:$AH$6,2,FALSE),"نیرو",HLOOKUP(D155,'نمودار توزیع نیرو ب'!$B$5:$AE$6,2,FALSE),FALSE)</f>
        <v>0</v>
      </c>
      <c r="D155" s="28" t="s">
        <v>208</v>
      </c>
      <c r="E155" s="15"/>
      <c r="F155" s="29"/>
      <c r="G155" s="32">
        <v>302.3</v>
      </c>
      <c r="H155" s="32">
        <v>315</v>
      </c>
      <c r="I155" s="32">
        <v>324.7</v>
      </c>
      <c r="J155" s="32">
        <v>339.4</v>
      </c>
      <c r="K155" s="32">
        <v>365.1</v>
      </c>
      <c r="L155" s="32">
        <v>389.7</v>
      </c>
      <c r="M155" s="32">
        <v>433</v>
      </c>
      <c r="N155" s="32">
        <v>446.6</v>
      </c>
      <c r="O155" s="32">
        <v>486.4</v>
      </c>
      <c r="P155" s="32">
        <v>498.3</v>
      </c>
      <c r="Q155" s="32">
        <v>510.9</v>
      </c>
      <c r="R155" s="32">
        <v>517.4</v>
      </c>
      <c r="S155" s="32">
        <v>569.5</v>
      </c>
      <c r="T155" s="32">
        <v>590.20000000000005</v>
      </c>
      <c r="U155" s="32">
        <v>594.20000000000005</v>
      </c>
      <c r="V155" s="32">
        <v>593.4</v>
      </c>
      <c r="W155" s="32">
        <v>621.29999999999995</v>
      </c>
      <c r="X155" s="32">
        <v>623.9</v>
      </c>
      <c r="Y155" s="32">
        <v>619.70000000000005</v>
      </c>
      <c r="Z155" s="32">
        <v>618.4</v>
      </c>
      <c r="AA155" s="32">
        <v>658.9</v>
      </c>
      <c r="AB155" s="32">
        <v>664.8</v>
      </c>
      <c r="AC155" s="32">
        <v>682</v>
      </c>
      <c r="AD155" s="32">
        <v>689.5</v>
      </c>
      <c r="AE155" s="32">
        <v>737.3</v>
      </c>
      <c r="AF155" s="32">
        <v>752.1</v>
      </c>
      <c r="AG155" s="32">
        <v>769.1</v>
      </c>
      <c r="AH155" s="32">
        <v>780.2</v>
      </c>
      <c r="AI155" s="32">
        <v>877</v>
      </c>
      <c r="AJ155" s="32">
        <v>945.7</v>
      </c>
      <c r="AK155" s="32">
        <v>1004.5</v>
      </c>
      <c r="AL155" s="32">
        <v>1026.4000000000001</v>
      </c>
      <c r="AM155" s="32">
        <v>1064.0999999999999</v>
      </c>
      <c r="AN155" s="32">
        <v>1087.3</v>
      </c>
      <c r="AO155" s="32">
        <v>1269.5</v>
      </c>
      <c r="AP155" s="32">
        <v>1339.6</v>
      </c>
      <c r="AQ155" s="32">
        <v>1390.2</v>
      </c>
      <c r="AR155" s="32">
        <v>1482.4</v>
      </c>
      <c r="AS155" s="32">
        <v>1769.7</v>
      </c>
      <c r="AT155" s="32">
        <v>2085.5</v>
      </c>
      <c r="AU155" s="32">
        <v>2189.4</v>
      </c>
      <c r="AV155" s="32">
        <v>2305</v>
      </c>
      <c r="AW155" s="32">
        <v>2593.6</v>
      </c>
      <c r="AX155" s="32">
        <v>2725.1</v>
      </c>
      <c r="AY155" s="32">
        <v>3400</v>
      </c>
      <c r="AZ155" s="32">
        <v>3756.2</v>
      </c>
      <c r="BA155" s="32">
        <v>3795.8</v>
      </c>
      <c r="BB155" s="32">
        <v>3827</v>
      </c>
      <c r="BC155" s="32">
        <v>4638.3</v>
      </c>
      <c r="BD155" s="32">
        <v>4673.3</v>
      </c>
      <c r="BE155" s="32">
        <v>4977</v>
      </c>
      <c r="BF155" s="32">
        <v>5380.4</v>
      </c>
      <c r="BG155" s="32">
        <v>5472.4</v>
      </c>
      <c r="BH155" s="32">
        <v>5742.4</v>
      </c>
      <c r="BI155" s="32">
        <v>6682.3</v>
      </c>
      <c r="BJ155" s="32">
        <v>6775</v>
      </c>
      <c r="BK155" s="32">
        <v>6969.4</v>
      </c>
      <c r="BL155" s="32">
        <v>7175.5</v>
      </c>
    </row>
    <row r="156" spans="1:64" ht="20" customHeight="1">
      <c r="A156" s="68">
        <v>152</v>
      </c>
      <c r="B156" s="69" t="s">
        <v>202</v>
      </c>
      <c r="C156" s="70" t="b">
        <f t="array" ref="C156">_xlfn.SWITCH(LEFT(B156,FIND("|",B156)-1),"ابنیه",HLOOKUP(D156,'نمودار ابنیه'!$B$5:$AD$6,2,FALSE),"مکانیکی",HLOOKUP(D156,'نمودار مکانیکی'!$B$5:$AJ$6,2,FALSE),"برقی",HLOOKUP(D156,'نمودار تاسیسات برقی'!$B$5:$AK$6,2,FALSE),"خطوط",HLOOKUP(D156,'نمودار خطوط انتقال '!$B$5:$R$6,2,FALSE),"شبکه",HLOOKUP(D156,'نمودار شبکه توزیع آ'!$B$5:$O$6,2,FALSE),"سد",HLOOKUP(D156,'نمودار سدسازی'!$B$5:$P$6,2,FALSE),"فاضلاب",HLOOKUP(D156,'نمودار جمع‌آوری و ا'!$B$5:$S$6,2,FALSE),"تجهیزات",HLOOKUP(D156,'نمودار تجهیزات آب و'!$B$5:$AG$6,2,FALSE),"پست",HLOOKUP(D156,'نمودار پست های انتق'!$B$5:$AH$6,2,FALSE),"نیرو",HLOOKUP(D156,'نمودار توزیع نیرو ب'!$B$5:$AE$6,2,FALSE),FALSE)</f>
        <v>0</v>
      </c>
      <c r="D156" s="71" t="s">
        <v>176</v>
      </c>
      <c r="E156" s="15"/>
      <c r="F156" s="72"/>
      <c r="G156" s="73">
        <v>337.2</v>
      </c>
      <c r="H156" s="73">
        <v>347.9</v>
      </c>
      <c r="I156" s="73">
        <v>361.4</v>
      </c>
      <c r="J156" s="73">
        <v>376.7</v>
      </c>
      <c r="K156" s="73">
        <v>412.4</v>
      </c>
      <c r="L156" s="73">
        <v>434.9</v>
      </c>
      <c r="M156" s="73">
        <v>470.1</v>
      </c>
      <c r="N156" s="73">
        <v>490.3</v>
      </c>
      <c r="O156" s="73">
        <v>538.29999999999995</v>
      </c>
      <c r="P156" s="73">
        <v>549</v>
      </c>
      <c r="Q156" s="73">
        <v>559</v>
      </c>
      <c r="R156" s="73">
        <v>571.6</v>
      </c>
      <c r="S156" s="73">
        <v>646.70000000000005</v>
      </c>
      <c r="T156" s="73">
        <v>660.2</v>
      </c>
      <c r="U156" s="73">
        <v>669.7</v>
      </c>
      <c r="V156" s="73">
        <v>676.4</v>
      </c>
      <c r="W156" s="73">
        <v>726.8</v>
      </c>
      <c r="X156" s="73">
        <v>732</v>
      </c>
      <c r="Y156" s="73">
        <v>736.1</v>
      </c>
      <c r="Z156" s="73">
        <v>737.5</v>
      </c>
      <c r="AA156" s="73">
        <v>783</v>
      </c>
      <c r="AB156" s="73">
        <v>790.7</v>
      </c>
      <c r="AC156" s="73">
        <v>797.7</v>
      </c>
      <c r="AD156" s="73">
        <v>804.7</v>
      </c>
      <c r="AE156" s="73">
        <v>863.8</v>
      </c>
      <c r="AF156" s="73">
        <v>867.6</v>
      </c>
      <c r="AG156" s="73">
        <v>885.1</v>
      </c>
      <c r="AH156" s="73">
        <v>894.5</v>
      </c>
      <c r="AI156" s="73">
        <v>1013.3</v>
      </c>
      <c r="AJ156" s="73">
        <v>1098.4000000000001</v>
      </c>
      <c r="AK156" s="73">
        <v>1137.5</v>
      </c>
      <c r="AL156" s="73">
        <v>1170.4000000000001</v>
      </c>
      <c r="AM156" s="73">
        <v>1188.7</v>
      </c>
      <c r="AN156" s="73">
        <v>1220</v>
      </c>
      <c r="AO156" s="73">
        <v>1450.6</v>
      </c>
      <c r="AP156" s="73">
        <v>1530</v>
      </c>
      <c r="AQ156" s="73">
        <v>1602.1</v>
      </c>
      <c r="AR156" s="73">
        <v>1669.2</v>
      </c>
      <c r="AS156" s="73">
        <v>2035.3</v>
      </c>
      <c r="AT156" s="73">
        <v>2309.3000000000002</v>
      </c>
      <c r="AU156" s="73">
        <v>2387.8000000000002</v>
      </c>
      <c r="AV156" s="73">
        <v>2522.5</v>
      </c>
      <c r="AW156" s="73">
        <v>2741.9</v>
      </c>
      <c r="AX156" s="73">
        <v>2880.1</v>
      </c>
      <c r="AY156" s="73">
        <v>3729.5</v>
      </c>
      <c r="AZ156" s="73">
        <v>3983.6</v>
      </c>
      <c r="BA156" s="73">
        <v>4049</v>
      </c>
      <c r="BB156" s="73">
        <v>4142</v>
      </c>
      <c r="BC156" s="73">
        <v>5168</v>
      </c>
      <c r="BD156" s="73">
        <v>5315.9</v>
      </c>
      <c r="BE156" s="73">
        <v>5726.2</v>
      </c>
      <c r="BF156" s="73">
        <v>6055</v>
      </c>
      <c r="BG156" s="73">
        <v>6059.5</v>
      </c>
      <c r="BH156" s="73">
        <v>6090.4</v>
      </c>
      <c r="BI156" s="73">
        <v>7339.7</v>
      </c>
      <c r="BJ156" s="73">
        <v>7672.3</v>
      </c>
      <c r="BK156" s="73">
        <v>7861.3</v>
      </c>
      <c r="BL156" s="73">
        <v>8073.1</v>
      </c>
    </row>
    <row r="157" spans="1:64" ht="20" customHeight="1">
      <c r="A157" s="25">
        <v>153</v>
      </c>
      <c r="B157" s="26" t="s">
        <v>202</v>
      </c>
      <c r="C157" s="27" t="b">
        <f t="array" ref="C157">_xlfn.SWITCH(LEFT(B157,FIND("|",B157)-1),"ابنیه",HLOOKUP(D157,'نمودار ابنیه'!$B$5:$AD$6,2,FALSE),"مکانیکی",HLOOKUP(D157,'نمودار مکانیکی'!$B$5:$AJ$6,2,FALSE),"برقی",HLOOKUP(D157,'نمودار تاسیسات برقی'!$B$5:$AK$6,2,FALSE),"خطوط",HLOOKUP(D157,'نمودار خطوط انتقال '!$B$5:$R$6,2,FALSE),"شبکه",HLOOKUP(D157,'نمودار شبکه توزیع آ'!$B$5:$O$6,2,FALSE),"سد",HLOOKUP(D157,'نمودار سدسازی'!$B$5:$P$6,2,FALSE),"فاضلاب",HLOOKUP(D157,'نمودار جمع‌آوری و ا'!$B$5:$S$6,2,FALSE),"تجهیزات",HLOOKUP(D157,'نمودار تجهیزات آب و'!$B$5:$AG$6,2,FALSE),"پست",HLOOKUP(D157,'نمودار پست های انتق'!$B$5:$AH$6,2,FALSE),"نیرو",HLOOKUP(D157,'نمودار توزیع نیرو ب'!$B$5:$AE$6,2,FALSE),FALSE)</f>
        <v>0</v>
      </c>
      <c r="D157" s="28" t="s">
        <v>177</v>
      </c>
      <c r="E157" s="15"/>
      <c r="F157" s="29"/>
      <c r="G157" s="32">
        <v>314.89999999999998</v>
      </c>
      <c r="H157" s="32">
        <v>327.2</v>
      </c>
      <c r="I157" s="32">
        <v>354.7</v>
      </c>
      <c r="J157" s="32">
        <v>401.9</v>
      </c>
      <c r="K157" s="32">
        <v>443.4</v>
      </c>
      <c r="L157" s="32">
        <v>524.5</v>
      </c>
      <c r="M157" s="32">
        <v>624.9</v>
      </c>
      <c r="N157" s="32">
        <v>637.4</v>
      </c>
      <c r="O157" s="32">
        <v>643.6</v>
      </c>
      <c r="P157" s="32">
        <v>643.9</v>
      </c>
      <c r="Q157" s="32">
        <v>637.29999999999995</v>
      </c>
      <c r="R157" s="32">
        <v>611.5</v>
      </c>
      <c r="S157" s="32">
        <v>676.7</v>
      </c>
      <c r="T157" s="32">
        <v>666.6</v>
      </c>
      <c r="U157" s="32">
        <v>665.3</v>
      </c>
      <c r="V157" s="32">
        <v>633.4</v>
      </c>
      <c r="W157" s="32">
        <v>617</v>
      </c>
      <c r="X157" s="32">
        <v>606.9</v>
      </c>
      <c r="Y157" s="32">
        <v>565.20000000000005</v>
      </c>
      <c r="Z157" s="32">
        <v>540.70000000000005</v>
      </c>
      <c r="AA157" s="32">
        <v>604</v>
      </c>
      <c r="AB157" s="32">
        <v>603.9</v>
      </c>
      <c r="AC157" s="32">
        <v>624.9</v>
      </c>
      <c r="AD157" s="32">
        <v>617.29999999999995</v>
      </c>
      <c r="AE157" s="32">
        <v>631.5</v>
      </c>
      <c r="AF157" s="32">
        <v>722.1</v>
      </c>
      <c r="AG157" s="32">
        <v>756.9</v>
      </c>
      <c r="AH157" s="32">
        <v>787.1</v>
      </c>
      <c r="AI157" s="32">
        <v>951.1</v>
      </c>
      <c r="AJ157" s="32">
        <v>1072.9000000000001</v>
      </c>
      <c r="AK157" s="32">
        <v>1264.4000000000001</v>
      </c>
      <c r="AL157" s="32">
        <v>1392.5</v>
      </c>
      <c r="AM157" s="32">
        <v>1312.7</v>
      </c>
      <c r="AN157" s="32">
        <v>1335.1</v>
      </c>
      <c r="AO157" s="32">
        <v>1545</v>
      </c>
      <c r="AP157" s="32">
        <v>1432</v>
      </c>
      <c r="AQ157" s="32">
        <v>1478.8</v>
      </c>
      <c r="AR157" s="32">
        <v>1738.3</v>
      </c>
      <c r="AS157" s="32">
        <v>2036.8</v>
      </c>
      <c r="AT157" s="32">
        <v>2867.9</v>
      </c>
      <c r="AU157" s="32">
        <v>3080.6</v>
      </c>
      <c r="AV157" s="32">
        <v>3257.8</v>
      </c>
      <c r="AW157" s="32">
        <v>3524.9</v>
      </c>
      <c r="AX157" s="32">
        <v>3691.1</v>
      </c>
      <c r="AY157" s="32">
        <v>4075.3</v>
      </c>
      <c r="AZ157" s="32">
        <v>4648.8999999999996</v>
      </c>
      <c r="BA157" s="32">
        <v>4626.8</v>
      </c>
      <c r="BB157" s="32">
        <v>4601.8</v>
      </c>
      <c r="BC157" s="32">
        <v>5404.3</v>
      </c>
      <c r="BD157" s="32">
        <v>5103.3999999999996</v>
      </c>
      <c r="BE157" s="32">
        <v>5121.5</v>
      </c>
      <c r="BF157" s="32">
        <v>5867.4</v>
      </c>
      <c r="BG157" s="32">
        <v>6584.9</v>
      </c>
      <c r="BH157" s="32">
        <v>7669.6</v>
      </c>
      <c r="BI157" s="32">
        <v>7780.9</v>
      </c>
      <c r="BJ157" s="32">
        <v>7493.4</v>
      </c>
      <c r="BK157" s="32">
        <v>7147.6</v>
      </c>
      <c r="BL157" s="32">
        <v>7562.2</v>
      </c>
    </row>
    <row r="158" spans="1:64" ht="20" customHeight="1">
      <c r="A158" s="68">
        <v>154</v>
      </c>
      <c r="B158" s="69" t="s">
        <v>202</v>
      </c>
      <c r="C158" s="70" t="b">
        <f t="array" ref="C158">_xlfn.SWITCH(LEFT(B158,FIND("|",B158)-1),"ابنیه",HLOOKUP(D158,'نمودار ابنیه'!$B$5:$AD$6,2,FALSE),"مکانیکی",HLOOKUP(D158,'نمودار مکانیکی'!$B$5:$AJ$6,2,FALSE),"برقی",HLOOKUP(D158,'نمودار تاسیسات برقی'!$B$5:$AK$6,2,FALSE),"خطوط",HLOOKUP(D158,'نمودار خطوط انتقال '!$B$5:$R$6,2,FALSE),"شبکه",HLOOKUP(D158,'نمودار شبکه توزیع آ'!$B$5:$O$6,2,FALSE),"سد",HLOOKUP(D158,'نمودار سدسازی'!$B$5:$P$6,2,FALSE),"فاضلاب",HLOOKUP(D158,'نمودار جمع‌آوری و ا'!$B$5:$S$6,2,FALSE),"تجهیزات",HLOOKUP(D158,'نمودار تجهیزات آب و'!$B$5:$AG$6,2,FALSE),"پست",HLOOKUP(D158,'نمودار پست های انتق'!$B$5:$AH$6,2,FALSE),"نیرو",HLOOKUP(D158,'نمودار توزیع نیرو ب'!$B$5:$AE$6,2,FALSE),FALSE)</f>
        <v>0</v>
      </c>
      <c r="D158" s="71" t="s">
        <v>209</v>
      </c>
      <c r="E158" s="15"/>
      <c r="F158" s="72"/>
      <c r="G158" s="73">
        <v>331.3</v>
      </c>
      <c r="H158" s="73">
        <v>348.1</v>
      </c>
      <c r="I158" s="73">
        <v>367.8</v>
      </c>
      <c r="J158" s="73">
        <v>385.8</v>
      </c>
      <c r="K158" s="73">
        <v>417.9</v>
      </c>
      <c r="L158" s="73">
        <v>447</v>
      </c>
      <c r="M158" s="73">
        <v>502.4</v>
      </c>
      <c r="N158" s="73">
        <v>528</v>
      </c>
      <c r="O158" s="73">
        <v>574.1</v>
      </c>
      <c r="P158" s="73">
        <v>587.1</v>
      </c>
      <c r="Q158" s="73">
        <v>593.4</v>
      </c>
      <c r="R158" s="73">
        <v>602.1</v>
      </c>
      <c r="S158" s="73">
        <v>664.3</v>
      </c>
      <c r="T158" s="73">
        <v>676.6</v>
      </c>
      <c r="U158" s="73">
        <v>681.6</v>
      </c>
      <c r="V158" s="73">
        <v>687.6</v>
      </c>
      <c r="W158" s="73">
        <v>734.8</v>
      </c>
      <c r="X158" s="73">
        <v>739.4</v>
      </c>
      <c r="Y158" s="73">
        <v>739.6</v>
      </c>
      <c r="Z158" s="73">
        <v>738.5</v>
      </c>
      <c r="AA158" s="73">
        <v>779.7</v>
      </c>
      <c r="AB158" s="73">
        <v>786.4</v>
      </c>
      <c r="AC158" s="73">
        <v>795.5</v>
      </c>
      <c r="AD158" s="73">
        <v>803.2</v>
      </c>
      <c r="AE158" s="73">
        <v>855.5</v>
      </c>
      <c r="AF158" s="73">
        <v>861.3</v>
      </c>
      <c r="AG158" s="73">
        <v>885.8</v>
      </c>
      <c r="AH158" s="73">
        <v>894.9</v>
      </c>
      <c r="AI158" s="73">
        <v>998.2</v>
      </c>
      <c r="AJ158" s="73">
        <v>1113.5999999999999</v>
      </c>
      <c r="AK158" s="73">
        <v>1175.7</v>
      </c>
      <c r="AL158" s="73">
        <v>1229.2</v>
      </c>
      <c r="AM158" s="73">
        <v>1248.4000000000001</v>
      </c>
      <c r="AN158" s="73">
        <v>1319.5</v>
      </c>
      <c r="AO158" s="73">
        <v>1527.2</v>
      </c>
      <c r="AP158" s="73">
        <v>1619.4</v>
      </c>
      <c r="AQ158" s="73">
        <v>1704.1</v>
      </c>
      <c r="AR158" s="73">
        <v>1808.4</v>
      </c>
      <c r="AS158" s="73">
        <v>2140.9</v>
      </c>
      <c r="AT158" s="73">
        <v>2522.8000000000002</v>
      </c>
      <c r="AU158" s="73">
        <v>2634.4</v>
      </c>
      <c r="AV158" s="73">
        <v>2832</v>
      </c>
      <c r="AW158" s="73">
        <v>3119.9</v>
      </c>
      <c r="AX158" s="73">
        <v>3279.2</v>
      </c>
      <c r="AY158" s="73">
        <v>4196.5</v>
      </c>
      <c r="AZ158" s="73">
        <v>4543.1000000000004</v>
      </c>
      <c r="BA158" s="73">
        <v>4569.6000000000004</v>
      </c>
      <c r="BB158" s="73">
        <v>4698.8999999999996</v>
      </c>
      <c r="BC158" s="73">
        <v>5845.6</v>
      </c>
      <c r="BD158" s="73">
        <v>6040</v>
      </c>
      <c r="BE158" s="73">
        <v>6411.2</v>
      </c>
      <c r="BF158" s="73">
        <v>6843.2</v>
      </c>
      <c r="BG158" s="73">
        <v>6904.6</v>
      </c>
      <c r="BH158" s="73">
        <v>6980.5</v>
      </c>
      <c r="BI158" s="73">
        <v>8284.2999999999993</v>
      </c>
      <c r="BJ158" s="73">
        <v>8620.2999999999993</v>
      </c>
      <c r="BK158" s="73">
        <v>8719.4</v>
      </c>
      <c r="BL158" s="73">
        <v>9041.7000000000007</v>
      </c>
    </row>
    <row r="159" spans="1:64" ht="20" customHeight="1">
      <c r="A159" s="25">
        <v>155</v>
      </c>
      <c r="B159" s="26" t="s">
        <v>202</v>
      </c>
      <c r="C159" s="27" t="b">
        <f t="array" ref="C159">_xlfn.SWITCH(LEFT(B159,FIND("|",B159)-1),"ابنیه",HLOOKUP(D159,'نمودار ابنیه'!$B$5:$AD$6,2,FALSE),"مکانیکی",HLOOKUP(D159,'نمودار مکانیکی'!$B$5:$AJ$6,2,FALSE),"برقی",HLOOKUP(D159,'نمودار تاسیسات برقی'!$B$5:$AK$6,2,FALSE),"خطوط",HLOOKUP(D159,'نمودار خطوط انتقال '!$B$5:$R$6,2,FALSE),"شبکه",HLOOKUP(D159,'نمودار شبکه توزیع آ'!$B$5:$O$6,2,FALSE),"سد",HLOOKUP(D159,'نمودار سدسازی'!$B$5:$P$6,2,FALSE),"فاضلاب",HLOOKUP(D159,'نمودار جمع‌آوری و ا'!$B$5:$S$6,2,FALSE),"تجهیزات",HLOOKUP(D159,'نمودار تجهیزات آب و'!$B$5:$AG$6,2,FALSE),"پست",HLOOKUP(D159,'نمودار پست های انتق'!$B$5:$AH$6,2,FALSE),"نیرو",HLOOKUP(D159,'نمودار توزیع نیرو ب'!$B$5:$AE$6,2,FALSE),FALSE)</f>
        <v>0</v>
      </c>
      <c r="D159" s="28" t="s">
        <v>178</v>
      </c>
      <c r="E159" s="15"/>
      <c r="F159" s="29"/>
      <c r="G159" s="32">
        <v>299.89999999999998</v>
      </c>
      <c r="H159" s="32">
        <v>314.10000000000002</v>
      </c>
      <c r="I159" s="32">
        <v>317.8</v>
      </c>
      <c r="J159" s="32">
        <v>336.5</v>
      </c>
      <c r="K159" s="32">
        <v>357.5</v>
      </c>
      <c r="L159" s="32">
        <v>372</v>
      </c>
      <c r="M159" s="32">
        <v>408.1</v>
      </c>
      <c r="N159" s="32">
        <v>418.3</v>
      </c>
      <c r="O159" s="32">
        <v>449.9</v>
      </c>
      <c r="P159" s="32">
        <v>464.5</v>
      </c>
      <c r="Q159" s="32">
        <v>485.4</v>
      </c>
      <c r="R159" s="32">
        <v>493</v>
      </c>
      <c r="S159" s="32">
        <v>530.5</v>
      </c>
      <c r="T159" s="32">
        <v>577.79999999999995</v>
      </c>
      <c r="U159" s="32">
        <v>589.20000000000005</v>
      </c>
      <c r="V159" s="32">
        <v>591.70000000000005</v>
      </c>
      <c r="W159" s="32">
        <v>612.9</v>
      </c>
      <c r="X159" s="32">
        <v>616.29999999999995</v>
      </c>
      <c r="Y159" s="32">
        <v>615.29999999999995</v>
      </c>
      <c r="Z159" s="32">
        <v>616.79999999999995</v>
      </c>
      <c r="AA159" s="32">
        <v>638.20000000000005</v>
      </c>
      <c r="AB159" s="32">
        <v>645.5</v>
      </c>
      <c r="AC159" s="32">
        <v>660.7</v>
      </c>
      <c r="AD159" s="32">
        <v>666.8</v>
      </c>
      <c r="AE159" s="32">
        <v>720.2</v>
      </c>
      <c r="AF159" s="32">
        <v>732.1</v>
      </c>
      <c r="AG159" s="32">
        <v>740</v>
      </c>
      <c r="AH159" s="32">
        <v>746.2</v>
      </c>
      <c r="AI159" s="32">
        <v>831.1</v>
      </c>
      <c r="AJ159" s="32">
        <v>872.9</v>
      </c>
      <c r="AK159" s="32">
        <v>911</v>
      </c>
      <c r="AL159" s="32">
        <v>918</v>
      </c>
      <c r="AM159" s="32">
        <v>958.9</v>
      </c>
      <c r="AN159" s="32">
        <v>979.7</v>
      </c>
      <c r="AO159" s="32">
        <v>1119.0999999999999</v>
      </c>
      <c r="AP159" s="32">
        <v>1248.5999999999999</v>
      </c>
      <c r="AQ159" s="32">
        <v>1318.4</v>
      </c>
      <c r="AR159" s="32">
        <v>1365</v>
      </c>
      <c r="AS159" s="32">
        <v>1633.1</v>
      </c>
      <c r="AT159" s="32">
        <v>1852.3</v>
      </c>
      <c r="AU159" s="32">
        <v>1912.6</v>
      </c>
      <c r="AV159" s="32">
        <v>2019.2</v>
      </c>
      <c r="AW159" s="32">
        <v>2252.6</v>
      </c>
      <c r="AX159" s="32">
        <v>2333.5</v>
      </c>
      <c r="AY159" s="32">
        <v>3016.6</v>
      </c>
      <c r="AZ159" s="32">
        <v>3394.6</v>
      </c>
      <c r="BA159" s="32">
        <v>3450.8</v>
      </c>
      <c r="BB159" s="32">
        <v>3544.2</v>
      </c>
      <c r="BC159" s="32">
        <v>4185</v>
      </c>
      <c r="BD159" s="32">
        <v>4448.3999999999996</v>
      </c>
      <c r="BE159" s="32">
        <v>4874.1000000000004</v>
      </c>
      <c r="BF159" s="32">
        <v>5187.2</v>
      </c>
      <c r="BG159" s="32">
        <v>5191.6000000000004</v>
      </c>
      <c r="BH159" s="32">
        <v>5457.1</v>
      </c>
      <c r="BI159" s="32">
        <v>6356.9</v>
      </c>
      <c r="BJ159" s="32">
        <v>6662</v>
      </c>
      <c r="BK159" s="32">
        <v>7001.5</v>
      </c>
      <c r="BL159" s="32">
        <v>7067.3</v>
      </c>
    </row>
    <row r="160" spans="1:64" ht="20" customHeight="1">
      <c r="A160" s="68">
        <v>156</v>
      </c>
      <c r="B160" s="69" t="s">
        <v>202</v>
      </c>
      <c r="C160" s="70" t="b">
        <f t="array" ref="C160">_xlfn.SWITCH(LEFT(B160,FIND("|",B160)-1),"ابنیه",HLOOKUP(D160,'نمودار ابنیه'!$B$5:$AD$6,2,FALSE),"مکانیکی",HLOOKUP(D160,'نمودار مکانیکی'!$B$5:$AJ$6,2,FALSE),"برقی",HLOOKUP(D160,'نمودار تاسیسات برقی'!$B$5:$AK$6,2,FALSE),"خطوط",HLOOKUP(D160,'نمودار خطوط انتقال '!$B$5:$R$6,2,FALSE),"شبکه",HLOOKUP(D160,'نمودار شبکه توزیع آ'!$B$5:$O$6,2,FALSE),"سد",HLOOKUP(D160,'نمودار سدسازی'!$B$5:$P$6,2,FALSE),"فاضلاب",HLOOKUP(D160,'نمودار جمع‌آوری و ا'!$B$5:$S$6,2,FALSE),"تجهیزات",HLOOKUP(D160,'نمودار تجهیزات آب و'!$B$5:$AG$6,2,FALSE),"پست",HLOOKUP(D160,'نمودار پست های انتق'!$B$5:$AH$6,2,FALSE),"نیرو",HLOOKUP(D160,'نمودار توزیع نیرو ب'!$B$5:$AE$6,2,FALSE),FALSE)</f>
        <v>0</v>
      </c>
      <c r="D160" s="71" t="s">
        <v>210</v>
      </c>
      <c r="E160" s="15"/>
      <c r="F160" s="72"/>
      <c r="G160" s="73">
        <v>297.60000000000002</v>
      </c>
      <c r="H160" s="73">
        <v>306.3</v>
      </c>
      <c r="I160" s="73">
        <v>323.89999999999998</v>
      </c>
      <c r="J160" s="73">
        <v>344.3</v>
      </c>
      <c r="K160" s="73">
        <v>378.6</v>
      </c>
      <c r="L160" s="73">
        <v>395.9</v>
      </c>
      <c r="M160" s="73">
        <v>413.1</v>
      </c>
      <c r="N160" s="73">
        <v>430.3</v>
      </c>
      <c r="O160" s="73">
        <v>495.2</v>
      </c>
      <c r="P160" s="73">
        <v>521.4</v>
      </c>
      <c r="Q160" s="73">
        <v>522.79999999999995</v>
      </c>
      <c r="R160" s="73">
        <v>522.79999999999995</v>
      </c>
      <c r="S160" s="73">
        <v>567.9</v>
      </c>
      <c r="T160" s="73">
        <v>580.9</v>
      </c>
      <c r="U160" s="73">
        <v>582.1</v>
      </c>
      <c r="V160" s="73">
        <v>582.6</v>
      </c>
      <c r="W160" s="73">
        <v>600</v>
      </c>
      <c r="X160" s="73">
        <v>614.6</v>
      </c>
      <c r="Y160" s="73">
        <v>626.9</v>
      </c>
      <c r="Z160" s="73">
        <v>626.9</v>
      </c>
      <c r="AA160" s="73">
        <v>627</v>
      </c>
      <c r="AB160" s="73">
        <v>661.6</v>
      </c>
      <c r="AC160" s="73">
        <v>684.5</v>
      </c>
      <c r="AD160" s="73">
        <v>690.8</v>
      </c>
      <c r="AE160" s="73">
        <v>725.3</v>
      </c>
      <c r="AF160" s="73">
        <v>746.1</v>
      </c>
      <c r="AG160" s="73">
        <v>753</v>
      </c>
      <c r="AH160" s="73">
        <v>759.9</v>
      </c>
      <c r="AI160" s="73">
        <v>843.4</v>
      </c>
      <c r="AJ160" s="73">
        <v>927.1</v>
      </c>
      <c r="AK160" s="73">
        <v>1025.9000000000001</v>
      </c>
      <c r="AL160" s="73">
        <v>1052.4000000000001</v>
      </c>
      <c r="AM160" s="73">
        <v>1109.3</v>
      </c>
      <c r="AN160" s="73">
        <v>1227</v>
      </c>
      <c r="AO160" s="73">
        <v>1404.9</v>
      </c>
      <c r="AP160" s="73">
        <v>1509.2</v>
      </c>
      <c r="AQ160" s="73">
        <v>1772.2</v>
      </c>
      <c r="AR160" s="73">
        <v>1877</v>
      </c>
      <c r="AS160" s="73">
        <v>2370.6</v>
      </c>
      <c r="AT160" s="73">
        <v>2890.5</v>
      </c>
      <c r="AU160" s="73">
        <v>2965.7</v>
      </c>
      <c r="AV160" s="73">
        <v>3190.9</v>
      </c>
      <c r="AW160" s="73">
        <v>3378.5</v>
      </c>
      <c r="AX160" s="73">
        <v>3538</v>
      </c>
      <c r="AY160" s="73">
        <v>4651.8</v>
      </c>
      <c r="AZ160" s="73">
        <v>4900.1000000000004</v>
      </c>
      <c r="BA160" s="73">
        <v>4988.8</v>
      </c>
      <c r="BB160" s="73">
        <v>5095.3</v>
      </c>
      <c r="BC160" s="73">
        <v>6343.3</v>
      </c>
      <c r="BD160" s="73">
        <v>6562.7</v>
      </c>
      <c r="BE160" s="73">
        <v>7031.6</v>
      </c>
      <c r="BF160" s="73">
        <v>7423.8</v>
      </c>
      <c r="BG160" s="73">
        <v>7545.9</v>
      </c>
      <c r="BH160" s="73">
        <v>7668</v>
      </c>
      <c r="BI160" s="73">
        <v>9101.9</v>
      </c>
      <c r="BJ160" s="73">
        <v>9669.6</v>
      </c>
      <c r="BK160" s="73">
        <v>10214.200000000001</v>
      </c>
      <c r="BL160" s="73">
        <v>1390.4</v>
      </c>
    </row>
    <row r="161" spans="1:64" ht="20" customHeight="1">
      <c r="A161" s="25">
        <v>157</v>
      </c>
      <c r="B161" s="26" t="s">
        <v>202</v>
      </c>
      <c r="C161" s="27" t="b">
        <f t="array" ref="C161">_xlfn.SWITCH(LEFT(B161,FIND("|",B161)-1),"ابنیه",HLOOKUP(D161,'نمودار ابنیه'!$B$5:$AD$6,2,FALSE),"مکانیکی",HLOOKUP(D161,'نمودار مکانیکی'!$B$5:$AJ$6,2,FALSE),"برقی",HLOOKUP(D161,'نمودار تاسیسات برقی'!$B$5:$AK$6,2,FALSE),"خطوط",HLOOKUP(D161,'نمودار خطوط انتقال '!$B$5:$R$6,2,FALSE),"شبکه",HLOOKUP(D161,'نمودار شبکه توزیع آ'!$B$5:$O$6,2,FALSE),"سد",HLOOKUP(D161,'نمودار سدسازی'!$B$5:$P$6,2,FALSE),"فاضلاب",HLOOKUP(D161,'نمودار جمع‌آوری و ا'!$B$5:$S$6,2,FALSE),"تجهیزات",HLOOKUP(D161,'نمودار تجهیزات آب و'!$B$5:$AG$6,2,FALSE),"پست",HLOOKUP(D161,'نمودار پست های انتق'!$B$5:$AH$6,2,FALSE),"نیرو",HLOOKUP(D161,'نمودار توزیع نیرو ب'!$B$5:$AE$6,2,FALSE),FALSE)</f>
        <v>0</v>
      </c>
      <c r="D161" s="28" t="s">
        <v>211</v>
      </c>
      <c r="E161" s="15"/>
      <c r="F161" s="29"/>
      <c r="G161" s="32">
        <v>342</v>
      </c>
      <c r="H161" s="32">
        <v>358.1</v>
      </c>
      <c r="I161" s="32">
        <v>380.4</v>
      </c>
      <c r="J161" s="32">
        <v>401.2</v>
      </c>
      <c r="K161" s="32">
        <v>434.3</v>
      </c>
      <c r="L161" s="32">
        <v>463</v>
      </c>
      <c r="M161" s="32">
        <v>519</v>
      </c>
      <c r="N161" s="32">
        <v>545.9</v>
      </c>
      <c r="O161" s="32">
        <v>591.5</v>
      </c>
      <c r="P161" s="32">
        <v>607.5</v>
      </c>
      <c r="Q161" s="32">
        <v>618.70000000000005</v>
      </c>
      <c r="R161" s="32">
        <v>629.9</v>
      </c>
      <c r="S161" s="32">
        <v>695.4</v>
      </c>
      <c r="T161" s="32">
        <v>709.8</v>
      </c>
      <c r="U161" s="32">
        <v>714.9</v>
      </c>
      <c r="V161" s="32">
        <v>721.5</v>
      </c>
      <c r="W161" s="32">
        <v>770.5</v>
      </c>
      <c r="X161" s="32">
        <v>774.5</v>
      </c>
      <c r="Y161" s="32">
        <v>774.6</v>
      </c>
      <c r="Z161" s="32">
        <v>775</v>
      </c>
      <c r="AA161" s="32">
        <v>815.4</v>
      </c>
      <c r="AB161" s="32">
        <v>823.2</v>
      </c>
      <c r="AC161" s="32">
        <v>830.9</v>
      </c>
      <c r="AD161" s="32">
        <v>838.6</v>
      </c>
      <c r="AE161" s="32">
        <v>890.5</v>
      </c>
      <c r="AF161" s="32">
        <v>891.2</v>
      </c>
      <c r="AG161" s="32">
        <v>915.3</v>
      </c>
      <c r="AH161" s="32">
        <v>923.6</v>
      </c>
      <c r="AI161" s="32">
        <v>1026.4000000000001</v>
      </c>
      <c r="AJ161" s="32">
        <v>1157.4000000000001</v>
      </c>
      <c r="AK161" s="32">
        <v>1220</v>
      </c>
      <c r="AL161" s="32">
        <v>1279.7</v>
      </c>
      <c r="AM161" s="32">
        <v>1298.5999999999999</v>
      </c>
      <c r="AN161" s="32">
        <v>1386.3</v>
      </c>
      <c r="AO161" s="32">
        <v>1599.6</v>
      </c>
      <c r="AP161" s="32">
        <v>1707.7</v>
      </c>
      <c r="AQ161" s="32">
        <v>1802.3</v>
      </c>
      <c r="AR161" s="32">
        <v>1908.2</v>
      </c>
      <c r="AS161" s="32">
        <v>2257.6999999999998</v>
      </c>
      <c r="AT161" s="32">
        <v>2630.7</v>
      </c>
      <c r="AU161" s="32">
        <v>2744.2</v>
      </c>
      <c r="AV161" s="32">
        <v>2982.7</v>
      </c>
      <c r="AW161" s="32">
        <v>3292.7</v>
      </c>
      <c r="AX161" s="32">
        <v>3479.9</v>
      </c>
      <c r="AY161" s="32">
        <v>4490</v>
      </c>
      <c r="AZ161" s="32">
        <v>4867</v>
      </c>
      <c r="BA161" s="32">
        <v>4915.3999999999996</v>
      </c>
      <c r="BB161" s="32">
        <v>5083.5</v>
      </c>
      <c r="BC161" s="32">
        <v>6332.5</v>
      </c>
      <c r="BD161" s="32">
        <v>6533.5</v>
      </c>
      <c r="BE161" s="32">
        <v>6965.5</v>
      </c>
      <c r="BF161" s="32">
        <v>7406.8</v>
      </c>
      <c r="BG161" s="32">
        <v>7407.2</v>
      </c>
      <c r="BH161" s="32">
        <v>7407.6</v>
      </c>
      <c r="BI161" s="32">
        <v>8900.5</v>
      </c>
      <c r="BJ161" s="32">
        <v>9341.4</v>
      </c>
      <c r="BK161" s="32">
        <v>9458.6</v>
      </c>
      <c r="BL161" s="32">
        <v>9771.6</v>
      </c>
    </row>
    <row r="162" spans="1:64" ht="20" customHeight="1">
      <c r="A162" s="68">
        <v>158</v>
      </c>
      <c r="B162" s="69" t="s">
        <v>202</v>
      </c>
      <c r="C162" s="70" t="b">
        <f t="array" ref="C162">_xlfn.SWITCH(LEFT(B162,FIND("|",B162)-1),"ابنیه",HLOOKUP(D162,'نمودار ابنیه'!$B$5:$AD$6,2,FALSE),"مکانیکی",HLOOKUP(D162,'نمودار مکانیکی'!$B$5:$AJ$6,2,FALSE),"برقی",HLOOKUP(D162,'نمودار تاسیسات برقی'!$B$5:$AK$6,2,FALSE),"خطوط",HLOOKUP(D162,'نمودار خطوط انتقال '!$B$5:$R$6,2,FALSE),"شبکه",HLOOKUP(D162,'نمودار شبکه توزیع آ'!$B$5:$O$6,2,FALSE),"سد",HLOOKUP(D162,'نمودار سدسازی'!$B$5:$P$6,2,FALSE),"فاضلاب",HLOOKUP(D162,'نمودار جمع‌آوری و ا'!$B$5:$S$6,2,FALSE),"تجهیزات",HLOOKUP(D162,'نمودار تجهیزات آب و'!$B$5:$AG$6,2,FALSE),"پست",HLOOKUP(D162,'نمودار پست های انتق'!$B$5:$AH$6,2,FALSE),"نیرو",HLOOKUP(D162,'نمودار توزیع نیرو ب'!$B$5:$AE$6,2,FALSE),FALSE)</f>
        <v>0</v>
      </c>
      <c r="D162" s="71" t="s">
        <v>212</v>
      </c>
      <c r="E162" s="15"/>
      <c r="F162" s="72"/>
      <c r="G162" s="73">
        <v>308</v>
      </c>
      <c r="H162" s="73">
        <v>308</v>
      </c>
      <c r="I162" s="73">
        <v>300.2</v>
      </c>
      <c r="J162" s="73">
        <v>305.8</v>
      </c>
      <c r="K162" s="73">
        <v>305.8</v>
      </c>
      <c r="L162" s="73">
        <v>321.10000000000002</v>
      </c>
      <c r="M162" s="73">
        <v>321.10000000000002</v>
      </c>
      <c r="N162" s="73">
        <v>321.10000000000002</v>
      </c>
      <c r="O162" s="73">
        <v>353.2</v>
      </c>
      <c r="P162" s="73">
        <v>369.3</v>
      </c>
      <c r="Q162" s="73">
        <v>369.3</v>
      </c>
      <c r="R162" s="73">
        <v>369.3</v>
      </c>
      <c r="S162" s="73">
        <v>369.3</v>
      </c>
      <c r="T162" s="73">
        <v>369.3</v>
      </c>
      <c r="U162" s="73">
        <v>376.7</v>
      </c>
      <c r="V162" s="73">
        <v>376.7</v>
      </c>
      <c r="W162" s="73">
        <v>376.7</v>
      </c>
      <c r="X162" s="73">
        <v>376.7</v>
      </c>
      <c r="Y162" s="73">
        <v>376.7</v>
      </c>
      <c r="Z162" s="73">
        <v>376.7</v>
      </c>
      <c r="AA162" s="73">
        <v>376.7</v>
      </c>
      <c r="AB162" s="73">
        <v>376.7</v>
      </c>
      <c r="AC162" s="73">
        <v>376.7</v>
      </c>
      <c r="AD162" s="73">
        <v>376.7</v>
      </c>
      <c r="AE162" s="73">
        <v>433.2</v>
      </c>
      <c r="AF162" s="73">
        <v>459.6</v>
      </c>
      <c r="AG162" s="73">
        <v>459.6</v>
      </c>
      <c r="AH162" s="73">
        <v>459.6</v>
      </c>
      <c r="AI162" s="73">
        <v>542.29999999999995</v>
      </c>
      <c r="AJ162" s="73">
        <v>726.1</v>
      </c>
      <c r="AK162" s="73">
        <v>785.8</v>
      </c>
      <c r="AL162" s="73">
        <v>804.2</v>
      </c>
      <c r="AM162" s="73">
        <v>827.2</v>
      </c>
      <c r="AN162" s="73">
        <v>891.5</v>
      </c>
      <c r="AO162" s="73">
        <v>1025.3</v>
      </c>
      <c r="AP162" s="73">
        <v>1150.0999999999999</v>
      </c>
      <c r="AQ162" s="73">
        <v>1203.5999999999999</v>
      </c>
      <c r="AR162" s="73">
        <v>1248.2</v>
      </c>
      <c r="AS162" s="73">
        <v>1597.6</v>
      </c>
      <c r="AT162" s="73">
        <v>1747.4</v>
      </c>
      <c r="AU162" s="73">
        <v>1809.8</v>
      </c>
      <c r="AV162" s="73">
        <v>2084.4</v>
      </c>
      <c r="AW162" s="73">
        <v>1879.8</v>
      </c>
      <c r="AX162" s="73">
        <v>1879.8</v>
      </c>
      <c r="AY162" s="73">
        <v>2168.9</v>
      </c>
      <c r="AZ162" s="73">
        <v>2546.9</v>
      </c>
      <c r="BA162" s="73">
        <v>2623.7</v>
      </c>
      <c r="BB162" s="73">
        <v>2784.4</v>
      </c>
      <c r="BC162" s="73">
        <v>3340.4</v>
      </c>
      <c r="BD162" s="73">
        <v>3480.5</v>
      </c>
      <c r="BE162" s="73">
        <v>3838</v>
      </c>
      <c r="BF162" s="73">
        <v>4162.1000000000004</v>
      </c>
      <c r="BG162" s="73">
        <v>4202.2</v>
      </c>
      <c r="BH162" s="73">
        <v>4675.5</v>
      </c>
      <c r="BI162" s="73">
        <v>5423.6</v>
      </c>
      <c r="BJ162" s="73">
        <v>5634</v>
      </c>
      <c r="BK162" s="73">
        <v>5913.4</v>
      </c>
      <c r="BL162" s="73">
        <v>6201</v>
      </c>
    </row>
    <row r="163" spans="1:64" ht="20" customHeight="1">
      <c r="A163" s="25">
        <v>159</v>
      </c>
      <c r="B163" s="26" t="s">
        <v>202</v>
      </c>
      <c r="C163" s="27" t="b">
        <f t="array" ref="C163">_xlfn.SWITCH(LEFT(B163,FIND("|",B163)-1),"ابنیه",HLOOKUP(D163,'نمودار ابنیه'!$B$5:$AD$6,2,FALSE),"مکانیکی",HLOOKUP(D163,'نمودار مکانیکی'!$B$5:$AJ$6,2,FALSE),"برقی",HLOOKUP(D163,'نمودار تاسیسات برقی'!$B$5:$AK$6,2,FALSE),"خطوط",HLOOKUP(D163,'نمودار خطوط انتقال '!$B$5:$R$6,2,FALSE),"شبکه",HLOOKUP(D163,'نمودار شبکه توزیع آ'!$B$5:$O$6,2,FALSE),"سد",HLOOKUP(D163,'نمودار سدسازی'!$B$5:$P$6,2,FALSE),"فاضلاب",HLOOKUP(D163,'نمودار جمع‌آوری و ا'!$B$5:$S$6,2,FALSE),"تجهیزات",HLOOKUP(D163,'نمودار تجهیزات آب و'!$B$5:$AG$6,2,FALSE),"پست",HLOOKUP(D163,'نمودار پست های انتق'!$B$5:$AH$6,2,FALSE),"نیرو",HLOOKUP(D163,'نمودار توزیع نیرو ب'!$B$5:$AE$6,2,FALSE),FALSE)</f>
        <v>0</v>
      </c>
      <c r="D163" s="28" t="s">
        <v>213</v>
      </c>
      <c r="E163" s="15"/>
      <c r="F163" s="29"/>
      <c r="G163" s="32">
        <v>415.8</v>
      </c>
      <c r="H163" s="32">
        <v>415.8</v>
      </c>
      <c r="I163" s="32">
        <v>422.7</v>
      </c>
      <c r="J163" s="32">
        <v>423.5</v>
      </c>
      <c r="K163" s="32">
        <v>491.3</v>
      </c>
      <c r="L163" s="32">
        <v>508.2</v>
      </c>
      <c r="M163" s="32">
        <v>706</v>
      </c>
      <c r="N163" s="32">
        <v>729.6</v>
      </c>
      <c r="O163" s="32">
        <v>729.6</v>
      </c>
      <c r="P163" s="32">
        <v>729.6</v>
      </c>
      <c r="Q163" s="32">
        <v>744.2</v>
      </c>
      <c r="R163" s="32">
        <v>780.7</v>
      </c>
      <c r="S163" s="32">
        <v>936.8</v>
      </c>
      <c r="T163" s="32">
        <v>938.8</v>
      </c>
      <c r="U163" s="32">
        <v>875.8</v>
      </c>
      <c r="V163" s="32">
        <v>875.8</v>
      </c>
      <c r="W163" s="32">
        <v>859.4</v>
      </c>
      <c r="X163" s="32">
        <v>875.8</v>
      </c>
      <c r="Y163" s="32">
        <v>832.9</v>
      </c>
      <c r="Z163" s="32">
        <v>823.7</v>
      </c>
      <c r="AA163" s="32">
        <v>830.1</v>
      </c>
      <c r="AB163" s="32">
        <v>845.3</v>
      </c>
      <c r="AC163" s="32">
        <v>829.9</v>
      </c>
      <c r="AD163" s="32">
        <v>836</v>
      </c>
      <c r="AE163" s="32">
        <v>847.7</v>
      </c>
      <c r="AF163" s="32">
        <v>862.6</v>
      </c>
      <c r="AG163" s="32">
        <v>955.2</v>
      </c>
      <c r="AH163" s="32">
        <v>1043</v>
      </c>
      <c r="AI163" s="32">
        <v>1183.8</v>
      </c>
      <c r="AJ163" s="32">
        <v>1392.4</v>
      </c>
      <c r="AK163" s="32">
        <v>1629.6</v>
      </c>
      <c r="AL163" s="32">
        <v>1887.8</v>
      </c>
      <c r="AM163" s="32">
        <v>1624.4</v>
      </c>
      <c r="AN163" s="32">
        <v>1569.7</v>
      </c>
      <c r="AO163" s="32">
        <v>1833</v>
      </c>
      <c r="AP163" s="32">
        <v>1779.6</v>
      </c>
      <c r="AQ163" s="32">
        <v>1835.7</v>
      </c>
      <c r="AR163" s="32">
        <v>1893</v>
      </c>
      <c r="AS163" s="32">
        <v>2527.1999999999998</v>
      </c>
      <c r="AT163" s="32">
        <v>2626.6</v>
      </c>
      <c r="AU163" s="32">
        <v>2877.4</v>
      </c>
      <c r="AV163" s="32">
        <v>3237.1</v>
      </c>
      <c r="AW163" s="32">
        <v>3596.7</v>
      </c>
      <c r="AX163" s="32">
        <v>3748.2</v>
      </c>
      <c r="AY163" s="32">
        <v>4144.5</v>
      </c>
      <c r="AZ163" s="32">
        <v>4179.2</v>
      </c>
      <c r="BA163" s="32">
        <v>4319.8</v>
      </c>
      <c r="BB163" s="32">
        <v>4319.8</v>
      </c>
      <c r="BC163" s="32">
        <v>5302.6</v>
      </c>
      <c r="BD163" s="32">
        <v>5302.5</v>
      </c>
      <c r="BE163" s="32">
        <v>5299.3</v>
      </c>
      <c r="BF163" s="32">
        <v>5368.4</v>
      </c>
      <c r="BG163" s="32">
        <v>5655.7</v>
      </c>
      <c r="BH163" s="32">
        <v>5940.8</v>
      </c>
      <c r="BI163" s="32">
        <v>5954.1</v>
      </c>
      <c r="BJ163" s="32">
        <v>5881.4</v>
      </c>
      <c r="BK163" s="32">
        <v>6196.2</v>
      </c>
      <c r="BL163" s="32">
        <v>6209.6</v>
      </c>
    </row>
    <row r="164" spans="1:64" ht="20" customHeight="1">
      <c r="A164" s="68">
        <v>160</v>
      </c>
      <c r="B164" s="69" t="s">
        <v>202</v>
      </c>
      <c r="C164" s="70" t="b">
        <f t="array" ref="C164">_xlfn.SWITCH(LEFT(B164,FIND("|",B164)-1),"ابنیه",HLOOKUP(D164,'نمودار ابنیه'!$B$5:$AD$6,2,FALSE),"مکانیکی",HLOOKUP(D164,'نمودار مکانیکی'!$B$5:$AJ$6,2,FALSE),"برقی",HLOOKUP(D164,'نمودار تاسیسات برقی'!$B$5:$AK$6,2,FALSE),"خطوط",HLOOKUP(D164,'نمودار خطوط انتقال '!$B$5:$R$6,2,FALSE),"شبکه",HLOOKUP(D164,'نمودار شبکه توزیع آ'!$B$5:$O$6,2,FALSE),"سد",HLOOKUP(D164,'نمودار سدسازی'!$B$5:$P$6,2,FALSE),"فاضلاب",HLOOKUP(D164,'نمودار جمع‌آوری و ا'!$B$5:$S$6,2,FALSE),"تجهیزات",HLOOKUP(D164,'نمودار تجهیزات آب و'!$B$5:$AG$6,2,FALSE),"پست",HLOOKUP(D164,'نمودار پست های انتق'!$B$5:$AH$6,2,FALSE),"نیرو",HLOOKUP(D164,'نمودار توزیع نیرو ب'!$B$5:$AE$6,2,FALSE),FALSE)</f>
        <v>0</v>
      </c>
      <c r="D164" s="71" t="s">
        <v>214</v>
      </c>
      <c r="E164" s="15"/>
      <c r="F164" s="72"/>
      <c r="G164" s="72"/>
      <c r="H164" s="72"/>
      <c r="I164" s="72"/>
      <c r="J164" s="72"/>
      <c r="K164" s="72"/>
      <c r="L164" s="72"/>
      <c r="M164" s="72"/>
      <c r="N164" s="72"/>
      <c r="O164" s="73">
        <v>350</v>
      </c>
      <c r="P164" s="73">
        <v>350</v>
      </c>
      <c r="Q164" s="73">
        <v>350</v>
      </c>
      <c r="R164" s="73">
        <v>350</v>
      </c>
      <c r="S164" s="73">
        <v>350</v>
      </c>
      <c r="T164" s="73">
        <v>350</v>
      </c>
      <c r="U164" s="73">
        <v>350</v>
      </c>
      <c r="V164" s="73">
        <v>350</v>
      </c>
      <c r="W164" s="73">
        <v>350</v>
      </c>
      <c r="X164" s="73">
        <v>350</v>
      </c>
      <c r="Y164" s="73">
        <v>350</v>
      </c>
      <c r="Z164" s="73">
        <v>350</v>
      </c>
      <c r="AA164" s="73">
        <v>350</v>
      </c>
      <c r="AB164" s="73">
        <v>350</v>
      </c>
      <c r="AC164" s="73">
        <v>350</v>
      </c>
      <c r="AD164" s="73">
        <v>350</v>
      </c>
      <c r="AE164" s="73">
        <v>350</v>
      </c>
      <c r="AF164" s="73">
        <v>350</v>
      </c>
      <c r="AG164" s="73">
        <v>350</v>
      </c>
      <c r="AH164" s="73">
        <v>350</v>
      </c>
      <c r="AI164" s="73">
        <v>351</v>
      </c>
      <c r="AJ164" s="73">
        <v>352</v>
      </c>
      <c r="AK164" s="73">
        <v>353</v>
      </c>
      <c r="AL164" s="73">
        <v>354</v>
      </c>
      <c r="AM164" s="73">
        <v>354</v>
      </c>
      <c r="AN164" s="73">
        <v>355</v>
      </c>
      <c r="AO164" s="73">
        <v>356</v>
      </c>
      <c r="AP164" s="73">
        <v>357</v>
      </c>
      <c r="AQ164" s="73">
        <v>358</v>
      </c>
      <c r="AR164" s="73">
        <v>359</v>
      </c>
      <c r="AS164" s="73">
        <v>360</v>
      </c>
      <c r="AT164" s="73">
        <v>361</v>
      </c>
      <c r="AU164" s="73">
        <v>362</v>
      </c>
      <c r="AV164" s="73">
        <v>364</v>
      </c>
      <c r="AW164" s="73">
        <v>365</v>
      </c>
      <c r="AX164" s="73">
        <v>366</v>
      </c>
      <c r="AY164" s="73">
        <v>367</v>
      </c>
      <c r="AZ164" s="73">
        <v>368</v>
      </c>
      <c r="BA164" s="73">
        <v>369</v>
      </c>
      <c r="BB164" s="73">
        <v>370</v>
      </c>
      <c r="BC164" s="73">
        <v>371</v>
      </c>
      <c r="BD164" s="73">
        <v>372</v>
      </c>
      <c r="BE164" s="73">
        <v>373</v>
      </c>
      <c r="BF164" s="73">
        <v>374</v>
      </c>
      <c r="BG164" s="73">
        <v>374</v>
      </c>
      <c r="BH164" s="73">
        <v>374</v>
      </c>
      <c r="BI164" s="73">
        <v>375</v>
      </c>
      <c r="BJ164" s="73">
        <v>376</v>
      </c>
      <c r="BK164" s="73">
        <v>377</v>
      </c>
      <c r="BL164" s="73">
        <v>378</v>
      </c>
    </row>
    <row r="165" spans="1:64" ht="20" customHeight="1">
      <c r="A165" s="25">
        <v>161</v>
      </c>
      <c r="B165" s="26" t="s">
        <v>202</v>
      </c>
      <c r="C165" s="27" t="b">
        <f t="array" ref="C165">_xlfn.SWITCH(LEFT(B165,FIND("|",B165)-1),"ابنیه",HLOOKUP(D165,'نمودار ابنیه'!$B$5:$AD$6,2,FALSE),"مکانیکی",HLOOKUP(D165,'نمودار مکانیکی'!$B$5:$AJ$6,2,FALSE),"برقی",HLOOKUP(D165,'نمودار تاسیسات برقی'!$B$5:$AK$6,2,FALSE),"خطوط",HLOOKUP(D165,'نمودار خطوط انتقال '!$B$5:$R$6,2,FALSE),"شبکه",HLOOKUP(D165,'نمودار شبکه توزیع آ'!$B$5:$O$6,2,FALSE),"سد",HLOOKUP(D165,'نمودار سدسازی'!$B$5:$P$6,2,FALSE),"فاضلاب",HLOOKUP(D165,'نمودار جمع‌آوری و ا'!$B$5:$S$6,2,FALSE),"تجهیزات",HLOOKUP(D165,'نمودار تجهیزات آب و'!$B$5:$AG$6,2,FALSE),"پست",HLOOKUP(D165,'نمودار پست های انتق'!$B$5:$AH$6,2,FALSE),"نیرو",HLOOKUP(D165,'نمودار توزیع نیرو ب'!$B$5:$AE$6,2,FALSE),FALSE)</f>
        <v>0</v>
      </c>
      <c r="D165" s="28" t="s">
        <v>215</v>
      </c>
      <c r="E165" s="15"/>
      <c r="F165" s="29"/>
      <c r="G165" s="29"/>
      <c r="H165" s="29"/>
      <c r="I165" s="29"/>
      <c r="J165" s="29"/>
      <c r="K165" s="29"/>
      <c r="L165" s="29"/>
      <c r="M165" s="29"/>
      <c r="N165" s="29"/>
      <c r="O165" s="32">
        <v>455.8</v>
      </c>
      <c r="P165" s="32">
        <v>455.8</v>
      </c>
      <c r="Q165" s="32">
        <v>455.8</v>
      </c>
      <c r="R165" s="32">
        <v>455.8</v>
      </c>
      <c r="S165" s="32">
        <v>560.6</v>
      </c>
      <c r="T165" s="32">
        <v>560.6</v>
      </c>
      <c r="U165" s="32">
        <v>592.5</v>
      </c>
      <c r="V165" s="32">
        <v>592.5</v>
      </c>
      <c r="W165" s="32">
        <v>632.79999999999995</v>
      </c>
      <c r="X165" s="32">
        <v>632.79999999999995</v>
      </c>
      <c r="Y165" s="32">
        <v>592.5</v>
      </c>
      <c r="Z165" s="32">
        <v>592.5</v>
      </c>
      <c r="AA165" s="32">
        <v>614.5</v>
      </c>
      <c r="AB165" s="32">
        <v>628.70000000000005</v>
      </c>
      <c r="AC165" s="32">
        <v>734.7</v>
      </c>
      <c r="AD165" s="32">
        <v>734.7</v>
      </c>
      <c r="AE165" s="32">
        <v>743.6</v>
      </c>
      <c r="AF165" s="32">
        <v>768.5</v>
      </c>
      <c r="AG165" s="32">
        <v>815.6</v>
      </c>
      <c r="AH165" s="32">
        <v>852.3</v>
      </c>
      <c r="AI165" s="32">
        <v>937.5</v>
      </c>
      <c r="AJ165" s="32">
        <v>1005.7</v>
      </c>
      <c r="AK165" s="32">
        <v>1201.8</v>
      </c>
      <c r="AL165" s="32">
        <v>1414.8</v>
      </c>
      <c r="AM165" s="32">
        <v>1406.3</v>
      </c>
      <c r="AN165" s="32">
        <v>1406.3</v>
      </c>
      <c r="AO165" s="32">
        <v>1624.3</v>
      </c>
      <c r="AP165" s="32">
        <v>1575.1</v>
      </c>
      <c r="AQ165" s="32">
        <v>1617.3</v>
      </c>
      <c r="AR165" s="32">
        <v>1645.4</v>
      </c>
      <c r="AS165" s="32">
        <v>1809.9</v>
      </c>
      <c r="AT165" s="32">
        <v>1975.5</v>
      </c>
      <c r="AU165" s="32">
        <v>2139</v>
      </c>
      <c r="AV165" s="32">
        <v>2468.1</v>
      </c>
      <c r="AW165" s="32">
        <v>3192</v>
      </c>
      <c r="AX165" s="32">
        <v>3586.9</v>
      </c>
      <c r="AY165" s="32">
        <v>3838</v>
      </c>
      <c r="AZ165" s="32">
        <v>4125</v>
      </c>
      <c r="BA165" s="32">
        <v>4411.8999999999996</v>
      </c>
      <c r="BB165" s="32">
        <v>4591.3</v>
      </c>
      <c r="BC165" s="32">
        <v>4912.7</v>
      </c>
      <c r="BD165" s="32">
        <v>4475.1000000000004</v>
      </c>
      <c r="BE165" s="32">
        <v>4554.6000000000004</v>
      </c>
      <c r="BF165" s="32">
        <v>4967.8</v>
      </c>
      <c r="BG165" s="32">
        <v>4926.3999999999996</v>
      </c>
      <c r="BH165" s="32">
        <v>4797.8999999999996</v>
      </c>
      <c r="BI165" s="32">
        <v>4740.3</v>
      </c>
      <c r="BJ165" s="32">
        <v>4889.1000000000004</v>
      </c>
      <c r="BK165" s="32">
        <v>4975.3999999999996</v>
      </c>
      <c r="BL165" s="32">
        <v>4975.3999999999996</v>
      </c>
    </row>
    <row r="166" spans="1:64" ht="20" customHeight="1">
      <c r="A166" s="68">
        <v>162</v>
      </c>
      <c r="B166" s="69" t="s">
        <v>202</v>
      </c>
      <c r="C166" s="70" t="b">
        <f t="array" ref="C166">_xlfn.SWITCH(LEFT(B166,FIND("|",B166)-1),"ابنیه",HLOOKUP(D166,'نمودار ابنیه'!$B$5:$AD$6,2,FALSE),"مکانیکی",HLOOKUP(D166,'نمودار مکانیکی'!$B$5:$AJ$6,2,FALSE),"برقی",HLOOKUP(D166,'نمودار تاسیسات برقی'!$B$5:$AK$6,2,FALSE),"خطوط",HLOOKUP(D166,'نمودار خطوط انتقال '!$B$5:$R$6,2,FALSE),"شبکه",HLOOKUP(D166,'نمودار شبکه توزیع آ'!$B$5:$O$6,2,FALSE),"سد",HLOOKUP(D166,'نمودار سدسازی'!$B$5:$P$6,2,FALSE),"فاضلاب",HLOOKUP(D166,'نمودار جمع‌آوری و ا'!$B$5:$S$6,2,FALSE),"تجهیزات",HLOOKUP(D166,'نمودار تجهیزات آب و'!$B$5:$AG$6,2,FALSE),"پست",HLOOKUP(D166,'نمودار پست های انتق'!$B$5:$AH$6,2,FALSE),"نیرو",HLOOKUP(D166,'نمودار توزیع نیرو ب'!$B$5:$AE$6,2,FALSE),FALSE)</f>
        <v>0</v>
      </c>
      <c r="D166" s="71" t="s">
        <v>216</v>
      </c>
      <c r="E166" s="15"/>
      <c r="F166" s="72"/>
      <c r="G166" s="72"/>
      <c r="H166" s="72"/>
      <c r="I166" s="72"/>
      <c r="J166" s="72"/>
      <c r="K166" s="72"/>
      <c r="L166" s="72"/>
      <c r="M166" s="72"/>
      <c r="N166" s="72"/>
      <c r="O166" s="73">
        <v>540</v>
      </c>
      <c r="P166" s="73">
        <v>540</v>
      </c>
      <c r="Q166" s="73">
        <v>544.5</v>
      </c>
      <c r="R166" s="73">
        <v>544.5</v>
      </c>
      <c r="S166" s="73">
        <v>588.1</v>
      </c>
      <c r="T166" s="73">
        <v>588.1</v>
      </c>
      <c r="U166" s="73">
        <v>604.4</v>
      </c>
      <c r="V166" s="73">
        <v>604.4</v>
      </c>
      <c r="W166" s="73">
        <v>604.4</v>
      </c>
      <c r="X166" s="73">
        <v>604.4</v>
      </c>
      <c r="Y166" s="73">
        <v>610.4</v>
      </c>
      <c r="Z166" s="73">
        <v>610.4</v>
      </c>
      <c r="AA166" s="73">
        <v>616.5</v>
      </c>
      <c r="AB166" s="73">
        <v>616.5</v>
      </c>
      <c r="AC166" s="73">
        <v>598.20000000000005</v>
      </c>
      <c r="AD166" s="73">
        <v>598.20000000000005</v>
      </c>
      <c r="AE166" s="73">
        <v>616.20000000000005</v>
      </c>
      <c r="AF166" s="73">
        <v>616.20000000000005</v>
      </c>
      <c r="AG166" s="73">
        <v>640.1</v>
      </c>
      <c r="AH166" s="73">
        <v>699.9</v>
      </c>
      <c r="AI166" s="73">
        <v>839.9</v>
      </c>
      <c r="AJ166" s="73">
        <v>1049.9000000000001</v>
      </c>
      <c r="AK166" s="73">
        <v>1399.9</v>
      </c>
      <c r="AL166" s="73">
        <v>1399.9</v>
      </c>
      <c r="AM166" s="73">
        <v>1364.9</v>
      </c>
      <c r="AN166" s="73">
        <v>1364.9</v>
      </c>
      <c r="AO166" s="73">
        <v>1719.7</v>
      </c>
      <c r="AP166" s="73">
        <v>1678.8</v>
      </c>
      <c r="AQ166" s="73">
        <v>1774.3</v>
      </c>
      <c r="AR166" s="73">
        <v>1842.6</v>
      </c>
      <c r="AS166" s="73">
        <v>2211.1</v>
      </c>
      <c r="AT166" s="73">
        <v>3040.2</v>
      </c>
      <c r="AU166" s="73">
        <v>3040.2</v>
      </c>
      <c r="AV166" s="73">
        <v>3132.4</v>
      </c>
      <c r="AW166" s="73">
        <v>3242.9</v>
      </c>
      <c r="AX166" s="73">
        <v>3242.9</v>
      </c>
      <c r="AY166" s="73">
        <v>4118.5</v>
      </c>
      <c r="AZ166" s="73">
        <v>4118.5</v>
      </c>
      <c r="BA166" s="73">
        <v>4215.8</v>
      </c>
      <c r="BB166" s="73">
        <v>4442.8</v>
      </c>
      <c r="BC166" s="73">
        <v>4887.1000000000004</v>
      </c>
      <c r="BD166" s="73">
        <v>5553.5</v>
      </c>
      <c r="BE166" s="73">
        <v>5775.6</v>
      </c>
      <c r="BF166" s="73">
        <v>6255.4</v>
      </c>
      <c r="BG166" s="73">
        <v>6513.1</v>
      </c>
      <c r="BH166" s="73">
        <v>6753</v>
      </c>
      <c r="BI166" s="73">
        <v>6415.4</v>
      </c>
      <c r="BJ166" s="73">
        <v>6442.4</v>
      </c>
      <c r="BK166" s="73">
        <v>6442.4</v>
      </c>
      <c r="BL166" s="73">
        <v>6604.5</v>
      </c>
    </row>
    <row r="167" spans="1:64" ht="20" customHeight="1">
      <c r="A167" s="20">
        <v>163</v>
      </c>
      <c r="B167" s="21" t="s">
        <v>217</v>
      </c>
      <c r="C167" s="22" t="b">
        <f t="array" ref="C167">_xlfn.SWITCH(LEFT(B167,FIND("|",B167)-1),"ابنیه",HLOOKUP(D167,'نمودار ابنیه'!$B$5:$AD$6,2,FALSE),"مکانیکی",HLOOKUP(D167,'نمودار مکانیکی'!$B$5:$AJ$6,2,FALSE),"برقی",HLOOKUP(D167,'نمودار تاسیسات برقی'!$B$5:$AK$6,2,FALSE),"خطوط",HLOOKUP(D167,'نمودار خطوط انتقال '!$B$5:$R$6,2,FALSE),"شبکه",HLOOKUP(D167,'نمودار شبکه توزیع آ'!$B$5:$O$6,2,FALSE),"سد",HLOOKUP(D167,'نمودار سدسازی'!$B$5:$P$6,2,FALSE),"فاضلاب",HLOOKUP(D167,'نمودار جمع‌آوری و ا'!$B$5:$S$6,2,FALSE),"تجهیزات",HLOOKUP(D167,'نمودار تجهیزات آب و'!$B$5:$AG$6,2,FALSE),"پست",HLOOKUP(D167,'نمودار پست های انتق'!$B$5:$AH$6,2,FALSE),"نیرو",HLOOKUP(D167,'نمودار توزیع نیرو ب'!$B$5:$AE$6,2,FALSE),FALSE)</f>
        <v>1</v>
      </c>
      <c r="D167" s="23" t="s">
        <v>218</v>
      </c>
      <c r="E167" s="15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31">
        <v>3977.9</v>
      </c>
      <c r="BA167" s="31">
        <v>4675.3</v>
      </c>
      <c r="BB167" s="31">
        <v>4649.3</v>
      </c>
      <c r="BC167" s="31">
        <v>5153</v>
      </c>
      <c r="BD167" s="31">
        <v>5177.8999999999996</v>
      </c>
      <c r="BE167" s="31">
        <v>6095.3</v>
      </c>
      <c r="BF167" s="31">
        <v>6095.3</v>
      </c>
      <c r="BG167" s="31">
        <v>6317.5</v>
      </c>
      <c r="BH167" s="31">
        <v>7061.4</v>
      </c>
      <c r="BI167" s="31">
        <v>7683.9</v>
      </c>
      <c r="BJ167" s="31">
        <v>7707</v>
      </c>
      <c r="BK167" s="31">
        <v>7700.9</v>
      </c>
      <c r="BL167" s="31">
        <v>7716.9</v>
      </c>
    </row>
    <row r="168" spans="1:64" ht="20" customHeight="1">
      <c r="A168" s="68">
        <v>164</v>
      </c>
      <c r="B168" s="69" t="s">
        <v>217</v>
      </c>
      <c r="C168" s="70" t="b">
        <f t="array" ref="C168">_xlfn.SWITCH(LEFT(B168,FIND("|",B168)-1),"ابنیه",HLOOKUP(D168,'نمودار ابنیه'!$B$5:$AD$6,2,FALSE),"مکانیکی",HLOOKUP(D168,'نمودار مکانیکی'!$B$5:$AJ$6,2,FALSE),"برقی",HLOOKUP(D168,'نمودار تاسیسات برقی'!$B$5:$AK$6,2,FALSE),"خطوط",HLOOKUP(D168,'نمودار خطوط انتقال '!$B$5:$R$6,2,FALSE),"شبکه",HLOOKUP(D168,'نمودار شبکه توزیع آ'!$B$5:$O$6,2,FALSE),"سد",HLOOKUP(D168,'نمودار سدسازی'!$B$5:$P$6,2,FALSE),"فاضلاب",HLOOKUP(D168,'نمودار جمع‌آوری و ا'!$B$5:$S$6,2,FALSE),"تجهیزات",HLOOKUP(D168,'نمودار تجهیزات آب و'!$B$5:$AG$6,2,FALSE),"پست",HLOOKUP(D168,'نمودار پست های انتق'!$B$5:$AH$6,2,FALSE),"نیرو",HLOOKUP(D168,'نمودار توزیع نیرو ب'!$B$5:$AE$6,2,FALSE),FALSE)</f>
        <v>1</v>
      </c>
      <c r="D168" s="71" t="s">
        <v>219</v>
      </c>
      <c r="E168" s="15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3">
        <v>3137.2</v>
      </c>
      <c r="BA168" s="73">
        <v>3138.3</v>
      </c>
      <c r="BB168" s="73">
        <v>3754.7</v>
      </c>
      <c r="BC168" s="73">
        <v>3808.2</v>
      </c>
      <c r="BD168" s="73">
        <v>4098.3999999999996</v>
      </c>
      <c r="BE168" s="73">
        <v>4969.6000000000004</v>
      </c>
      <c r="BF168" s="73">
        <v>5002.7</v>
      </c>
      <c r="BG168" s="73">
        <v>5453.3</v>
      </c>
      <c r="BH168" s="73">
        <v>6054</v>
      </c>
      <c r="BI168" s="73">
        <v>6341.6</v>
      </c>
      <c r="BJ168" s="73">
        <v>6344.8</v>
      </c>
      <c r="BK168" s="73">
        <v>8465.9</v>
      </c>
      <c r="BL168" s="73">
        <v>8468.2999999999993</v>
      </c>
    </row>
    <row r="169" spans="1:64" ht="20" customHeight="1">
      <c r="A169" s="25">
        <v>165</v>
      </c>
      <c r="B169" s="26" t="s">
        <v>217</v>
      </c>
      <c r="C169" s="27" t="b">
        <f t="array" ref="C169">_xlfn.SWITCH(LEFT(B169,FIND("|",B169)-1),"ابنیه",HLOOKUP(D169,'نمودار ابنیه'!$B$5:$AD$6,2,FALSE),"مکانیکی",HLOOKUP(D169,'نمودار مکانیکی'!$B$5:$AJ$6,2,FALSE),"برقی",HLOOKUP(D169,'نمودار تاسیسات برقی'!$B$5:$AK$6,2,FALSE),"خطوط",HLOOKUP(D169,'نمودار خطوط انتقال '!$B$5:$R$6,2,FALSE),"شبکه",HLOOKUP(D169,'نمودار شبکه توزیع آ'!$B$5:$O$6,2,FALSE),"سد",HLOOKUP(D169,'نمودار سدسازی'!$B$5:$P$6,2,FALSE),"فاضلاب",HLOOKUP(D169,'نمودار جمع‌آوری و ا'!$B$5:$S$6,2,FALSE),"تجهیزات",HLOOKUP(D169,'نمودار تجهیزات آب و'!$B$5:$AG$6,2,FALSE),"پست",HLOOKUP(D169,'نمودار پست های انتق'!$B$5:$AH$6,2,FALSE),"نیرو",HLOOKUP(D169,'نمودار توزیع نیرو ب'!$B$5:$AE$6,2,FALSE),FALSE)</f>
        <v>1</v>
      </c>
      <c r="D169" s="28" t="s">
        <v>220</v>
      </c>
      <c r="E169" s="15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32">
        <v>3255.4</v>
      </c>
      <c r="BA169" s="32">
        <v>3350.4</v>
      </c>
      <c r="BB169" s="32">
        <v>4163.8</v>
      </c>
      <c r="BC169" s="32">
        <v>4176.7</v>
      </c>
      <c r="BD169" s="32">
        <v>4077.6</v>
      </c>
      <c r="BE169" s="32">
        <v>6139.7</v>
      </c>
      <c r="BF169" s="32">
        <v>6139.7</v>
      </c>
      <c r="BG169" s="32">
        <v>6403.5</v>
      </c>
      <c r="BH169" s="32">
        <v>7069.7</v>
      </c>
      <c r="BI169" s="32">
        <v>6737.9</v>
      </c>
      <c r="BJ169" s="32">
        <v>7096.6</v>
      </c>
      <c r="BK169" s="32">
        <v>8643.4</v>
      </c>
      <c r="BL169" s="32">
        <v>8649.6</v>
      </c>
    </row>
    <row r="170" spans="1:64" ht="20" customHeight="1">
      <c r="A170" s="68">
        <v>166</v>
      </c>
      <c r="B170" s="69" t="s">
        <v>217</v>
      </c>
      <c r="C170" s="70" t="b">
        <f t="array" ref="C170">_xlfn.SWITCH(LEFT(B170,FIND("|",B170)-1),"ابنیه",HLOOKUP(D170,'نمودار ابنیه'!$B$5:$AD$6,2,FALSE),"مکانیکی",HLOOKUP(D170,'نمودار مکانیکی'!$B$5:$AJ$6,2,FALSE),"برقی",HLOOKUP(D170,'نمودار تاسیسات برقی'!$B$5:$AK$6,2,FALSE),"خطوط",HLOOKUP(D170,'نمودار خطوط انتقال '!$B$5:$R$6,2,FALSE),"شبکه",HLOOKUP(D170,'نمودار شبکه توزیع آ'!$B$5:$O$6,2,FALSE),"سد",HLOOKUP(D170,'نمودار سدسازی'!$B$5:$P$6,2,FALSE),"فاضلاب",HLOOKUP(D170,'نمودار جمع‌آوری و ا'!$B$5:$S$6,2,FALSE),"تجهیزات",HLOOKUP(D170,'نمودار تجهیزات آب و'!$B$5:$AG$6,2,FALSE),"پست",HLOOKUP(D170,'نمودار پست های انتق'!$B$5:$AH$6,2,FALSE),"نیرو",HLOOKUP(D170,'نمودار توزیع نیرو ب'!$B$5:$AE$6,2,FALSE),FALSE)</f>
        <v>1</v>
      </c>
      <c r="D170" s="71" t="s">
        <v>221</v>
      </c>
      <c r="E170" s="15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3">
        <v>3161.8</v>
      </c>
      <c r="BA170" s="73">
        <v>3255.6</v>
      </c>
      <c r="BB170" s="73">
        <v>3321.3</v>
      </c>
      <c r="BC170" s="73">
        <v>3671.4</v>
      </c>
      <c r="BD170" s="73">
        <v>3674.5</v>
      </c>
      <c r="BE170" s="73">
        <v>4272.3999999999996</v>
      </c>
      <c r="BF170" s="73">
        <v>4272.3999999999996</v>
      </c>
      <c r="BG170" s="73">
        <v>4999.8999999999996</v>
      </c>
      <c r="BH170" s="73">
        <v>5531.3</v>
      </c>
      <c r="BI170" s="73">
        <v>5731.8</v>
      </c>
      <c r="BJ170" s="73">
        <v>5374</v>
      </c>
      <c r="BK170" s="73">
        <v>6919.3</v>
      </c>
      <c r="BL170" s="73">
        <v>6920.4</v>
      </c>
    </row>
    <row r="171" spans="1:64" ht="20" customHeight="1">
      <c r="A171" s="25">
        <v>167</v>
      </c>
      <c r="B171" s="26" t="s">
        <v>217</v>
      </c>
      <c r="C171" s="27" t="b">
        <f t="array" ref="C171">_xlfn.SWITCH(LEFT(B171,FIND("|",B171)-1),"ابنیه",HLOOKUP(D171,'نمودار ابنیه'!$B$5:$AD$6,2,FALSE),"مکانیکی",HLOOKUP(D171,'نمودار مکانیکی'!$B$5:$AJ$6,2,FALSE),"برقی",HLOOKUP(D171,'نمودار تاسیسات برقی'!$B$5:$AK$6,2,FALSE),"خطوط",HLOOKUP(D171,'نمودار خطوط انتقال '!$B$5:$R$6,2,FALSE),"شبکه",HLOOKUP(D171,'نمودار شبکه توزیع آ'!$B$5:$O$6,2,FALSE),"سد",HLOOKUP(D171,'نمودار سدسازی'!$B$5:$P$6,2,FALSE),"فاضلاب",HLOOKUP(D171,'نمودار جمع‌آوری و ا'!$B$5:$S$6,2,FALSE),"تجهیزات",HLOOKUP(D171,'نمودار تجهیزات آب و'!$B$5:$AG$6,2,FALSE),"پست",HLOOKUP(D171,'نمودار پست های انتق'!$B$5:$AH$6,2,FALSE),"نیرو",HLOOKUP(D171,'نمودار توزیع نیرو ب'!$B$5:$AE$6,2,FALSE),FALSE)</f>
        <v>1</v>
      </c>
      <c r="D171" s="28" t="s">
        <v>222</v>
      </c>
      <c r="E171" s="15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32">
        <v>3379.5</v>
      </c>
      <c r="BA171" s="32">
        <v>3413.4</v>
      </c>
      <c r="BB171" s="32">
        <v>3533.4</v>
      </c>
      <c r="BC171" s="32">
        <v>3499.3</v>
      </c>
      <c r="BD171" s="32">
        <v>3517.7</v>
      </c>
      <c r="BE171" s="32">
        <v>3840.4</v>
      </c>
      <c r="BF171" s="32">
        <v>3995.5</v>
      </c>
      <c r="BG171" s="32">
        <v>4419.5</v>
      </c>
      <c r="BH171" s="32">
        <v>4984.8999999999996</v>
      </c>
      <c r="BI171" s="32">
        <v>5868.1</v>
      </c>
      <c r="BJ171" s="32">
        <v>5886.4</v>
      </c>
      <c r="BK171" s="32">
        <v>5822.6</v>
      </c>
      <c r="BL171" s="32">
        <v>5851.3</v>
      </c>
    </row>
    <row r="172" spans="1:64" ht="20" customHeight="1">
      <c r="A172" s="68">
        <v>168</v>
      </c>
      <c r="B172" s="69" t="s">
        <v>217</v>
      </c>
      <c r="C172" s="70" t="b">
        <f t="array" ref="C172">_xlfn.SWITCH(LEFT(B172,FIND("|",B172)-1),"ابنیه",HLOOKUP(D172,'نمودار ابنیه'!$B$5:$AD$6,2,FALSE),"مکانیکی",HLOOKUP(D172,'نمودار مکانیکی'!$B$5:$AJ$6,2,FALSE),"برقی",HLOOKUP(D172,'نمودار تاسیسات برقی'!$B$5:$AK$6,2,FALSE),"خطوط",HLOOKUP(D172,'نمودار خطوط انتقال '!$B$5:$R$6,2,FALSE),"شبکه",HLOOKUP(D172,'نمودار شبکه توزیع آ'!$B$5:$O$6,2,FALSE),"سد",HLOOKUP(D172,'نمودار سدسازی'!$B$5:$P$6,2,FALSE),"فاضلاب",HLOOKUP(D172,'نمودار جمع‌آوری و ا'!$B$5:$S$6,2,FALSE),"تجهیزات",HLOOKUP(D172,'نمودار تجهیزات آب و'!$B$5:$AG$6,2,FALSE),"پست",HLOOKUP(D172,'نمودار پست های انتق'!$B$5:$AH$6,2,FALSE),"نیرو",HLOOKUP(D172,'نمودار توزیع نیرو ب'!$B$5:$AE$6,2,FALSE),FALSE)</f>
        <v>0</v>
      </c>
      <c r="D172" s="71" t="s">
        <v>223</v>
      </c>
      <c r="E172" s="15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3">
        <v>3152.9</v>
      </c>
      <c r="BA172" s="73">
        <v>3243</v>
      </c>
      <c r="BB172" s="73">
        <v>3302.5</v>
      </c>
      <c r="BC172" s="73">
        <v>3296.7</v>
      </c>
      <c r="BD172" s="73">
        <v>3298.3</v>
      </c>
      <c r="BE172" s="73">
        <v>3908.5</v>
      </c>
      <c r="BF172" s="73">
        <v>4351.1000000000004</v>
      </c>
      <c r="BG172" s="73">
        <v>4445.2</v>
      </c>
      <c r="BH172" s="73">
        <v>4770.5</v>
      </c>
      <c r="BI172" s="73">
        <v>4996.3999999999996</v>
      </c>
      <c r="BJ172" s="73">
        <v>4997.2</v>
      </c>
      <c r="BK172" s="73">
        <v>5068</v>
      </c>
      <c r="BL172" s="73">
        <v>5068.5</v>
      </c>
    </row>
    <row r="173" spans="1:64" ht="20" customHeight="1">
      <c r="A173" s="25">
        <v>169</v>
      </c>
      <c r="B173" s="26" t="s">
        <v>217</v>
      </c>
      <c r="C173" s="27" t="b">
        <f t="array" ref="C173">_xlfn.SWITCH(LEFT(B173,FIND("|",B173)-1),"ابنیه",HLOOKUP(D173,'نمودار ابنیه'!$B$5:$AD$6,2,FALSE),"مکانیکی",HLOOKUP(D173,'نمودار مکانیکی'!$B$5:$AJ$6,2,FALSE),"برقی",HLOOKUP(D173,'نمودار تاسیسات برقی'!$B$5:$AK$6,2,FALSE),"خطوط",HLOOKUP(D173,'نمودار خطوط انتقال '!$B$5:$R$6,2,FALSE),"شبکه",HLOOKUP(D173,'نمودار شبکه توزیع آ'!$B$5:$O$6,2,FALSE),"سد",HLOOKUP(D173,'نمودار سدسازی'!$B$5:$P$6,2,FALSE),"فاضلاب",HLOOKUP(D173,'نمودار جمع‌آوری و ا'!$B$5:$S$6,2,FALSE),"تجهیزات",HLOOKUP(D173,'نمودار تجهیزات آب و'!$B$5:$AG$6,2,FALSE),"پست",HLOOKUP(D173,'نمودار پست های انتق'!$B$5:$AH$6,2,FALSE),"نیرو",HLOOKUP(D173,'نمودار توزیع نیرو ب'!$B$5:$AE$6,2,FALSE),FALSE)</f>
        <v>0</v>
      </c>
      <c r="D173" s="28" t="s">
        <v>224</v>
      </c>
      <c r="E173" s="15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32">
        <v>3522</v>
      </c>
      <c r="BA173" s="32">
        <v>3846</v>
      </c>
      <c r="BB173" s="32">
        <v>3969</v>
      </c>
      <c r="BC173" s="32">
        <v>4382.1000000000004</v>
      </c>
      <c r="BD173" s="32">
        <v>4642.7</v>
      </c>
      <c r="BE173" s="32">
        <v>5100.2</v>
      </c>
      <c r="BF173" s="32">
        <v>5231.5</v>
      </c>
      <c r="BG173" s="32">
        <v>5707.8</v>
      </c>
      <c r="BH173" s="32">
        <v>6342.9</v>
      </c>
      <c r="BI173" s="32">
        <v>7123.1</v>
      </c>
      <c r="BJ173" s="32">
        <v>7130.2</v>
      </c>
      <c r="BK173" s="32">
        <v>7384.5</v>
      </c>
      <c r="BL173" s="32">
        <v>8680.5</v>
      </c>
    </row>
    <row r="174" spans="1:64" ht="20" customHeight="1">
      <c r="A174" s="68">
        <v>170</v>
      </c>
      <c r="B174" s="69" t="s">
        <v>217</v>
      </c>
      <c r="C174" s="70" t="b">
        <f t="array" ref="C174">_xlfn.SWITCH(LEFT(B174,FIND("|",B174)-1),"ابنیه",HLOOKUP(D174,'نمودار ابنیه'!$B$5:$AD$6,2,FALSE),"مکانیکی",HLOOKUP(D174,'نمودار مکانیکی'!$B$5:$AJ$6,2,FALSE),"برقی",HLOOKUP(D174,'نمودار تاسیسات برقی'!$B$5:$AK$6,2,FALSE),"خطوط",HLOOKUP(D174,'نمودار خطوط انتقال '!$B$5:$R$6,2,FALSE),"شبکه",HLOOKUP(D174,'نمودار شبکه توزیع آ'!$B$5:$O$6,2,FALSE),"سد",HLOOKUP(D174,'نمودار سدسازی'!$B$5:$P$6,2,FALSE),"فاضلاب",HLOOKUP(D174,'نمودار جمع‌آوری و ا'!$B$5:$S$6,2,FALSE),"تجهیزات",HLOOKUP(D174,'نمودار تجهیزات آب و'!$B$5:$AG$6,2,FALSE),"پست",HLOOKUP(D174,'نمودار پست های انتق'!$B$5:$AH$6,2,FALSE),"نیرو",HLOOKUP(D174,'نمودار توزیع نیرو ب'!$B$5:$AE$6,2,FALSE),FALSE)</f>
        <v>0</v>
      </c>
      <c r="D174" s="71" t="s">
        <v>225</v>
      </c>
      <c r="E174" s="15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3">
        <v>3600.4</v>
      </c>
      <c r="BA174" s="73">
        <v>4050.2</v>
      </c>
      <c r="BB174" s="73">
        <v>4199.3999999999996</v>
      </c>
      <c r="BC174" s="73">
        <v>4123.3</v>
      </c>
      <c r="BD174" s="73">
        <v>4037.3</v>
      </c>
      <c r="BE174" s="73">
        <v>4959.1000000000004</v>
      </c>
      <c r="BF174" s="73">
        <v>5504.6</v>
      </c>
      <c r="BG174" s="73">
        <v>6008.5</v>
      </c>
      <c r="BH174" s="73">
        <v>6680.5</v>
      </c>
      <c r="BI174" s="73">
        <v>6681.7</v>
      </c>
      <c r="BJ174" s="73">
        <v>6681.9</v>
      </c>
      <c r="BK174" s="73">
        <v>6682.6</v>
      </c>
      <c r="BL174" s="73">
        <v>7864.1</v>
      </c>
    </row>
    <row r="175" spans="1:64" ht="20" customHeight="1">
      <c r="A175" s="25">
        <v>171</v>
      </c>
      <c r="B175" s="26" t="s">
        <v>217</v>
      </c>
      <c r="C175" s="27" t="b">
        <f t="array" ref="C175">_xlfn.SWITCH(LEFT(B175,FIND("|",B175)-1),"ابنیه",HLOOKUP(D175,'نمودار ابنیه'!$B$5:$AD$6,2,FALSE),"مکانیکی",HLOOKUP(D175,'نمودار مکانیکی'!$B$5:$AJ$6,2,FALSE),"برقی",HLOOKUP(D175,'نمودار تاسیسات برقی'!$B$5:$AK$6,2,FALSE),"خطوط",HLOOKUP(D175,'نمودار خطوط انتقال '!$B$5:$R$6,2,FALSE),"شبکه",HLOOKUP(D175,'نمودار شبکه توزیع آ'!$B$5:$O$6,2,FALSE),"سد",HLOOKUP(D175,'نمودار سدسازی'!$B$5:$P$6,2,FALSE),"فاضلاب",HLOOKUP(D175,'نمودار جمع‌آوری و ا'!$B$5:$S$6,2,FALSE),"تجهیزات",HLOOKUP(D175,'نمودار تجهیزات آب و'!$B$5:$AG$6,2,FALSE),"پست",HLOOKUP(D175,'نمودار پست های انتق'!$B$5:$AH$6,2,FALSE),"نیرو",HLOOKUP(D175,'نمودار توزیع نیرو ب'!$B$5:$AE$6,2,FALSE),FALSE)</f>
        <v>0</v>
      </c>
      <c r="D175" s="28" t="s">
        <v>226</v>
      </c>
      <c r="E175" s="15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32">
        <v>3715.1</v>
      </c>
      <c r="BA175" s="32">
        <v>4050.5</v>
      </c>
      <c r="BB175" s="32">
        <v>4200.7</v>
      </c>
      <c r="BC175" s="32">
        <v>4127.3</v>
      </c>
      <c r="BD175" s="32">
        <v>4041.3</v>
      </c>
      <c r="BE175" s="32">
        <v>4982.3999999999996</v>
      </c>
      <c r="BF175" s="32">
        <v>5545.7</v>
      </c>
      <c r="BG175" s="32">
        <v>6049.8</v>
      </c>
      <c r="BH175" s="32">
        <v>6721.9</v>
      </c>
      <c r="BI175" s="32">
        <v>7463.4</v>
      </c>
      <c r="BJ175" s="32">
        <v>7463.4</v>
      </c>
      <c r="BK175" s="32">
        <v>7543</v>
      </c>
      <c r="BL175" s="32">
        <v>7914.5</v>
      </c>
    </row>
    <row r="176" spans="1:64" ht="20" customHeight="1">
      <c r="A176" s="68">
        <v>172</v>
      </c>
      <c r="B176" s="69" t="s">
        <v>217</v>
      </c>
      <c r="C176" s="70" t="b">
        <f t="array" ref="C176">_xlfn.SWITCH(LEFT(B176,FIND("|",B176)-1),"ابنیه",HLOOKUP(D176,'نمودار ابنیه'!$B$5:$AD$6,2,FALSE),"مکانیکی",HLOOKUP(D176,'نمودار مکانیکی'!$B$5:$AJ$6,2,FALSE),"برقی",HLOOKUP(D176,'نمودار تاسیسات برقی'!$B$5:$AK$6,2,FALSE),"خطوط",HLOOKUP(D176,'نمودار خطوط انتقال '!$B$5:$R$6,2,FALSE),"شبکه",HLOOKUP(D176,'نمودار شبکه توزیع آ'!$B$5:$O$6,2,FALSE),"سد",HLOOKUP(D176,'نمودار سدسازی'!$B$5:$P$6,2,FALSE),"فاضلاب",HLOOKUP(D176,'نمودار جمع‌آوری و ا'!$B$5:$S$6,2,FALSE),"تجهیزات",HLOOKUP(D176,'نمودار تجهیزات آب و'!$B$5:$AG$6,2,FALSE),"پست",HLOOKUP(D176,'نمودار پست های انتق'!$B$5:$AH$6,2,FALSE),"نیرو",HLOOKUP(D176,'نمودار توزیع نیرو ب'!$B$5:$AE$6,2,FALSE),FALSE)</f>
        <v>0</v>
      </c>
      <c r="D176" s="71" t="s">
        <v>227</v>
      </c>
      <c r="E176" s="15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3">
        <v>3106.1</v>
      </c>
      <c r="BA176" s="73">
        <v>3935.1</v>
      </c>
      <c r="BB176" s="73">
        <v>4449.3999999999996</v>
      </c>
      <c r="BC176" s="73">
        <v>4582.8999999999996</v>
      </c>
      <c r="BD176" s="73">
        <v>4399.3999999999996</v>
      </c>
      <c r="BE176" s="73">
        <v>5262.7</v>
      </c>
      <c r="BF176" s="73">
        <v>5648.9</v>
      </c>
      <c r="BG176" s="73">
        <v>6182.9</v>
      </c>
      <c r="BH176" s="73">
        <v>6894.8</v>
      </c>
      <c r="BI176" s="73">
        <v>7730.7</v>
      </c>
      <c r="BJ176" s="73">
        <v>7765.9</v>
      </c>
      <c r="BK176" s="73">
        <v>8478.6</v>
      </c>
      <c r="BL176" s="73">
        <v>8508.2000000000007</v>
      </c>
    </row>
    <row r="177" spans="1:64" ht="20" customHeight="1">
      <c r="A177" s="25">
        <v>173</v>
      </c>
      <c r="B177" s="26" t="s">
        <v>217</v>
      </c>
      <c r="C177" s="27" t="b">
        <f t="array" ref="C177">_xlfn.SWITCH(LEFT(B177,FIND("|",B177)-1),"ابنیه",HLOOKUP(D177,'نمودار ابنیه'!$B$5:$AD$6,2,FALSE),"مکانیکی",HLOOKUP(D177,'نمودار مکانیکی'!$B$5:$AJ$6,2,FALSE),"برقی",HLOOKUP(D177,'نمودار تاسیسات برقی'!$B$5:$AK$6,2,FALSE),"خطوط",HLOOKUP(D177,'نمودار خطوط انتقال '!$B$5:$R$6,2,FALSE),"شبکه",HLOOKUP(D177,'نمودار شبکه توزیع آ'!$B$5:$O$6,2,FALSE),"سد",HLOOKUP(D177,'نمودار سدسازی'!$B$5:$P$6,2,FALSE),"فاضلاب",HLOOKUP(D177,'نمودار جمع‌آوری و ا'!$B$5:$S$6,2,FALSE),"تجهیزات",HLOOKUP(D177,'نمودار تجهیزات آب و'!$B$5:$AG$6,2,FALSE),"پست",HLOOKUP(D177,'نمودار پست های انتق'!$B$5:$AH$6,2,FALSE),"نیرو",HLOOKUP(D177,'نمودار توزیع نیرو ب'!$B$5:$AE$6,2,FALSE),FALSE)</f>
        <v>0</v>
      </c>
      <c r="D177" s="28" t="s">
        <v>228</v>
      </c>
      <c r="E177" s="15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32">
        <v>3307.7</v>
      </c>
      <c r="BA177" s="32">
        <v>3315.5</v>
      </c>
      <c r="BB177" s="32">
        <v>3438</v>
      </c>
      <c r="BC177" s="32">
        <v>3651.2</v>
      </c>
      <c r="BD177" s="32">
        <v>3670.7</v>
      </c>
      <c r="BE177" s="32">
        <v>4051.7</v>
      </c>
      <c r="BF177" s="32">
        <v>4287.2</v>
      </c>
      <c r="BG177" s="32">
        <v>4699.7</v>
      </c>
      <c r="BH177" s="32">
        <v>5249.8</v>
      </c>
      <c r="BI177" s="32">
        <v>5483.8</v>
      </c>
      <c r="BJ177" s="32">
        <v>5530.9</v>
      </c>
      <c r="BK177" s="32">
        <v>5567.5</v>
      </c>
      <c r="BL177" s="32">
        <v>6352.6</v>
      </c>
    </row>
    <row r="178" spans="1:64" ht="20" customHeight="1">
      <c r="A178" s="68">
        <v>174</v>
      </c>
      <c r="B178" s="69" t="s">
        <v>217</v>
      </c>
      <c r="C178" s="70" t="b">
        <f t="array" ref="C178">_xlfn.SWITCH(LEFT(B178,FIND("|",B178)-1),"ابنیه",HLOOKUP(D178,'نمودار ابنیه'!$B$5:$AD$6,2,FALSE),"مکانیکی",HLOOKUP(D178,'نمودار مکانیکی'!$B$5:$AJ$6,2,FALSE),"برقی",HLOOKUP(D178,'نمودار تاسیسات برقی'!$B$5:$AK$6,2,FALSE),"خطوط",HLOOKUP(D178,'نمودار خطوط انتقال '!$B$5:$R$6,2,FALSE),"شبکه",HLOOKUP(D178,'نمودار شبکه توزیع آ'!$B$5:$O$6,2,FALSE),"سد",HLOOKUP(D178,'نمودار سدسازی'!$B$5:$P$6,2,FALSE),"فاضلاب",HLOOKUP(D178,'نمودار جمع‌آوری و ا'!$B$5:$S$6,2,FALSE),"تجهیزات",HLOOKUP(D178,'نمودار تجهیزات آب و'!$B$5:$AG$6,2,FALSE),"پست",HLOOKUP(D178,'نمودار پست های انتق'!$B$5:$AH$6,2,FALSE),"نیرو",HLOOKUP(D178,'نمودار توزیع نیرو ب'!$B$5:$AE$6,2,FALSE),FALSE)</f>
        <v>0</v>
      </c>
      <c r="D178" s="71" t="s">
        <v>229</v>
      </c>
      <c r="E178" s="15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3">
        <v>3125.4</v>
      </c>
      <c r="BA178" s="73">
        <v>3185.8</v>
      </c>
      <c r="BB178" s="73">
        <v>3300.2</v>
      </c>
      <c r="BC178" s="73">
        <v>3567.1</v>
      </c>
      <c r="BD178" s="73">
        <v>3619.5</v>
      </c>
      <c r="BE178" s="73">
        <v>3992.1</v>
      </c>
      <c r="BF178" s="73">
        <v>4261.6000000000004</v>
      </c>
      <c r="BG178" s="73">
        <v>4657.6000000000004</v>
      </c>
      <c r="BH178" s="73">
        <v>5185.6000000000004</v>
      </c>
      <c r="BI178" s="73">
        <v>5195.8999999999996</v>
      </c>
      <c r="BJ178" s="73">
        <v>4890.7</v>
      </c>
      <c r="BK178" s="73">
        <v>5457.1</v>
      </c>
      <c r="BL178" s="73">
        <v>5458.6</v>
      </c>
    </row>
    <row r="179" spans="1:64" ht="20" customHeight="1">
      <c r="A179" s="25">
        <v>175</v>
      </c>
      <c r="B179" s="26" t="s">
        <v>217</v>
      </c>
      <c r="C179" s="27" t="b">
        <f t="array" ref="C179">_xlfn.SWITCH(LEFT(B179,FIND("|",B179)-1),"ابنیه",HLOOKUP(D179,'نمودار ابنیه'!$B$5:$AD$6,2,FALSE),"مکانیکی",HLOOKUP(D179,'نمودار مکانیکی'!$B$5:$AJ$6,2,FALSE),"برقی",HLOOKUP(D179,'نمودار تاسیسات برقی'!$B$5:$AK$6,2,FALSE),"خطوط",HLOOKUP(D179,'نمودار خطوط انتقال '!$B$5:$R$6,2,FALSE),"شبکه",HLOOKUP(D179,'نمودار شبکه توزیع آ'!$B$5:$O$6,2,FALSE),"سد",HLOOKUP(D179,'نمودار سدسازی'!$B$5:$P$6,2,FALSE),"فاضلاب",HLOOKUP(D179,'نمودار جمع‌آوری و ا'!$B$5:$S$6,2,FALSE),"تجهیزات",HLOOKUP(D179,'نمودار تجهیزات آب و'!$B$5:$AG$6,2,FALSE),"پست",HLOOKUP(D179,'نمودار پست های انتق'!$B$5:$AH$6,2,FALSE),"نیرو",HLOOKUP(D179,'نمودار توزیع نیرو ب'!$B$5:$AE$6,2,FALSE),FALSE)</f>
        <v>0</v>
      </c>
      <c r="D179" s="28" t="s">
        <v>230</v>
      </c>
      <c r="E179" s="15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32">
        <v>3016.5</v>
      </c>
      <c r="BA179" s="32">
        <v>3142</v>
      </c>
      <c r="BB179" s="32">
        <v>3142.2</v>
      </c>
      <c r="BC179" s="32">
        <v>3208.1</v>
      </c>
      <c r="BD179" s="32">
        <v>3210.1</v>
      </c>
      <c r="BE179" s="32">
        <v>3360.9</v>
      </c>
      <c r="BF179" s="32">
        <v>3466.5</v>
      </c>
      <c r="BG179" s="32">
        <v>3843.6</v>
      </c>
      <c r="BH179" s="32">
        <v>4346.3</v>
      </c>
      <c r="BI179" s="32">
        <v>4368</v>
      </c>
      <c r="BJ179" s="32">
        <v>4937.8</v>
      </c>
      <c r="BK179" s="32">
        <v>6354.3</v>
      </c>
      <c r="BL179" s="32">
        <v>6509.9</v>
      </c>
    </row>
    <row r="180" spans="1:64" ht="20" customHeight="1">
      <c r="A180" s="68">
        <v>176</v>
      </c>
      <c r="B180" s="69" t="s">
        <v>217</v>
      </c>
      <c r="C180" s="70" t="b">
        <f t="array" ref="C180">_xlfn.SWITCH(LEFT(B180,FIND("|",B180)-1),"ابنیه",HLOOKUP(D180,'نمودار ابنیه'!$B$5:$AD$6,2,FALSE),"مکانیکی",HLOOKUP(D180,'نمودار مکانیکی'!$B$5:$AJ$6,2,FALSE),"برقی",HLOOKUP(D180,'نمودار تاسیسات برقی'!$B$5:$AK$6,2,FALSE),"خطوط",HLOOKUP(D180,'نمودار خطوط انتقال '!$B$5:$R$6,2,FALSE),"شبکه",HLOOKUP(D180,'نمودار شبکه توزیع آ'!$B$5:$O$6,2,FALSE),"سد",HLOOKUP(D180,'نمودار سدسازی'!$B$5:$P$6,2,FALSE),"فاضلاب",HLOOKUP(D180,'نمودار جمع‌آوری و ا'!$B$5:$S$6,2,FALSE),"تجهیزات",HLOOKUP(D180,'نمودار تجهیزات آب و'!$B$5:$AG$6,2,FALSE),"پست",HLOOKUP(D180,'نمودار پست های انتق'!$B$5:$AH$6,2,FALSE),"نیرو",HLOOKUP(D180,'نمودار توزیع نیرو ب'!$B$5:$AE$6,2,FALSE),FALSE)</f>
        <v>0</v>
      </c>
      <c r="D180" s="71" t="s">
        <v>231</v>
      </c>
      <c r="E180" s="15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3">
        <v>3765</v>
      </c>
      <c r="BA180" s="73">
        <v>3837</v>
      </c>
      <c r="BB180" s="73">
        <v>3816</v>
      </c>
      <c r="BC180" s="73">
        <v>4279.5</v>
      </c>
      <c r="BD180" s="73">
        <v>4360.3999999999996</v>
      </c>
      <c r="BE180" s="73">
        <v>4695.6000000000004</v>
      </c>
      <c r="BF180" s="73">
        <v>4731.8</v>
      </c>
      <c r="BG180" s="73">
        <v>4752.1000000000004</v>
      </c>
      <c r="BH180" s="73">
        <v>5362.6</v>
      </c>
      <c r="BI180" s="73">
        <v>6009.3</v>
      </c>
      <c r="BJ180" s="73">
        <v>6010.5</v>
      </c>
      <c r="BK180" s="73">
        <v>6626.8</v>
      </c>
      <c r="BL180" s="73">
        <v>7239.7</v>
      </c>
    </row>
    <row r="181" spans="1:64" ht="20" customHeight="1">
      <c r="A181" s="25">
        <v>177</v>
      </c>
      <c r="B181" s="26" t="s">
        <v>217</v>
      </c>
      <c r="C181" s="27" t="b">
        <f t="array" ref="C181">_xlfn.SWITCH(LEFT(B181,FIND("|",B181)-1),"ابنیه",HLOOKUP(D181,'نمودار ابنیه'!$B$5:$AD$6,2,FALSE),"مکانیکی",HLOOKUP(D181,'نمودار مکانیکی'!$B$5:$AJ$6,2,FALSE),"برقی",HLOOKUP(D181,'نمودار تاسیسات برقی'!$B$5:$AK$6,2,FALSE),"خطوط",HLOOKUP(D181,'نمودار خطوط انتقال '!$B$5:$R$6,2,FALSE),"شبکه",HLOOKUP(D181,'نمودار شبکه توزیع آ'!$B$5:$O$6,2,FALSE),"سد",HLOOKUP(D181,'نمودار سدسازی'!$B$5:$P$6,2,FALSE),"فاضلاب",HLOOKUP(D181,'نمودار جمع‌آوری و ا'!$B$5:$S$6,2,FALSE),"تجهیزات",HLOOKUP(D181,'نمودار تجهیزات آب و'!$B$5:$AG$6,2,FALSE),"پست",HLOOKUP(D181,'نمودار پست های انتق'!$B$5:$AH$6,2,FALSE),"نیرو",HLOOKUP(D181,'نمودار توزیع نیرو ب'!$B$5:$AE$6,2,FALSE),FALSE)</f>
        <v>0</v>
      </c>
      <c r="D181" s="28" t="s">
        <v>232</v>
      </c>
      <c r="E181" s="15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32">
        <v>3656.9</v>
      </c>
      <c r="BA181" s="32">
        <v>3648.2</v>
      </c>
      <c r="BB181" s="32">
        <v>3492</v>
      </c>
      <c r="BC181" s="32">
        <v>3536.9</v>
      </c>
      <c r="BD181" s="32">
        <v>3617.3</v>
      </c>
      <c r="BE181" s="32">
        <v>4132.8</v>
      </c>
      <c r="BF181" s="32">
        <v>4600.7</v>
      </c>
      <c r="BG181" s="32">
        <v>4700.2</v>
      </c>
      <c r="BH181" s="32">
        <v>5044.2</v>
      </c>
      <c r="BI181" s="32">
        <v>5478.1</v>
      </c>
      <c r="BJ181" s="32">
        <v>5278.7</v>
      </c>
      <c r="BK181" s="32">
        <v>5621.4</v>
      </c>
      <c r="BL181" s="32">
        <v>5831.9</v>
      </c>
    </row>
    <row r="182" spans="1:64" ht="20" customHeight="1">
      <c r="A182" s="68">
        <v>178</v>
      </c>
      <c r="B182" s="69" t="s">
        <v>217</v>
      </c>
      <c r="C182" s="70" t="b">
        <f t="array" ref="C182">_xlfn.SWITCH(LEFT(B182,FIND("|",B182)-1),"ابنیه",HLOOKUP(D182,'نمودار ابنیه'!$B$5:$AD$6,2,FALSE),"مکانیکی",HLOOKUP(D182,'نمودار مکانیکی'!$B$5:$AJ$6,2,FALSE),"برقی",HLOOKUP(D182,'نمودار تاسیسات برقی'!$B$5:$AK$6,2,FALSE),"خطوط",HLOOKUP(D182,'نمودار خطوط انتقال '!$B$5:$R$6,2,FALSE),"شبکه",HLOOKUP(D182,'نمودار شبکه توزیع آ'!$B$5:$O$6,2,FALSE),"سد",HLOOKUP(D182,'نمودار سدسازی'!$B$5:$P$6,2,FALSE),"فاضلاب",HLOOKUP(D182,'نمودار جمع‌آوری و ا'!$B$5:$S$6,2,FALSE),"تجهیزات",HLOOKUP(D182,'نمودار تجهیزات آب و'!$B$5:$AG$6,2,FALSE),"پست",HLOOKUP(D182,'نمودار پست های انتق'!$B$5:$AH$6,2,FALSE),"نیرو",HLOOKUP(D182,'نمودار توزیع نیرو ب'!$B$5:$AE$6,2,FALSE),FALSE)</f>
        <v>1</v>
      </c>
      <c r="D182" s="71" t="s">
        <v>233</v>
      </c>
      <c r="E182" s="15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3">
        <v>3767.7</v>
      </c>
      <c r="BA182" s="73">
        <v>3958.1</v>
      </c>
      <c r="BB182" s="73">
        <v>4155.1000000000004</v>
      </c>
      <c r="BC182" s="73">
        <v>3989.3</v>
      </c>
      <c r="BD182" s="73">
        <v>3998.7</v>
      </c>
      <c r="BE182" s="73">
        <v>4926.1000000000004</v>
      </c>
      <c r="BF182" s="73">
        <v>5489.3</v>
      </c>
      <c r="BG182" s="73">
        <v>5987.9</v>
      </c>
      <c r="BH182" s="73">
        <v>6652.7</v>
      </c>
      <c r="BI182" s="73">
        <v>6974</v>
      </c>
      <c r="BJ182" s="73">
        <v>7021.1</v>
      </c>
      <c r="BK182" s="73">
        <v>7921</v>
      </c>
      <c r="BL182" s="73">
        <v>8633.5</v>
      </c>
    </row>
    <row r="183" spans="1:64" ht="20" customHeight="1">
      <c r="A183" s="25">
        <v>179</v>
      </c>
      <c r="B183" s="26" t="s">
        <v>217</v>
      </c>
      <c r="C183" s="27" t="b">
        <f t="array" ref="C183">_xlfn.SWITCH(LEFT(B183,FIND("|",B183)-1),"ابنیه",HLOOKUP(D183,'نمودار ابنیه'!$B$5:$AD$6,2,FALSE),"مکانیکی",HLOOKUP(D183,'نمودار مکانیکی'!$B$5:$AJ$6,2,FALSE),"برقی",HLOOKUP(D183,'نمودار تاسیسات برقی'!$B$5:$AK$6,2,FALSE),"خطوط",HLOOKUP(D183,'نمودار خطوط انتقال '!$B$5:$R$6,2,FALSE),"شبکه",HLOOKUP(D183,'نمودار شبکه توزیع آ'!$B$5:$O$6,2,FALSE),"سد",HLOOKUP(D183,'نمودار سدسازی'!$B$5:$P$6,2,FALSE),"فاضلاب",HLOOKUP(D183,'نمودار جمع‌آوری و ا'!$B$5:$S$6,2,FALSE),"تجهیزات",HLOOKUP(D183,'نمودار تجهیزات آب و'!$B$5:$AG$6,2,FALSE),"پست",HLOOKUP(D183,'نمودار پست های انتق'!$B$5:$AH$6,2,FALSE),"نیرو",HLOOKUP(D183,'نمودار توزیع نیرو ب'!$B$5:$AE$6,2,FALSE),FALSE)</f>
        <v>0</v>
      </c>
      <c r="D183" s="28" t="s">
        <v>234</v>
      </c>
      <c r="E183" s="15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32">
        <v>3650.5</v>
      </c>
      <c r="BA183" s="32">
        <v>4177.8999999999996</v>
      </c>
      <c r="BB183" s="32">
        <v>4137.3</v>
      </c>
      <c r="BC183" s="32">
        <v>4209.5</v>
      </c>
      <c r="BD183" s="32">
        <v>4232.1000000000004</v>
      </c>
      <c r="BE183" s="32">
        <v>5337.1</v>
      </c>
      <c r="BF183" s="32">
        <v>5461.2</v>
      </c>
      <c r="BG183" s="32">
        <v>5461.2</v>
      </c>
      <c r="BH183" s="32">
        <v>5626.7</v>
      </c>
      <c r="BI183" s="32">
        <v>6161.2</v>
      </c>
      <c r="BJ183" s="32">
        <v>6456.3</v>
      </c>
      <c r="BK183" s="32">
        <v>6574.7</v>
      </c>
      <c r="BL183" s="32">
        <v>6606.2</v>
      </c>
    </row>
    <row r="184" spans="1:64" ht="20" customHeight="1">
      <c r="A184" s="68">
        <v>180</v>
      </c>
      <c r="B184" s="69" t="s">
        <v>217</v>
      </c>
      <c r="C184" s="70" t="b">
        <f t="array" ref="C184">_xlfn.SWITCH(LEFT(B184,FIND("|",B184)-1),"ابنیه",HLOOKUP(D184,'نمودار ابنیه'!$B$5:$AD$6,2,FALSE),"مکانیکی",HLOOKUP(D184,'نمودار مکانیکی'!$B$5:$AJ$6,2,FALSE),"برقی",HLOOKUP(D184,'نمودار تاسیسات برقی'!$B$5:$AK$6,2,FALSE),"خطوط",HLOOKUP(D184,'نمودار خطوط انتقال '!$B$5:$R$6,2,FALSE),"شبکه",HLOOKUP(D184,'نمودار شبکه توزیع آ'!$B$5:$O$6,2,FALSE),"سد",HLOOKUP(D184,'نمودار سدسازی'!$B$5:$P$6,2,FALSE),"فاضلاب",HLOOKUP(D184,'نمودار جمع‌آوری و ا'!$B$5:$S$6,2,FALSE),"تجهیزات",HLOOKUP(D184,'نمودار تجهیزات آب و'!$B$5:$AG$6,2,FALSE),"پست",HLOOKUP(D184,'نمودار پست های انتق'!$B$5:$AH$6,2,FALSE),"نیرو",HLOOKUP(D184,'نمودار توزیع نیرو ب'!$B$5:$AE$6,2,FALSE),FALSE)</f>
        <v>0</v>
      </c>
      <c r="D184" s="71" t="s">
        <v>235</v>
      </c>
      <c r="E184" s="15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3">
        <v>3650.8</v>
      </c>
      <c r="BA184" s="73">
        <v>3501.3</v>
      </c>
      <c r="BB184" s="73">
        <v>3981.1</v>
      </c>
      <c r="BC184" s="73">
        <v>4377.8999999999996</v>
      </c>
      <c r="BD184" s="73">
        <v>4402.3</v>
      </c>
      <c r="BE184" s="73">
        <v>4920.7</v>
      </c>
      <c r="BF184" s="73">
        <v>4741.5</v>
      </c>
      <c r="BG184" s="73">
        <v>5271</v>
      </c>
      <c r="BH184" s="73">
        <v>5796.5</v>
      </c>
      <c r="BI184" s="73">
        <v>5971.3</v>
      </c>
      <c r="BJ184" s="73">
        <v>5807.8</v>
      </c>
      <c r="BK184" s="73">
        <v>6335</v>
      </c>
      <c r="BL184" s="73">
        <v>6462.7</v>
      </c>
    </row>
    <row r="185" spans="1:64" ht="20" customHeight="1">
      <c r="A185" s="25">
        <v>181</v>
      </c>
      <c r="B185" s="26" t="s">
        <v>217</v>
      </c>
      <c r="C185" s="27" t="b">
        <f t="array" ref="C185">_xlfn.SWITCH(LEFT(B185,FIND("|",B185)-1),"ابنیه",HLOOKUP(D185,'نمودار ابنیه'!$B$5:$AD$6,2,FALSE),"مکانیکی",HLOOKUP(D185,'نمودار مکانیکی'!$B$5:$AJ$6,2,FALSE),"برقی",HLOOKUP(D185,'نمودار تاسیسات برقی'!$B$5:$AK$6,2,FALSE),"خطوط",HLOOKUP(D185,'نمودار خطوط انتقال '!$B$5:$R$6,2,FALSE),"شبکه",HLOOKUP(D185,'نمودار شبکه توزیع آ'!$B$5:$O$6,2,FALSE),"سد",HLOOKUP(D185,'نمودار سدسازی'!$B$5:$P$6,2,FALSE),"فاضلاب",HLOOKUP(D185,'نمودار جمع‌آوری و ا'!$B$5:$S$6,2,FALSE),"تجهیزات",HLOOKUP(D185,'نمودار تجهیزات آب و'!$B$5:$AG$6,2,FALSE),"پست",HLOOKUP(D185,'نمودار پست های انتق'!$B$5:$AH$6,2,FALSE),"نیرو",HLOOKUP(D185,'نمودار توزیع نیرو ب'!$B$5:$AE$6,2,FALSE),FALSE)</f>
        <v>0</v>
      </c>
      <c r="D185" s="28" t="s">
        <v>236</v>
      </c>
      <c r="E185" s="15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32">
        <v>3650.1</v>
      </c>
      <c r="BA185" s="32">
        <v>3699.5</v>
      </c>
      <c r="BB185" s="32">
        <v>3732.4</v>
      </c>
      <c r="BC185" s="32">
        <v>3867.9</v>
      </c>
      <c r="BD185" s="32">
        <v>4255.6000000000004</v>
      </c>
      <c r="BE185" s="32">
        <v>4852.1000000000004</v>
      </c>
      <c r="BF185" s="32">
        <v>5221.6000000000004</v>
      </c>
      <c r="BG185" s="32">
        <v>6162.2</v>
      </c>
      <c r="BH185" s="32">
        <v>6569</v>
      </c>
      <c r="BI185" s="32">
        <v>6603.3</v>
      </c>
      <c r="BJ185" s="32">
        <v>6686.7</v>
      </c>
      <c r="BK185" s="32">
        <v>6725.7</v>
      </c>
      <c r="BL185" s="32">
        <v>6899.6</v>
      </c>
    </row>
    <row r="186" spans="1:64" ht="20" customHeight="1">
      <c r="A186" s="68">
        <v>182</v>
      </c>
      <c r="B186" s="69" t="s">
        <v>217</v>
      </c>
      <c r="C186" s="70" t="b">
        <f t="array" ref="C186">_xlfn.SWITCH(LEFT(B186,FIND("|",B186)-1),"ابنیه",HLOOKUP(D186,'نمودار ابنیه'!$B$5:$AD$6,2,FALSE),"مکانیکی",HLOOKUP(D186,'نمودار مکانیکی'!$B$5:$AJ$6,2,FALSE),"برقی",HLOOKUP(D186,'نمودار تاسیسات برقی'!$B$5:$AK$6,2,FALSE),"خطوط",HLOOKUP(D186,'نمودار خطوط انتقال '!$B$5:$R$6,2,FALSE),"شبکه",HLOOKUP(D186,'نمودار شبکه توزیع آ'!$B$5:$O$6,2,FALSE),"سد",HLOOKUP(D186,'نمودار سدسازی'!$B$5:$P$6,2,FALSE),"فاضلاب",HLOOKUP(D186,'نمودار جمع‌آوری و ا'!$B$5:$S$6,2,FALSE),"تجهیزات",HLOOKUP(D186,'نمودار تجهیزات آب و'!$B$5:$AG$6,2,FALSE),"پست",HLOOKUP(D186,'نمودار پست های انتق'!$B$5:$AH$6,2,FALSE),"نیرو",HLOOKUP(D186,'نمودار توزیع نیرو ب'!$B$5:$AE$6,2,FALSE),FALSE)</f>
        <v>0</v>
      </c>
      <c r="D186" s="71" t="s">
        <v>237</v>
      </c>
      <c r="E186" s="15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3">
        <v>3668.2</v>
      </c>
      <c r="BA186" s="73">
        <v>3902</v>
      </c>
      <c r="BB186" s="73">
        <v>4028.5</v>
      </c>
      <c r="BC186" s="73">
        <v>4125.1000000000004</v>
      </c>
      <c r="BD186" s="73">
        <v>3988.1</v>
      </c>
      <c r="BE186" s="73">
        <v>4004.3</v>
      </c>
      <c r="BF186" s="73">
        <v>4375</v>
      </c>
      <c r="BG186" s="73">
        <v>4286.3</v>
      </c>
      <c r="BH186" s="73">
        <v>4209.8</v>
      </c>
      <c r="BI186" s="73">
        <v>4657.7</v>
      </c>
      <c r="BJ186" s="73">
        <v>4702.8</v>
      </c>
      <c r="BK186" s="73">
        <v>4803.8</v>
      </c>
      <c r="BL186" s="73">
        <v>4861.2</v>
      </c>
    </row>
    <row r="187" spans="1:64" ht="20" customHeight="1">
      <c r="A187" s="25">
        <v>183</v>
      </c>
      <c r="B187" s="26" t="s">
        <v>217</v>
      </c>
      <c r="C187" s="27" t="b">
        <f t="array" ref="C187">_xlfn.SWITCH(LEFT(B187,FIND("|",B187)-1),"ابنیه",HLOOKUP(D187,'نمودار ابنیه'!$B$5:$AD$6,2,FALSE),"مکانیکی",HLOOKUP(D187,'نمودار مکانیکی'!$B$5:$AJ$6,2,FALSE),"برقی",HLOOKUP(D187,'نمودار تاسیسات برقی'!$B$5:$AK$6,2,FALSE),"خطوط",HLOOKUP(D187,'نمودار خطوط انتقال '!$B$5:$R$6,2,FALSE),"شبکه",HLOOKUP(D187,'نمودار شبکه توزیع آ'!$B$5:$O$6,2,FALSE),"سد",HLOOKUP(D187,'نمودار سدسازی'!$B$5:$P$6,2,FALSE),"فاضلاب",HLOOKUP(D187,'نمودار جمع‌آوری و ا'!$B$5:$S$6,2,FALSE),"تجهیزات",HLOOKUP(D187,'نمودار تجهیزات آب و'!$B$5:$AG$6,2,FALSE),"پست",HLOOKUP(D187,'نمودار پست های انتق'!$B$5:$AH$6,2,FALSE),"نیرو",HLOOKUP(D187,'نمودار توزیع نیرو ب'!$B$5:$AE$6,2,FALSE),FALSE)</f>
        <v>0</v>
      </c>
      <c r="D187" s="28" t="s">
        <v>238</v>
      </c>
      <c r="E187" s="15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32">
        <v>3588.1</v>
      </c>
      <c r="BA187" s="32">
        <v>3683.7</v>
      </c>
      <c r="BB187" s="32">
        <v>3801.1</v>
      </c>
      <c r="BC187" s="32">
        <v>3987.3</v>
      </c>
      <c r="BD187" s="32">
        <v>3998</v>
      </c>
      <c r="BE187" s="32">
        <v>4995.2</v>
      </c>
      <c r="BF187" s="32">
        <v>4995.2</v>
      </c>
      <c r="BG187" s="32">
        <v>5396.1</v>
      </c>
      <c r="BH187" s="32">
        <v>6004.2</v>
      </c>
      <c r="BI187" s="32">
        <v>5718.2</v>
      </c>
      <c r="BJ187" s="32">
        <v>5732.7</v>
      </c>
      <c r="BK187" s="32">
        <v>8433.4</v>
      </c>
      <c r="BL187" s="32">
        <v>9027.2000000000007</v>
      </c>
    </row>
    <row r="188" spans="1:64" ht="20" customHeight="1">
      <c r="A188" s="68">
        <v>184</v>
      </c>
      <c r="B188" s="69" t="s">
        <v>217</v>
      </c>
      <c r="C188" s="70" t="b">
        <f t="array" ref="C188">_xlfn.SWITCH(LEFT(B188,FIND("|",B188)-1),"ابنیه",HLOOKUP(D188,'نمودار ابنیه'!$B$5:$AD$6,2,FALSE),"مکانیکی",HLOOKUP(D188,'نمودار مکانیکی'!$B$5:$AJ$6,2,FALSE),"برقی",HLOOKUP(D188,'نمودار تاسیسات برقی'!$B$5:$AK$6,2,FALSE),"خطوط",HLOOKUP(D188,'نمودار خطوط انتقال '!$B$5:$R$6,2,FALSE),"شبکه",HLOOKUP(D188,'نمودار شبکه توزیع آ'!$B$5:$O$6,2,FALSE),"سد",HLOOKUP(D188,'نمودار سدسازی'!$B$5:$P$6,2,FALSE),"فاضلاب",HLOOKUP(D188,'نمودار جمع‌آوری و ا'!$B$5:$S$6,2,FALSE),"تجهیزات",HLOOKUP(D188,'نمودار تجهیزات آب و'!$B$5:$AG$6,2,FALSE),"پست",HLOOKUP(D188,'نمودار پست های انتق'!$B$5:$AH$6,2,FALSE),"نیرو",HLOOKUP(D188,'نمودار توزیع نیرو ب'!$B$5:$AE$6,2,FALSE),FALSE)</f>
        <v>0</v>
      </c>
      <c r="D188" s="71" t="s">
        <v>239</v>
      </c>
      <c r="E188" s="15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3">
        <v>3405.2</v>
      </c>
      <c r="BA188" s="73">
        <v>4916.7</v>
      </c>
      <c r="BB188" s="73">
        <v>3641.8</v>
      </c>
      <c r="BC188" s="73">
        <v>4130.7</v>
      </c>
      <c r="BD188" s="73">
        <v>4156.8999999999996</v>
      </c>
      <c r="BE188" s="73">
        <v>4388.8999999999996</v>
      </c>
      <c r="BF188" s="73">
        <v>4389.5</v>
      </c>
      <c r="BG188" s="73">
        <v>4826.5</v>
      </c>
      <c r="BH188" s="73">
        <v>5409.2</v>
      </c>
      <c r="BI188" s="73">
        <v>6180.8</v>
      </c>
      <c r="BJ188" s="73">
        <v>6320.6</v>
      </c>
      <c r="BK188" s="73">
        <v>6616.2</v>
      </c>
      <c r="BL188" s="73">
        <v>6533.2</v>
      </c>
    </row>
    <row r="189" spans="1:64" ht="20" customHeight="1">
      <c r="A189" s="25">
        <v>185</v>
      </c>
      <c r="B189" s="26" t="s">
        <v>217</v>
      </c>
      <c r="C189" s="27" t="b">
        <f t="array" ref="C189">_xlfn.SWITCH(LEFT(B189,FIND("|",B189)-1),"ابنیه",HLOOKUP(D189,'نمودار ابنیه'!$B$5:$AD$6,2,FALSE),"مکانیکی",HLOOKUP(D189,'نمودار مکانیکی'!$B$5:$AJ$6,2,FALSE),"برقی",HLOOKUP(D189,'نمودار تاسیسات برقی'!$B$5:$AK$6,2,FALSE),"خطوط",HLOOKUP(D189,'نمودار خطوط انتقال '!$B$5:$R$6,2,FALSE),"شبکه",HLOOKUP(D189,'نمودار شبکه توزیع آ'!$B$5:$O$6,2,FALSE),"سد",HLOOKUP(D189,'نمودار سدسازی'!$B$5:$P$6,2,FALSE),"فاضلاب",HLOOKUP(D189,'نمودار جمع‌آوری و ا'!$B$5:$S$6,2,FALSE),"تجهیزات",HLOOKUP(D189,'نمودار تجهیزات آب و'!$B$5:$AG$6,2,FALSE),"پست",HLOOKUP(D189,'نمودار پست های انتق'!$B$5:$AH$6,2,FALSE),"نیرو",HLOOKUP(D189,'نمودار توزیع نیرو ب'!$B$5:$AE$6,2,FALSE),FALSE)</f>
        <v>0</v>
      </c>
      <c r="D189" s="28" t="s">
        <v>240</v>
      </c>
      <c r="E189" s="15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32">
        <v>3683.6</v>
      </c>
      <c r="BA189" s="32">
        <v>3842.4</v>
      </c>
      <c r="BB189" s="32">
        <v>4387.8999999999996</v>
      </c>
      <c r="BC189" s="32">
        <v>4197</v>
      </c>
      <c r="BD189" s="32">
        <v>4229.5</v>
      </c>
      <c r="BE189" s="32">
        <v>5221.6000000000004</v>
      </c>
      <c r="BF189" s="32">
        <v>5792</v>
      </c>
      <c r="BG189" s="32">
        <v>5923.7</v>
      </c>
      <c r="BH189" s="32">
        <v>6366.8</v>
      </c>
      <c r="BI189" s="32">
        <v>6668.3</v>
      </c>
      <c r="BJ189" s="32">
        <v>6652</v>
      </c>
      <c r="BK189" s="32">
        <v>6933.8</v>
      </c>
      <c r="BL189" s="32">
        <v>7595.9</v>
      </c>
    </row>
    <row r="190" spans="1:64" ht="20" customHeight="1">
      <c r="A190" s="68">
        <v>186</v>
      </c>
      <c r="B190" s="69" t="s">
        <v>217</v>
      </c>
      <c r="C190" s="70" t="b">
        <f t="array" ref="C190">_xlfn.SWITCH(LEFT(B190,FIND("|",B190)-1),"ابنیه",HLOOKUP(D190,'نمودار ابنیه'!$B$5:$AD$6,2,FALSE),"مکانیکی",HLOOKUP(D190,'نمودار مکانیکی'!$B$5:$AJ$6,2,FALSE),"برقی",HLOOKUP(D190,'نمودار تاسیسات برقی'!$B$5:$AK$6,2,FALSE),"خطوط",HLOOKUP(D190,'نمودار خطوط انتقال '!$B$5:$R$6,2,FALSE),"شبکه",HLOOKUP(D190,'نمودار شبکه توزیع آ'!$B$5:$O$6,2,FALSE),"سد",HLOOKUP(D190,'نمودار سدسازی'!$B$5:$P$6,2,FALSE),"فاضلاب",HLOOKUP(D190,'نمودار جمع‌آوری و ا'!$B$5:$S$6,2,FALSE),"تجهیزات",HLOOKUP(D190,'نمودار تجهیزات آب و'!$B$5:$AG$6,2,FALSE),"پست",HLOOKUP(D190,'نمودار پست های انتق'!$B$5:$AH$6,2,FALSE),"نیرو",HLOOKUP(D190,'نمودار توزیع نیرو ب'!$B$5:$AE$6,2,FALSE),FALSE)</f>
        <v>0</v>
      </c>
      <c r="D190" s="71" t="s">
        <v>241</v>
      </c>
      <c r="E190" s="15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3">
        <v>3161.7</v>
      </c>
      <c r="BA190" s="73">
        <v>3255.6</v>
      </c>
      <c r="BB190" s="73">
        <v>3321.3</v>
      </c>
      <c r="BC190" s="73">
        <v>2898.5</v>
      </c>
      <c r="BD190" s="73">
        <v>2900.5</v>
      </c>
      <c r="BE190" s="73">
        <v>3977.5</v>
      </c>
      <c r="BF190" s="73">
        <v>4500.7</v>
      </c>
      <c r="BG190" s="73">
        <v>4899.3</v>
      </c>
      <c r="BH190" s="73">
        <v>5430.7</v>
      </c>
      <c r="BI190" s="73">
        <v>6378.8</v>
      </c>
      <c r="BJ190" s="73">
        <v>6803.8</v>
      </c>
      <c r="BK190" s="73">
        <v>7338.9</v>
      </c>
      <c r="BL190" s="73">
        <v>7350.1</v>
      </c>
    </row>
    <row r="191" spans="1:64" ht="20" customHeight="1">
      <c r="A191" s="25">
        <v>187</v>
      </c>
      <c r="B191" s="26" t="s">
        <v>217</v>
      </c>
      <c r="C191" s="27" t="b">
        <f t="array" ref="C191">_xlfn.SWITCH(LEFT(B191,FIND("|",B191)-1),"ابنیه",HLOOKUP(D191,'نمودار ابنیه'!$B$5:$AD$6,2,FALSE),"مکانیکی",HLOOKUP(D191,'نمودار مکانیکی'!$B$5:$AJ$6,2,FALSE),"برقی",HLOOKUP(D191,'نمودار تاسیسات برقی'!$B$5:$AK$6,2,FALSE),"خطوط",HLOOKUP(D191,'نمودار خطوط انتقال '!$B$5:$R$6,2,FALSE),"شبکه",HLOOKUP(D191,'نمودار شبکه توزیع آ'!$B$5:$O$6,2,FALSE),"سد",HLOOKUP(D191,'نمودار سدسازی'!$B$5:$P$6,2,FALSE),"فاضلاب",HLOOKUP(D191,'نمودار جمع‌آوری و ا'!$B$5:$S$6,2,FALSE),"تجهیزات",HLOOKUP(D191,'نمودار تجهیزات آب و'!$B$5:$AG$6,2,FALSE),"پست",HLOOKUP(D191,'نمودار پست های انتق'!$B$5:$AH$6,2,FALSE),"نیرو",HLOOKUP(D191,'نمودار توزیع نیرو ب'!$B$5:$AE$6,2,FALSE),FALSE)</f>
        <v>0</v>
      </c>
      <c r="D191" s="28" t="s">
        <v>242</v>
      </c>
      <c r="E191" s="15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32">
        <v>3155.1</v>
      </c>
      <c r="BA191" s="32">
        <v>3245.4</v>
      </c>
      <c r="BB191" s="32">
        <v>3304.8</v>
      </c>
      <c r="BC191" s="32">
        <v>3415.7</v>
      </c>
      <c r="BD191" s="32">
        <v>3419.5</v>
      </c>
      <c r="BE191" s="32">
        <v>3692.7</v>
      </c>
      <c r="BF191" s="32">
        <v>3869.2</v>
      </c>
      <c r="BG191" s="32">
        <v>4265.8</v>
      </c>
      <c r="BH191" s="32">
        <v>4794.6000000000004</v>
      </c>
      <c r="BI191" s="32">
        <v>5151.8</v>
      </c>
      <c r="BJ191" s="32">
        <v>4969.1000000000004</v>
      </c>
      <c r="BK191" s="32">
        <v>6090.8</v>
      </c>
      <c r="BL191" s="32">
        <v>6091.9</v>
      </c>
    </row>
    <row r="192" spans="1:64" ht="20" customHeight="1">
      <c r="A192" s="68">
        <v>188</v>
      </c>
      <c r="B192" s="69" t="s">
        <v>217</v>
      </c>
      <c r="C192" s="70" t="b">
        <f t="array" ref="C192">_xlfn.SWITCH(LEFT(B192,FIND("|",B192)-1),"ابنیه",HLOOKUP(D192,'نمودار ابنیه'!$B$5:$AD$6,2,FALSE),"مکانیکی",HLOOKUP(D192,'نمودار مکانیکی'!$B$5:$AJ$6,2,FALSE),"برقی",HLOOKUP(D192,'نمودار تاسیسات برقی'!$B$5:$AK$6,2,FALSE),"خطوط",HLOOKUP(D192,'نمودار خطوط انتقال '!$B$5:$R$6,2,FALSE),"شبکه",HLOOKUP(D192,'نمودار شبکه توزیع آ'!$B$5:$O$6,2,FALSE),"سد",HLOOKUP(D192,'نمودار سدسازی'!$B$5:$P$6,2,FALSE),"فاضلاب",HLOOKUP(D192,'نمودار جمع‌آوری و ا'!$B$5:$S$6,2,FALSE),"تجهیزات",HLOOKUP(D192,'نمودار تجهیزات آب و'!$B$5:$AG$6,2,FALSE),"پست",HLOOKUP(D192,'نمودار پست های انتق'!$B$5:$AH$6,2,FALSE),"نیرو",HLOOKUP(D192,'نمودار توزیع نیرو ب'!$B$5:$AE$6,2,FALSE),FALSE)</f>
        <v>0</v>
      </c>
      <c r="D192" s="71" t="s">
        <v>243</v>
      </c>
      <c r="E192" s="15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3">
        <v>3810.6</v>
      </c>
      <c r="BC192" s="73">
        <v>3233.3</v>
      </c>
      <c r="BD192" s="73">
        <v>3237.6</v>
      </c>
      <c r="BE192" s="73">
        <v>4757.5</v>
      </c>
      <c r="BF192" s="73">
        <v>5403.4</v>
      </c>
      <c r="BG192" s="73">
        <v>5860.7</v>
      </c>
      <c r="BH192" s="73">
        <v>6470.5</v>
      </c>
      <c r="BI192" s="73">
        <v>6710.5</v>
      </c>
      <c r="BJ192" s="73">
        <v>6295.5</v>
      </c>
      <c r="BK192" s="73">
        <v>6806.9</v>
      </c>
      <c r="BL192" s="73">
        <v>7065.7</v>
      </c>
    </row>
    <row r="193" spans="1:64" ht="20" customHeight="1">
      <c r="A193" s="25">
        <v>189</v>
      </c>
      <c r="B193" s="26" t="s">
        <v>217</v>
      </c>
      <c r="C193" s="27" t="b">
        <f t="array" ref="C193">_xlfn.SWITCH(LEFT(B193,FIND("|",B193)-1),"ابنیه",HLOOKUP(D193,'نمودار ابنیه'!$B$5:$AD$6,2,FALSE),"مکانیکی",HLOOKUP(D193,'نمودار مکانیکی'!$B$5:$AJ$6,2,FALSE),"برقی",HLOOKUP(D193,'نمودار تاسیسات برقی'!$B$5:$AK$6,2,FALSE),"خطوط",HLOOKUP(D193,'نمودار خطوط انتقال '!$B$5:$R$6,2,FALSE),"شبکه",HLOOKUP(D193,'نمودار شبکه توزیع آ'!$B$5:$O$6,2,FALSE),"سد",HLOOKUP(D193,'نمودار سدسازی'!$B$5:$P$6,2,FALSE),"فاضلاب",HLOOKUP(D193,'نمودار جمع‌آوری و ا'!$B$5:$S$6,2,FALSE),"تجهیزات",HLOOKUP(D193,'نمودار تجهیزات آب و'!$B$5:$AG$6,2,FALSE),"پست",HLOOKUP(D193,'نمودار پست های انتق'!$B$5:$AH$6,2,FALSE),"نیرو",HLOOKUP(D193,'نمودار توزیع نیرو ب'!$B$5:$AE$6,2,FALSE),FALSE)</f>
        <v>0</v>
      </c>
      <c r="D193" s="28" t="s">
        <v>244</v>
      </c>
      <c r="E193" s="15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32">
        <v>3810.6</v>
      </c>
      <c r="BC193" s="32">
        <v>3221.7</v>
      </c>
      <c r="BD193" s="32">
        <v>3225.7</v>
      </c>
      <c r="BE193" s="32">
        <v>4687.6000000000004</v>
      </c>
      <c r="BF193" s="32">
        <v>5278.8</v>
      </c>
      <c r="BG193" s="32">
        <v>5736.1</v>
      </c>
      <c r="BH193" s="32">
        <v>6345.8</v>
      </c>
      <c r="BI193" s="32">
        <v>6713.6</v>
      </c>
      <c r="BJ193" s="32">
        <v>6493.2</v>
      </c>
      <c r="BK193" s="32">
        <v>8030.3</v>
      </c>
      <c r="BL193" s="32">
        <v>8248.2999999999993</v>
      </c>
    </row>
    <row r="194" spans="1:64" ht="20" customHeight="1">
      <c r="A194" s="68">
        <v>190</v>
      </c>
      <c r="B194" s="69" t="s">
        <v>217</v>
      </c>
      <c r="C194" s="70" t="b">
        <f t="array" ref="C194">_xlfn.SWITCH(LEFT(B194,FIND("|",B194)-1),"ابنیه",HLOOKUP(D194,'نمودار ابنیه'!$B$5:$AD$6,2,FALSE),"مکانیکی",HLOOKUP(D194,'نمودار مکانیکی'!$B$5:$AJ$6,2,FALSE),"برقی",HLOOKUP(D194,'نمودار تاسیسات برقی'!$B$5:$AK$6,2,FALSE),"خطوط",HLOOKUP(D194,'نمودار خطوط انتقال '!$B$5:$R$6,2,FALSE),"شبکه",HLOOKUP(D194,'نمودار شبکه توزیع آ'!$B$5:$O$6,2,FALSE),"سد",HLOOKUP(D194,'نمودار سدسازی'!$B$5:$P$6,2,FALSE),"فاضلاب",HLOOKUP(D194,'نمودار جمع‌آوری و ا'!$B$5:$S$6,2,FALSE),"تجهیزات",HLOOKUP(D194,'نمودار تجهیزات آب و'!$B$5:$AG$6,2,FALSE),"پست",HLOOKUP(D194,'نمودار پست های انتق'!$B$5:$AH$6,2,FALSE),"نیرو",HLOOKUP(D194,'نمودار توزیع نیرو ب'!$B$5:$AE$6,2,FALSE),FALSE)</f>
        <v>0</v>
      </c>
      <c r="D194" s="71" t="s">
        <v>245</v>
      </c>
      <c r="E194" s="15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3">
        <v>3810.6</v>
      </c>
      <c r="BC194" s="73">
        <v>3326.7</v>
      </c>
      <c r="BD194" s="73">
        <v>3332.7</v>
      </c>
      <c r="BE194" s="73">
        <v>4709.8999999999996</v>
      </c>
      <c r="BF194" s="73">
        <v>4538.3999999999996</v>
      </c>
      <c r="BG194" s="73">
        <v>5045.2</v>
      </c>
      <c r="BH194" s="73">
        <v>5548.2</v>
      </c>
      <c r="BI194" s="73">
        <v>6317.8</v>
      </c>
      <c r="BJ194" s="73">
        <v>6246.2</v>
      </c>
      <c r="BK194" s="73">
        <v>6953.1</v>
      </c>
      <c r="BL194" s="73">
        <v>7042.6</v>
      </c>
    </row>
    <row r="195" spans="1:64" ht="20" customHeight="1">
      <c r="A195" s="25">
        <v>191</v>
      </c>
      <c r="B195" s="26" t="s">
        <v>217</v>
      </c>
      <c r="C195" s="27" t="b">
        <f t="array" ref="C195">_xlfn.SWITCH(LEFT(B195,FIND("|",B195)-1),"ابنیه",HLOOKUP(D195,'نمودار ابنیه'!$B$5:$AD$6,2,FALSE),"مکانیکی",HLOOKUP(D195,'نمودار مکانیکی'!$B$5:$AJ$6,2,FALSE),"برقی",HLOOKUP(D195,'نمودار تاسیسات برقی'!$B$5:$AK$6,2,FALSE),"خطوط",HLOOKUP(D195,'نمودار خطوط انتقال '!$B$5:$R$6,2,FALSE),"شبکه",HLOOKUP(D195,'نمودار شبکه توزیع آ'!$B$5:$O$6,2,FALSE),"سد",HLOOKUP(D195,'نمودار سدسازی'!$B$5:$P$6,2,FALSE),"فاضلاب",HLOOKUP(D195,'نمودار جمع‌آوری و ا'!$B$5:$S$6,2,FALSE),"تجهیزات",HLOOKUP(D195,'نمودار تجهیزات آب و'!$B$5:$AG$6,2,FALSE),"پست",HLOOKUP(D195,'نمودار پست های انتق'!$B$5:$AH$6,2,FALSE),"نیرو",HLOOKUP(D195,'نمودار توزیع نیرو ب'!$B$5:$AE$6,2,FALSE),FALSE)</f>
        <v>0</v>
      </c>
      <c r="D195" s="28" t="s">
        <v>246</v>
      </c>
      <c r="E195" s="15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32">
        <v>3245.3</v>
      </c>
      <c r="BA195" s="32">
        <v>3285.2</v>
      </c>
      <c r="BB195" s="32">
        <v>3288</v>
      </c>
      <c r="BC195" s="32">
        <v>3311.2</v>
      </c>
      <c r="BD195" s="32">
        <v>3313.2</v>
      </c>
      <c r="BE195" s="32">
        <v>3881.4</v>
      </c>
      <c r="BF195" s="32">
        <v>4359.8</v>
      </c>
      <c r="BG195" s="32">
        <v>4754.3999999999996</v>
      </c>
      <c r="BH195" s="32">
        <v>5280.5</v>
      </c>
      <c r="BI195" s="32">
        <v>5568.3</v>
      </c>
      <c r="BJ195" s="32">
        <v>5295.4</v>
      </c>
      <c r="BK195" s="32">
        <v>5702.5</v>
      </c>
      <c r="BL195" s="32">
        <v>5906.4</v>
      </c>
    </row>
    <row r="196" spans="1:64" ht="20" customHeight="1">
      <c r="A196" s="68">
        <v>192</v>
      </c>
      <c r="B196" s="69" t="s">
        <v>217</v>
      </c>
      <c r="C196" s="70" t="b">
        <f t="array" ref="C196">_xlfn.SWITCH(LEFT(B196,FIND("|",B196)-1),"ابنیه",HLOOKUP(D196,'نمودار ابنیه'!$B$5:$AD$6,2,FALSE),"مکانیکی",HLOOKUP(D196,'نمودار مکانیکی'!$B$5:$AJ$6,2,FALSE),"برقی",HLOOKUP(D196,'نمودار تاسیسات برقی'!$B$5:$AK$6,2,FALSE),"خطوط",HLOOKUP(D196,'نمودار خطوط انتقال '!$B$5:$R$6,2,FALSE),"شبکه",HLOOKUP(D196,'نمودار شبکه توزیع آ'!$B$5:$O$6,2,FALSE),"سد",HLOOKUP(D196,'نمودار سدسازی'!$B$5:$P$6,2,FALSE),"فاضلاب",HLOOKUP(D196,'نمودار جمع‌آوری و ا'!$B$5:$S$6,2,FALSE),"تجهیزات",HLOOKUP(D196,'نمودار تجهیزات آب و'!$B$5:$AG$6,2,FALSE),"پست",HLOOKUP(D196,'نمودار پست های انتق'!$B$5:$AH$6,2,FALSE),"نیرو",HLOOKUP(D196,'نمودار توزیع نیرو ب'!$B$5:$AE$6,2,FALSE),FALSE)</f>
        <v>0</v>
      </c>
      <c r="D196" s="71" t="s">
        <v>247</v>
      </c>
      <c r="E196" s="15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3">
        <v>3159.7</v>
      </c>
      <c r="BA196" s="73">
        <v>3184.4</v>
      </c>
      <c r="BB196" s="73">
        <v>3212.3</v>
      </c>
      <c r="BC196" s="73">
        <v>3273.5</v>
      </c>
      <c r="BD196" s="73">
        <v>3275.8</v>
      </c>
      <c r="BE196" s="73">
        <v>3340.9</v>
      </c>
      <c r="BF196" s="73">
        <v>3213.6</v>
      </c>
      <c r="BG196" s="73">
        <v>3213.6</v>
      </c>
      <c r="BH196" s="73">
        <v>3213.6</v>
      </c>
      <c r="BI196" s="73">
        <v>3333.9</v>
      </c>
      <c r="BJ196" s="73">
        <v>3128.9</v>
      </c>
      <c r="BK196" s="73">
        <v>3383.1</v>
      </c>
      <c r="BL196" s="73">
        <v>3513.6</v>
      </c>
    </row>
    <row r="197" spans="1:64" ht="20" customHeight="1">
      <c r="A197" s="25">
        <v>193</v>
      </c>
      <c r="B197" s="26" t="s">
        <v>217</v>
      </c>
      <c r="C197" s="27" t="e">
        <f t="array" ref="C197">_xlfn.SWITCH(LEFT(B197,FIND("|",B197)-1),"ابنیه",HLOOKUP(D197,'نمودار ابنیه'!$B$5:$AD$6,2,FALSE),"مکانیکی",HLOOKUP(D197,'نمودار مکانیکی'!$B$5:$AJ$6,2,FALSE),"برقی",HLOOKUP(D197,'نمودار تاسیسات برقی'!$B$5:$AK$6,2,FALSE),"خطوط",HLOOKUP(D197,'نمودار خطوط انتقال '!$B$5:$R$6,2,FALSE),"شبکه",HLOOKUP(D197,'نمودار شبکه توزیع آ'!$B$5:$O$6,2,FALSE),"سد",HLOOKUP(D197,'نمودار سدسازی'!$B$5:$P$6,2,FALSE),"فاضلاب",HLOOKUP(D197,'نمودار جمع‌آوری و ا'!$B$5:$S$6,2,FALSE),"تجهیزات",HLOOKUP(D197,'نمودار تجهیزات آب و'!$B$5:$AG$6,2,FALSE),"پست",HLOOKUP(D197,'نمودار پست های انتق'!$B$5:$AH$6,2,FALSE),"نیرو",HLOOKUP(D197,'نمودار توزیع نیرو ب'!$B$5:$AE$6,2,FALSE),FALSE)</f>
        <v>#N/A</v>
      </c>
      <c r="D197" s="28" t="s">
        <v>248</v>
      </c>
      <c r="E197" s="15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</row>
    <row r="198" spans="1:64" ht="20" customHeight="1">
      <c r="A198" s="68">
        <v>194</v>
      </c>
      <c r="B198" s="69" t="s">
        <v>217</v>
      </c>
      <c r="C198" s="70" t="e">
        <f t="array" ref="C198">_xlfn.SWITCH(LEFT(B198,FIND("|",B198)-1),"ابنیه",HLOOKUP(D198,'نمودار ابنیه'!$B$5:$AD$6,2,FALSE),"مکانیکی",HLOOKUP(D198,'نمودار مکانیکی'!$B$5:$AJ$6,2,FALSE),"برقی",HLOOKUP(D198,'نمودار تاسیسات برقی'!$B$5:$AK$6,2,FALSE),"خطوط",HLOOKUP(D198,'نمودار خطوط انتقال '!$B$5:$R$6,2,FALSE),"شبکه",HLOOKUP(D198,'نمودار شبکه توزیع آ'!$B$5:$O$6,2,FALSE),"سد",HLOOKUP(D198,'نمودار سدسازی'!$B$5:$P$6,2,FALSE),"فاضلاب",HLOOKUP(D198,'نمودار جمع‌آوری و ا'!$B$5:$S$6,2,FALSE),"تجهیزات",HLOOKUP(D198,'نمودار تجهیزات آب و'!$B$5:$AG$6,2,FALSE),"پست",HLOOKUP(D198,'نمودار پست های انتق'!$B$5:$AH$6,2,FALSE),"نیرو",HLOOKUP(D198,'نمودار توزیع نیرو ب'!$B$5:$AE$6,2,FALSE),FALSE)</f>
        <v>#N/A</v>
      </c>
      <c r="D198" s="71" t="s">
        <v>96</v>
      </c>
      <c r="E198" s="15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3">
        <v>4125</v>
      </c>
      <c r="BA198" s="73">
        <v>4248</v>
      </c>
      <c r="BB198" s="73">
        <v>4374</v>
      </c>
      <c r="BC198" s="73">
        <v>4887.7</v>
      </c>
      <c r="BD198" s="73">
        <v>4967.5</v>
      </c>
      <c r="BE198" s="73">
        <v>5548.2</v>
      </c>
      <c r="BF198" s="73">
        <v>5758.2</v>
      </c>
      <c r="BG198" s="73">
        <v>5758.2</v>
      </c>
      <c r="BH198" s="73">
        <v>5758.2</v>
      </c>
      <c r="BI198" s="73">
        <v>7157.4</v>
      </c>
      <c r="BJ198" s="73">
        <v>7393.5</v>
      </c>
      <c r="BK198" s="73">
        <v>7646.9</v>
      </c>
      <c r="BL198" s="73">
        <v>7820.8</v>
      </c>
    </row>
    <row r="199" spans="1:64" ht="20" customHeight="1">
      <c r="A199" s="20">
        <v>195</v>
      </c>
      <c r="B199" s="21" t="s">
        <v>249</v>
      </c>
      <c r="C199" s="22" t="b">
        <f t="array" ref="C199">_xlfn.SWITCH(LEFT(B199,FIND("|",B199)-1),"ابنیه",HLOOKUP(D199,'نمودار ابنیه'!$B$5:$AD$6,2,FALSE),"مکانیکی",HLOOKUP(D199,'نمودار مکانیکی'!$B$5:$AJ$6,2,FALSE),"برقی",HLOOKUP(D199,'نمودار تاسیسات برقی'!$B$5:$AK$6,2,FALSE),"خطوط",HLOOKUP(D199,'نمودار خطوط انتقال '!$B$5:$R$6,2,FALSE),"شبکه",HLOOKUP(D199,'نمودار شبکه توزیع آ'!$B$5:$O$6,2,FALSE),"سد",HLOOKUP(D199,'نمودار سدسازی'!$B$5:$P$6,2,FALSE),"فاضلاب",HLOOKUP(D199,'نمودار جمع‌آوری و ا'!$B$5:$S$6,2,FALSE),"تجهیزات",HLOOKUP(D199,'نمودار تجهیزات آب و'!$B$5:$AG$6,2,FALSE),"پست",HLOOKUP(D199,'نمودار پست های انتق'!$B$5:$AH$6,2,FALSE),"نیرو",HLOOKUP(D199,'نمودار توزیع نیرو ب'!$B$5:$AE$6,2,FALSE),FALSE)</f>
        <v>1</v>
      </c>
      <c r="D199" s="23" t="s">
        <v>250</v>
      </c>
      <c r="E199" s="15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31">
        <v>1995</v>
      </c>
      <c r="AT199" s="31">
        <v>1995</v>
      </c>
      <c r="AU199" s="31">
        <v>1995</v>
      </c>
      <c r="AV199" s="31">
        <v>1995</v>
      </c>
      <c r="AW199" s="31">
        <v>1995</v>
      </c>
      <c r="AX199" s="31">
        <v>1995</v>
      </c>
      <c r="AY199" s="31">
        <v>2852.8</v>
      </c>
      <c r="AZ199" s="31">
        <v>2852.8</v>
      </c>
      <c r="BA199" s="31">
        <v>2852.9</v>
      </c>
      <c r="BB199" s="31">
        <v>2852.9</v>
      </c>
      <c r="BC199" s="31">
        <v>3857.1</v>
      </c>
      <c r="BD199" s="31">
        <v>3885.6</v>
      </c>
      <c r="BE199" s="31">
        <v>3908.4</v>
      </c>
      <c r="BF199" s="31">
        <v>3936.9</v>
      </c>
      <c r="BG199" s="31">
        <v>3936.9</v>
      </c>
      <c r="BH199" s="31">
        <v>3936.9</v>
      </c>
      <c r="BI199" s="31">
        <v>4842.3999999999996</v>
      </c>
      <c r="BJ199" s="31">
        <v>4881.8</v>
      </c>
      <c r="BK199" s="31">
        <v>4960.5</v>
      </c>
      <c r="BL199" s="31">
        <v>5039.3</v>
      </c>
    </row>
    <row r="200" spans="1:64" ht="20" customHeight="1">
      <c r="A200" s="68">
        <v>196</v>
      </c>
      <c r="B200" s="69" t="s">
        <v>249</v>
      </c>
      <c r="C200" s="70" t="b">
        <f t="array" ref="C200">_xlfn.SWITCH(LEFT(B200,FIND("|",B200)-1),"ابنیه",HLOOKUP(D200,'نمودار ابنیه'!$B$5:$AD$6,2,FALSE),"مکانیکی",HLOOKUP(D200,'نمودار مکانیکی'!$B$5:$AJ$6,2,FALSE),"برقی",HLOOKUP(D200,'نمودار تاسیسات برقی'!$B$5:$AK$6,2,FALSE),"خطوط",HLOOKUP(D200,'نمودار خطوط انتقال '!$B$5:$R$6,2,FALSE),"شبکه",HLOOKUP(D200,'نمودار شبکه توزیع آ'!$B$5:$O$6,2,FALSE),"سد",HLOOKUP(D200,'نمودار سدسازی'!$B$5:$P$6,2,FALSE),"فاضلاب",HLOOKUP(D200,'نمودار جمع‌آوری و ا'!$B$5:$S$6,2,FALSE),"تجهیزات",HLOOKUP(D200,'نمودار تجهیزات آب و'!$B$5:$AG$6,2,FALSE),"پست",HLOOKUP(D200,'نمودار پست های انتق'!$B$5:$AH$6,2,FALSE),"نیرو",HLOOKUP(D200,'نمودار توزیع نیرو ب'!$B$5:$AE$6,2,FALSE),FALSE)</f>
        <v>1</v>
      </c>
      <c r="D200" s="71" t="s">
        <v>251</v>
      </c>
      <c r="E200" s="15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3">
        <v>1735.1</v>
      </c>
      <c r="AT200" s="73">
        <v>2051.5</v>
      </c>
      <c r="AU200" s="73">
        <v>2263.5</v>
      </c>
      <c r="AV200" s="73">
        <v>2542.6</v>
      </c>
      <c r="AW200" s="73">
        <v>2850</v>
      </c>
      <c r="AX200" s="73">
        <v>2850</v>
      </c>
      <c r="AY200" s="73">
        <v>3008.5</v>
      </c>
      <c r="AZ200" s="73">
        <v>3116.2</v>
      </c>
      <c r="BA200" s="73">
        <v>3333.3</v>
      </c>
      <c r="BB200" s="73">
        <v>3430.4</v>
      </c>
      <c r="BC200" s="73">
        <v>3829.9</v>
      </c>
      <c r="BD200" s="73">
        <v>4024.1</v>
      </c>
      <c r="BE200" s="73">
        <v>4430.7</v>
      </c>
      <c r="BF200" s="73">
        <v>5042.2</v>
      </c>
      <c r="BG200" s="73">
        <v>5779.7</v>
      </c>
      <c r="BH200" s="73">
        <v>6232.2</v>
      </c>
      <c r="BI200" s="73">
        <v>6297</v>
      </c>
      <c r="BJ200" s="73">
        <v>6271.1</v>
      </c>
      <c r="BK200" s="73">
        <v>6458</v>
      </c>
      <c r="BL200" s="73">
        <v>6744.6</v>
      </c>
    </row>
    <row r="201" spans="1:64" ht="20" customHeight="1">
      <c r="A201" s="25">
        <v>197</v>
      </c>
      <c r="B201" s="26" t="s">
        <v>249</v>
      </c>
      <c r="C201" s="27" t="b">
        <f t="array" ref="C201">_xlfn.SWITCH(LEFT(B201,FIND("|",B201)-1),"ابنیه",HLOOKUP(D201,'نمودار ابنیه'!$B$5:$AD$6,2,FALSE),"مکانیکی",HLOOKUP(D201,'نمودار مکانیکی'!$B$5:$AJ$6,2,FALSE),"برقی",HLOOKUP(D201,'نمودار تاسیسات برقی'!$B$5:$AK$6,2,FALSE),"خطوط",HLOOKUP(D201,'نمودار خطوط انتقال '!$B$5:$R$6,2,FALSE),"شبکه",HLOOKUP(D201,'نمودار شبکه توزیع آ'!$B$5:$O$6,2,FALSE),"سد",HLOOKUP(D201,'نمودار سدسازی'!$B$5:$P$6,2,FALSE),"فاضلاب",HLOOKUP(D201,'نمودار جمع‌آوری و ا'!$B$5:$S$6,2,FALSE),"تجهیزات",HLOOKUP(D201,'نمودار تجهیزات آب و'!$B$5:$AG$6,2,FALSE),"پست",HLOOKUP(D201,'نمودار پست های انتق'!$B$5:$AH$6,2,FALSE),"نیرو",HLOOKUP(D201,'نمودار توزیع نیرو ب'!$B$5:$AE$6,2,FALSE),FALSE)</f>
        <v>1</v>
      </c>
      <c r="D201" s="28" t="s">
        <v>252</v>
      </c>
      <c r="E201" s="15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32">
        <v>1782.1</v>
      </c>
      <c r="AT201" s="32">
        <v>2028.4</v>
      </c>
      <c r="AU201" s="32">
        <v>2239.1999999999998</v>
      </c>
      <c r="AV201" s="32">
        <v>2538.1</v>
      </c>
      <c r="AW201" s="32">
        <v>3075</v>
      </c>
      <c r="AX201" s="32">
        <v>3075</v>
      </c>
      <c r="AY201" s="32">
        <v>3225.3</v>
      </c>
      <c r="AZ201" s="32">
        <v>3329.5</v>
      </c>
      <c r="BA201" s="32">
        <v>3599.6</v>
      </c>
      <c r="BB201" s="32">
        <v>3749.5</v>
      </c>
      <c r="BC201" s="32">
        <v>4219.8</v>
      </c>
      <c r="BD201" s="32">
        <v>4402.6000000000004</v>
      </c>
      <c r="BE201" s="32">
        <v>4812.3999999999996</v>
      </c>
      <c r="BF201" s="32">
        <v>5478.8</v>
      </c>
      <c r="BG201" s="32">
        <v>6161.1</v>
      </c>
      <c r="BH201" s="32">
        <v>6505.6</v>
      </c>
      <c r="BI201" s="32">
        <v>6573.2</v>
      </c>
      <c r="BJ201" s="32">
        <v>6546.1</v>
      </c>
      <c r="BK201" s="32">
        <v>6741.2</v>
      </c>
      <c r="BL201" s="32">
        <v>7040.5</v>
      </c>
    </row>
    <row r="202" spans="1:64" ht="20" customHeight="1">
      <c r="A202" s="68">
        <v>198</v>
      </c>
      <c r="B202" s="69" t="s">
        <v>249</v>
      </c>
      <c r="C202" s="70" t="b">
        <f t="array" ref="C202">_xlfn.SWITCH(LEFT(B202,FIND("|",B202)-1),"ابنیه",HLOOKUP(D202,'نمودار ابنیه'!$B$5:$AD$6,2,FALSE),"مکانیکی",HLOOKUP(D202,'نمودار مکانیکی'!$B$5:$AJ$6,2,FALSE),"برقی",HLOOKUP(D202,'نمودار تاسیسات برقی'!$B$5:$AK$6,2,FALSE),"خطوط",HLOOKUP(D202,'نمودار خطوط انتقال '!$B$5:$R$6,2,FALSE),"شبکه",HLOOKUP(D202,'نمودار شبکه توزیع آ'!$B$5:$O$6,2,FALSE),"سد",HLOOKUP(D202,'نمودار سدسازی'!$B$5:$P$6,2,FALSE),"فاضلاب",HLOOKUP(D202,'نمودار جمع‌آوری و ا'!$B$5:$S$6,2,FALSE),"تجهیزات",HLOOKUP(D202,'نمودار تجهیزات آب و'!$B$5:$AG$6,2,FALSE),"پست",HLOOKUP(D202,'نمودار پست های انتق'!$B$5:$AH$6,2,FALSE),"نیرو",HLOOKUP(D202,'نمودار توزیع نیرو ب'!$B$5:$AE$6,2,FALSE),FALSE)</f>
        <v>1</v>
      </c>
      <c r="D202" s="71" t="s">
        <v>253</v>
      </c>
      <c r="E202" s="15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3">
        <v>1756.6</v>
      </c>
      <c r="AT202" s="73">
        <v>2119.3000000000002</v>
      </c>
      <c r="AU202" s="73">
        <v>2364.1999999999998</v>
      </c>
      <c r="AV202" s="73">
        <v>2714.8</v>
      </c>
      <c r="AW202" s="73">
        <v>3225</v>
      </c>
      <c r="AX202" s="73">
        <v>3165</v>
      </c>
      <c r="AY202" s="73">
        <v>3457.8</v>
      </c>
      <c r="AZ202" s="73">
        <v>3522.3</v>
      </c>
      <c r="BA202" s="73">
        <v>3545</v>
      </c>
      <c r="BB202" s="73">
        <v>3557.1</v>
      </c>
      <c r="BC202" s="73">
        <v>3836.8</v>
      </c>
      <c r="BD202" s="73">
        <v>3881.8</v>
      </c>
      <c r="BE202" s="73">
        <v>4399.2</v>
      </c>
      <c r="BF202" s="73">
        <v>5334.4</v>
      </c>
      <c r="BG202" s="73">
        <v>5533.6</v>
      </c>
      <c r="BH202" s="73">
        <v>5435.8</v>
      </c>
      <c r="BI202" s="73">
        <v>5689.4</v>
      </c>
      <c r="BJ202" s="73">
        <v>5657.7</v>
      </c>
      <c r="BK202" s="73">
        <v>6072.1</v>
      </c>
      <c r="BL202" s="73">
        <v>6416.5</v>
      </c>
    </row>
    <row r="203" spans="1:64" ht="20" customHeight="1">
      <c r="A203" s="25">
        <v>199</v>
      </c>
      <c r="B203" s="26" t="s">
        <v>249</v>
      </c>
      <c r="C203" s="27" t="b">
        <f t="array" ref="C203">_xlfn.SWITCH(LEFT(B203,FIND("|",B203)-1),"ابنیه",HLOOKUP(D203,'نمودار ابنیه'!$B$5:$AD$6,2,FALSE),"مکانیکی",HLOOKUP(D203,'نمودار مکانیکی'!$B$5:$AJ$6,2,FALSE),"برقی",HLOOKUP(D203,'نمودار تاسیسات برقی'!$B$5:$AK$6,2,FALSE),"خطوط",HLOOKUP(D203,'نمودار خطوط انتقال '!$B$5:$R$6,2,FALSE),"شبکه",HLOOKUP(D203,'نمودار شبکه توزیع آ'!$B$5:$O$6,2,FALSE),"سد",HLOOKUP(D203,'نمودار سدسازی'!$B$5:$P$6,2,FALSE),"فاضلاب",HLOOKUP(D203,'نمودار جمع‌آوری و ا'!$B$5:$S$6,2,FALSE),"تجهیزات",HLOOKUP(D203,'نمودار تجهیزات آب و'!$B$5:$AG$6,2,FALSE),"پست",HLOOKUP(D203,'نمودار پست های انتق'!$B$5:$AH$6,2,FALSE),"نیرو",HLOOKUP(D203,'نمودار توزیع نیرو ب'!$B$5:$AE$6,2,FALSE),FALSE)</f>
        <v>1</v>
      </c>
      <c r="D203" s="28" t="s">
        <v>254</v>
      </c>
      <c r="E203" s="15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32">
        <v>1818.8</v>
      </c>
      <c r="AT203" s="32">
        <v>2121.5</v>
      </c>
      <c r="AU203" s="32">
        <v>2331.4</v>
      </c>
      <c r="AV203" s="32">
        <v>2662.7</v>
      </c>
      <c r="AW203" s="32">
        <v>2955</v>
      </c>
      <c r="AX203" s="32">
        <v>2955</v>
      </c>
      <c r="AY203" s="32">
        <v>3097.6</v>
      </c>
      <c r="AZ203" s="32">
        <v>3370.7</v>
      </c>
      <c r="BA203" s="32">
        <v>3399.2</v>
      </c>
      <c r="BB203" s="32">
        <v>3399.2</v>
      </c>
      <c r="BC203" s="32">
        <v>3861.7</v>
      </c>
      <c r="BD203" s="32">
        <v>3955.7</v>
      </c>
      <c r="BE203" s="32">
        <v>4079</v>
      </c>
      <c r="BF203" s="32">
        <v>4713.6000000000004</v>
      </c>
      <c r="BG203" s="32">
        <v>4713.6000000000004</v>
      </c>
      <c r="BH203" s="32">
        <v>5635</v>
      </c>
      <c r="BI203" s="32">
        <v>5487.6</v>
      </c>
      <c r="BJ203" s="32">
        <v>5487.6</v>
      </c>
      <c r="BK203" s="32">
        <v>6019.2</v>
      </c>
      <c r="BL203" s="32">
        <v>6467.5</v>
      </c>
    </row>
    <row r="204" spans="1:64" ht="20" customHeight="1">
      <c r="A204" s="68">
        <v>200</v>
      </c>
      <c r="B204" s="69" t="s">
        <v>249</v>
      </c>
      <c r="C204" s="70" t="b">
        <f t="array" ref="C204">_xlfn.SWITCH(LEFT(B204,FIND("|",B204)-1),"ابنیه",HLOOKUP(D204,'نمودار ابنیه'!$B$5:$AD$6,2,FALSE),"مکانیکی",HLOOKUP(D204,'نمودار مکانیکی'!$B$5:$AJ$6,2,FALSE),"برقی",HLOOKUP(D204,'نمودار تاسیسات برقی'!$B$5:$AK$6,2,FALSE),"خطوط",HLOOKUP(D204,'نمودار خطوط انتقال '!$B$5:$R$6,2,FALSE),"شبکه",HLOOKUP(D204,'نمودار شبکه توزیع آ'!$B$5:$O$6,2,FALSE),"سد",HLOOKUP(D204,'نمودار سدسازی'!$B$5:$P$6,2,FALSE),"فاضلاب",HLOOKUP(D204,'نمودار جمع‌آوری و ا'!$B$5:$S$6,2,FALSE),"تجهیزات",HLOOKUP(D204,'نمودار تجهیزات آب و'!$B$5:$AG$6,2,FALSE),"پست",HLOOKUP(D204,'نمودار پست های انتق'!$B$5:$AH$6,2,FALSE),"نیرو",HLOOKUP(D204,'نمودار توزیع نیرو ب'!$B$5:$AE$6,2,FALSE),FALSE)</f>
        <v>0</v>
      </c>
      <c r="D204" s="71" t="s">
        <v>255</v>
      </c>
      <c r="E204" s="15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3">
        <v>1815</v>
      </c>
      <c r="AT204" s="73">
        <v>2129.1</v>
      </c>
      <c r="AU204" s="73">
        <v>2358.4</v>
      </c>
      <c r="AV204" s="73">
        <v>2655.3</v>
      </c>
      <c r="AW204" s="73">
        <v>2985</v>
      </c>
      <c r="AX204" s="73">
        <v>2985</v>
      </c>
      <c r="AY204" s="73">
        <v>3134.2</v>
      </c>
      <c r="AZ204" s="73">
        <v>3435.1</v>
      </c>
      <c r="BA204" s="73">
        <v>3435.2</v>
      </c>
      <c r="BB204" s="73">
        <v>3435.2</v>
      </c>
      <c r="BC204" s="73">
        <v>4017.6</v>
      </c>
      <c r="BD204" s="73">
        <v>4035.6</v>
      </c>
      <c r="BE204" s="73">
        <v>4122.3999999999996</v>
      </c>
      <c r="BF204" s="73">
        <v>5080.3</v>
      </c>
      <c r="BG204" s="73">
        <v>5194.1000000000004</v>
      </c>
      <c r="BH204" s="73">
        <v>6001.8</v>
      </c>
      <c r="BI204" s="73">
        <v>5845.6</v>
      </c>
      <c r="BJ204" s="73">
        <v>5740.9</v>
      </c>
      <c r="BK204" s="73">
        <v>6415.5</v>
      </c>
      <c r="BL204" s="73">
        <v>6893.3</v>
      </c>
    </row>
    <row r="205" spans="1:64" ht="20" customHeight="1">
      <c r="A205" s="25">
        <v>201</v>
      </c>
      <c r="B205" s="26" t="s">
        <v>249</v>
      </c>
      <c r="C205" s="27" t="b">
        <f t="array" ref="C205">_xlfn.SWITCH(LEFT(B205,FIND("|",B205)-1),"ابنیه",HLOOKUP(D205,'نمودار ابنیه'!$B$5:$AD$6,2,FALSE),"مکانیکی",HLOOKUP(D205,'نمودار مکانیکی'!$B$5:$AJ$6,2,FALSE),"برقی",HLOOKUP(D205,'نمودار تاسیسات برقی'!$B$5:$AK$6,2,FALSE),"خطوط",HLOOKUP(D205,'نمودار خطوط انتقال '!$B$5:$R$6,2,FALSE),"شبکه",HLOOKUP(D205,'نمودار شبکه توزیع آ'!$B$5:$O$6,2,FALSE),"سد",HLOOKUP(D205,'نمودار سدسازی'!$B$5:$P$6,2,FALSE),"فاضلاب",HLOOKUP(D205,'نمودار جمع‌آوری و ا'!$B$5:$S$6,2,FALSE),"تجهیزات",HLOOKUP(D205,'نمودار تجهیزات آب و'!$B$5:$AG$6,2,FALSE),"پست",HLOOKUP(D205,'نمودار پست های انتق'!$B$5:$AH$6,2,FALSE),"نیرو",HLOOKUP(D205,'نمودار توزیع نیرو ب'!$B$5:$AE$6,2,FALSE),FALSE)</f>
        <v>0</v>
      </c>
      <c r="D205" s="28" t="s">
        <v>256</v>
      </c>
      <c r="E205" s="15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32">
        <v>1787.7</v>
      </c>
      <c r="AT205" s="32">
        <v>2205.8000000000002</v>
      </c>
      <c r="AU205" s="32">
        <v>2387</v>
      </c>
      <c r="AV205" s="32">
        <v>2687.6</v>
      </c>
      <c r="AW205" s="32">
        <v>3106.5</v>
      </c>
      <c r="AX205" s="32">
        <v>3100.5</v>
      </c>
      <c r="AY205" s="32">
        <v>3131.5</v>
      </c>
      <c r="AZ205" s="32">
        <v>3131.5</v>
      </c>
      <c r="BA205" s="32">
        <v>3522.2</v>
      </c>
      <c r="BB205" s="32">
        <v>3522.2</v>
      </c>
      <c r="BC205" s="32">
        <v>3896.7</v>
      </c>
      <c r="BD205" s="32">
        <v>4078.5</v>
      </c>
      <c r="BE205" s="32">
        <v>4406.3</v>
      </c>
      <c r="BF205" s="32">
        <v>5341.5</v>
      </c>
      <c r="BG205" s="32">
        <v>5767.7</v>
      </c>
      <c r="BH205" s="32">
        <v>6302.5</v>
      </c>
      <c r="BI205" s="32">
        <v>7192.4</v>
      </c>
      <c r="BJ205" s="32">
        <v>7066.4</v>
      </c>
      <c r="BK205" s="32">
        <v>8593.6</v>
      </c>
      <c r="BL205" s="32">
        <v>9034.7999999999993</v>
      </c>
    </row>
    <row r="206" spans="1:64" ht="20" customHeight="1">
      <c r="A206" s="68">
        <v>202</v>
      </c>
      <c r="B206" s="69" t="s">
        <v>249</v>
      </c>
      <c r="C206" s="70" t="b">
        <f t="array" ref="C206">_xlfn.SWITCH(LEFT(B206,FIND("|",B206)-1),"ابنیه",HLOOKUP(D206,'نمودار ابنیه'!$B$5:$AD$6,2,FALSE),"مکانیکی",HLOOKUP(D206,'نمودار مکانیکی'!$B$5:$AJ$6,2,FALSE),"برقی",HLOOKUP(D206,'نمودار تاسیسات برقی'!$B$5:$AK$6,2,FALSE),"خطوط",HLOOKUP(D206,'نمودار خطوط انتقال '!$B$5:$R$6,2,FALSE),"شبکه",HLOOKUP(D206,'نمودار شبکه توزیع آ'!$B$5:$O$6,2,FALSE),"سد",HLOOKUP(D206,'نمودار سدسازی'!$B$5:$P$6,2,FALSE),"فاضلاب",HLOOKUP(D206,'نمودار جمع‌آوری و ا'!$B$5:$S$6,2,FALSE),"تجهیزات",HLOOKUP(D206,'نمودار تجهیزات آب و'!$B$5:$AG$6,2,FALSE),"پست",HLOOKUP(D206,'نمودار پست های انتق'!$B$5:$AH$6,2,FALSE),"نیرو",HLOOKUP(D206,'نمودار توزیع نیرو ب'!$B$5:$AE$6,2,FALSE),FALSE)</f>
        <v>0</v>
      </c>
      <c r="D206" s="71" t="s">
        <v>257</v>
      </c>
      <c r="E206" s="15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3">
        <v>1787.7</v>
      </c>
      <c r="AT206" s="73">
        <v>2205.8000000000002</v>
      </c>
      <c r="AU206" s="73">
        <v>2387</v>
      </c>
      <c r="AV206" s="73">
        <v>2687.6</v>
      </c>
      <c r="AW206" s="73">
        <v>2839.5</v>
      </c>
      <c r="AX206" s="73">
        <v>2823</v>
      </c>
      <c r="AY206" s="73">
        <v>2851.2</v>
      </c>
      <c r="AZ206" s="73">
        <v>2851.2</v>
      </c>
      <c r="BA206" s="73">
        <v>3260.9</v>
      </c>
      <c r="BB206" s="73">
        <v>3206.9</v>
      </c>
      <c r="BC206" s="73">
        <v>3643.1</v>
      </c>
      <c r="BD206" s="73">
        <v>3643.1</v>
      </c>
      <c r="BE206" s="73">
        <v>4005.1</v>
      </c>
      <c r="BF206" s="73">
        <v>4855.3</v>
      </c>
      <c r="BG206" s="73">
        <v>5243.4</v>
      </c>
      <c r="BH206" s="73">
        <v>5735.2</v>
      </c>
      <c r="BI206" s="73">
        <v>6541.2</v>
      </c>
      <c r="BJ206" s="73">
        <v>6426.4</v>
      </c>
      <c r="BK206" s="73">
        <v>7793.9</v>
      </c>
      <c r="BL206" s="73">
        <v>8195.2999999999993</v>
      </c>
    </row>
    <row r="207" spans="1:64" ht="20" customHeight="1">
      <c r="A207" s="25">
        <v>203</v>
      </c>
      <c r="B207" s="26" t="s">
        <v>249</v>
      </c>
      <c r="C207" s="27" t="b">
        <f t="array" ref="C207">_xlfn.SWITCH(LEFT(B207,FIND("|",B207)-1),"ابنیه",HLOOKUP(D207,'نمودار ابنیه'!$B$5:$AD$6,2,FALSE),"مکانیکی",HLOOKUP(D207,'نمودار مکانیکی'!$B$5:$AJ$6,2,FALSE),"برقی",HLOOKUP(D207,'نمودار تاسیسات برقی'!$B$5:$AK$6,2,FALSE),"خطوط",HLOOKUP(D207,'نمودار خطوط انتقال '!$B$5:$R$6,2,FALSE),"شبکه",HLOOKUP(D207,'نمودار شبکه توزیع آ'!$B$5:$O$6,2,FALSE),"سد",HLOOKUP(D207,'نمودار سدسازی'!$B$5:$P$6,2,FALSE),"فاضلاب",HLOOKUP(D207,'نمودار جمع‌آوری و ا'!$B$5:$S$6,2,FALSE),"تجهیزات",HLOOKUP(D207,'نمودار تجهیزات آب و'!$B$5:$AG$6,2,FALSE),"پست",HLOOKUP(D207,'نمودار پست های انتق'!$B$5:$AH$6,2,FALSE),"نیرو",HLOOKUP(D207,'نمودار توزیع نیرو ب'!$B$5:$AE$6,2,FALSE),FALSE)</f>
        <v>0</v>
      </c>
      <c r="D207" s="28" t="s">
        <v>258</v>
      </c>
      <c r="E207" s="15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32">
        <v>1752.1</v>
      </c>
      <c r="AT207" s="32">
        <v>2167</v>
      </c>
      <c r="AU207" s="32">
        <v>2362.9</v>
      </c>
      <c r="AV207" s="32">
        <v>2714.4</v>
      </c>
      <c r="AW207" s="32">
        <v>2547</v>
      </c>
      <c r="AX207" s="32">
        <v>2362.5</v>
      </c>
      <c r="AY207" s="32">
        <v>2645.3</v>
      </c>
      <c r="AZ207" s="32">
        <v>2753.5</v>
      </c>
      <c r="BA207" s="32">
        <v>2888.8</v>
      </c>
      <c r="BB207" s="32">
        <v>2888.8</v>
      </c>
      <c r="BC207" s="32">
        <v>3034.3</v>
      </c>
      <c r="BD207" s="32">
        <v>3122.5</v>
      </c>
      <c r="BE207" s="32">
        <v>3305.5</v>
      </c>
      <c r="BF207" s="32">
        <v>3610.8</v>
      </c>
      <c r="BG207" s="32">
        <v>4257.2</v>
      </c>
      <c r="BH207" s="32">
        <v>4540.6000000000004</v>
      </c>
      <c r="BI207" s="32">
        <v>5176</v>
      </c>
      <c r="BJ207" s="32">
        <v>5172.2</v>
      </c>
      <c r="BK207" s="32">
        <v>5270</v>
      </c>
      <c r="BL207" s="32">
        <v>5609.7</v>
      </c>
    </row>
    <row r="208" spans="1:64" ht="20" customHeight="1">
      <c r="A208" s="68">
        <v>204</v>
      </c>
      <c r="B208" s="69" t="s">
        <v>249</v>
      </c>
      <c r="C208" s="70" t="b">
        <f t="array" ref="C208">_xlfn.SWITCH(LEFT(B208,FIND("|",B208)-1),"ابنیه",HLOOKUP(D208,'نمودار ابنیه'!$B$5:$AD$6,2,FALSE),"مکانیکی",HLOOKUP(D208,'نمودار مکانیکی'!$B$5:$AJ$6,2,FALSE),"برقی",HLOOKUP(D208,'نمودار تاسیسات برقی'!$B$5:$AK$6,2,FALSE),"خطوط",HLOOKUP(D208,'نمودار خطوط انتقال '!$B$5:$R$6,2,FALSE),"شبکه",HLOOKUP(D208,'نمودار شبکه توزیع آ'!$B$5:$O$6,2,FALSE),"سد",HLOOKUP(D208,'نمودار سدسازی'!$B$5:$P$6,2,FALSE),"فاضلاب",HLOOKUP(D208,'نمودار جمع‌آوری و ا'!$B$5:$S$6,2,FALSE),"تجهیزات",HLOOKUP(D208,'نمودار تجهیزات آب و'!$B$5:$AG$6,2,FALSE),"پست",HLOOKUP(D208,'نمودار پست های انتق'!$B$5:$AH$6,2,FALSE),"نیرو",HLOOKUP(D208,'نمودار توزیع نیرو ب'!$B$5:$AE$6,2,FALSE),FALSE)</f>
        <v>0</v>
      </c>
      <c r="D208" s="71" t="s">
        <v>259</v>
      </c>
      <c r="E208" s="15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3">
        <v>1875</v>
      </c>
      <c r="AT208" s="73">
        <v>1875</v>
      </c>
      <c r="AU208" s="73">
        <v>1875</v>
      </c>
      <c r="AV208" s="73">
        <v>1875</v>
      </c>
      <c r="AW208" s="73">
        <v>2302.5</v>
      </c>
      <c r="AX208" s="73">
        <v>2302.5</v>
      </c>
      <c r="AY208" s="73">
        <v>2751.9</v>
      </c>
      <c r="AZ208" s="73">
        <v>2896.2</v>
      </c>
      <c r="BA208" s="73">
        <v>2896.2</v>
      </c>
      <c r="BB208" s="73">
        <v>3090.9</v>
      </c>
      <c r="BC208" s="73">
        <v>3729.1</v>
      </c>
      <c r="BD208" s="73">
        <v>3762.8</v>
      </c>
      <c r="BE208" s="73">
        <v>4319</v>
      </c>
      <c r="BF208" s="73">
        <v>4597.6000000000004</v>
      </c>
      <c r="BG208" s="73">
        <v>4697.3999999999996</v>
      </c>
      <c r="BH208" s="73">
        <v>5063.5</v>
      </c>
      <c r="BI208" s="73">
        <v>5556.5</v>
      </c>
      <c r="BJ208" s="73">
        <v>5556.5</v>
      </c>
      <c r="BK208" s="73">
        <v>5614.2</v>
      </c>
      <c r="BL208" s="73">
        <v>5721.7</v>
      </c>
    </row>
    <row r="209" spans="1:64" ht="20" customHeight="1">
      <c r="A209" s="25">
        <v>205</v>
      </c>
      <c r="B209" s="26" t="s">
        <v>249</v>
      </c>
      <c r="C209" s="27" t="b">
        <f t="array" ref="C209">_xlfn.SWITCH(LEFT(B209,FIND("|",B209)-1),"ابنیه",HLOOKUP(D209,'نمودار ابنیه'!$B$5:$AD$6,2,FALSE),"مکانیکی",HLOOKUP(D209,'نمودار مکانیکی'!$B$5:$AJ$6,2,FALSE),"برقی",HLOOKUP(D209,'نمودار تاسیسات برقی'!$B$5:$AK$6,2,FALSE),"خطوط",HLOOKUP(D209,'نمودار خطوط انتقال '!$B$5:$R$6,2,FALSE),"شبکه",HLOOKUP(D209,'نمودار شبکه توزیع آ'!$B$5:$O$6,2,FALSE),"سد",HLOOKUP(D209,'نمودار سدسازی'!$B$5:$P$6,2,FALSE),"فاضلاب",HLOOKUP(D209,'نمودار جمع‌آوری و ا'!$B$5:$S$6,2,FALSE),"تجهیزات",HLOOKUP(D209,'نمودار تجهیزات آب و'!$B$5:$AG$6,2,FALSE),"پست",HLOOKUP(D209,'نمودار پست های انتق'!$B$5:$AH$6,2,FALSE),"نیرو",HLOOKUP(D209,'نمودار توزیع نیرو ب'!$B$5:$AE$6,2,FALSE),FALSE)</f>
        <v>0</v>
      </c>
      <c r="D209" s="28" t="s">
        <v>260</v>
      </c>
      <c r="E209" s="15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32">
        <v>1757.3</v>
      </c>
      <c r="AT209" s="32">
        <v>2139</v>
      </c>
      <c r="AU209" s="32">
        <v>2390.3000000000002</v>
      </c>
      <c r="AV209" s="32">
        <v>2735.3</v>
      </c>
      <c r="AW209" s="32">
        <v>2814</v>
      </c>
      <c r="AX209" s="32">
        <v>2814</v>
      </c>
      <c r="AY209" s="32">
        <v>2842.1</v>
      </c>
      <c r="AZ209" s="32">
        <v>2842.1</v>
      </c>
      <c r="BA209" s="32">
        <v>2926.6</v>
      </c>
      <c r="BB209" s="32">
        <v>2954.7</v>
      </c>
      <c r="BC209" s="32">
        <v>3260.2</v>
      </c>
      <c r="BD209" s="32">
        <v>3426.6</v>
      </c>
      <c r="BE209" s="32">
        <v>3598.8</v>
      </c>
      <c r="BF209" s="32">
        <v>4320.7</v>
      </c>
      <c r="BG209" s="32">
        <v>4848.6000000000004</v>
      </c>
      <c r="BH209" s="32">
        <v>5303</v>
      </c>
      <c r="BI209" s="32">
        <v>5943.6</v>
      </c>
      <c r="BJ209" s="32">
        <v>5894</v>
      </c>
      <c r="BK209" s="32">
        <v>6389.2</v>
      </c>
      <c r="BL209" s="32">
        <v>6626.3</v>
      </c>
    </row>
    <row r="210" spans="1:64" ht="20" customHeight="1">
      <c r="A210" s="68">
        <v>206</v>
      </c>
      <c r="B210" s="69" t="s">
        <v>249</v>
      </c>
      <c r="C210" s="70" t="b">
        <f t="array" ref="C210">_xlfn.SWITCH(LEFT(B210,FIND("|",B210)-1),"ابنیه",HLOOKUP(D210,'نمودار ابنیه'!$B$5:$AD$6,2,FALSE),"مکانیکی",HLOOKUP(D210,'نمودار مکانیکی'!$B$5:$AJ$6,2,FALSE),"برقی",HLOOKUP(D210,'نمودار تاسیسات برقی'!$B$5:$AK$6,2,FALSE),"خطوط",HLOOKUP(D210,'نمودار خطوط انتقال '!$B$5:$R$6,2,FALSE),"شبکه",HLOOKUP(D210,'نمودار شبکه توزیع آ'!$B$5:$O$6,2,FALSE),"سد",HLOOKUP(D210,'نمودار سدسازی'!$B$5:$P$6,2,FALSE),"فاضلاب",HLOOKUP(D210,'نمودار جمع‌آوری و ا'!$B$5:$S$6,2,FALSE),"تجهیزات",HLOOKUP(D210,'نمودار تجهیزات آب و'!$B$5:$AG$6,2,FALSE),"پست",HLOOKUP(D210,'نمودار پست های انتق'!$B$5:$AH$6,2,FALSE),"نیرو",HLOOKUP(D210,'نمودار توزیع نیرو ب'!$B$5:$AE$6,2,FALSE),FALSE)</f>
        <v>0</v>
      </c>
      <c r="D210" s="71" t="s">
        <v>261</v>
      </c>
      <c r="E210" s="15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3">
        <v>1646.3</v>
      </c>
      <c r="AT210" s="73">
        <v>2003</v>
      </c>
      <c r="AU210" s="73">
        <v>2176.8000000000002</v>
      </c>
      <c r="AV210" s="73">
        <v>2411.9</v>
      </c>
      <c r="AW210" s="73">
        <v>2214</v>
      </c>
      <c r="AX210" s="73">
        <v>2173.5</v>
      </c>
      <c r="AY210" s="73">
        <v>2667.4</v>
      </c>
      <c r="AZ210" s="73">
        <v>2990.3</v>
      </c>
      <c r="BA210" s="73">
        <v>3025.5</v>
      </c>
      <c r="BB210" s="73">
        <v>3251.6</v>
      </c>
      <c r="BC210" s="73">
        <v>3413.3</v>
      </c>
      <c r="BD210" s="73">
        <v>3375.1</v>
      </c>
      <c r="BE210" s="73">
        <v>3382.3</v>
      </c>
      <c r="BF210" s="73">
        <v>3384.4</v>
      </c>
      <c r="BG210" s="73">
        <v>3768.6</v>
      </c>
      <c r="BH210" s="73">
        <v>4338.8999999999996</v>
      </c>
      <c r="BI210" s="73">
        <v>5136.6000000000004</v>
      </c>
      <c r="BJ210" s="73">
        <v>4993</v>
      </c>
      <c r="BK210" s="73">
        <v>5079.8999999999996</v>
      </c>
      <c r="BL210" s="73">
        <v>5247.3</v>
      </c>
    </row>
    <row r="211" spans="1:64" ht="20" customHeight="1">
      <c r="A211" s="25">
        <v>207</v>
      </c>
      <c r="B211" s="26" t="s">
        <v>249</v>
      </c>
      <c r="C211" s="27" t="b">
        <f t="array" ref="C211">_xlfn.SWITCH(LEFT(B211,FIND("|",B211)-1),"ابنیه",HLOOKUP(D211,'نمودار ابنیه'!$B$5:$AD$6,2,FALSE),"مکانیکی",HLOOKUP(D211,'نمودار مکانیکی'!$B$5:$AJ$6,2,FALSE),"برقی",HLOOKUP(D211,'نمودار تاسیسات برقی'!$B$5:$AK$6,2,FALSE),"خطوط",HLOOKUP(D211,'نمودار خطوط انتقال '!$B$5:$R$6,2,FALSE),"شبکه",HLOOKUP(D211,'نمودار شبکه توزیع آ'!$B$5:$O$6,2,FALSE),"سد",HLOOKUP(D211,'نمودار سدسازی'!$B$5:$P$6,2,FALSE),"فاضلاب",HLOOKUP(D211,'نمودار جمع‌آوری و ا'!$B$5:$S$6,2,FALSE),"تجهیزات",HLOOKUP(D211,'نمودار تجهیزات آب و'!$B$5:$AG$6,2,FALSE),"پست",HLOOKUP(D211,'نمودار پست های انتق'!$B$5:$AH$6,2,FALSE),"نیرو",HLOOKUP(D211,'نمودار توزیع نیرو ب'!$B$5:$AE$6,2,FALSE),FALSE)</f>
        <v>0</v>
      </c>
      <c r="D211" s="28" t="s">
        <v>262</v>
      </c>
      <c r="E211" s="15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32">
        <v>1564.5</v>
      </c>
      <c r="AT211" s="32">
        <v>2064</v>
      </c>
      <c r="AU211" s="32">
        <v>2298</v>
      </c>
      <c r="AV211" s="32">
        <v>2463</v>
      </c>
      <c r="AW211" s="32">
        <v>2746.5</v>
      </c>
      <c r="AX211" s="32">
        <v>2670.2</v>
      </c>
      <c r="AY211" s="32">
        <v>2980.7</v>
      </c>
      <c r="AZ211" s="32">
        <v>3285.8</v>
      </c>
      <c r="BA211" s="32">
        <v>3866.4</v>
      </c>
      <c r="BB211" s="32">
        <v>4048.3</v>
      </c>
      <c r="BC211" s="32">
        <v>4129.2</v>
      </c>
      <c r="BD211" s="32">
        <v>3967.3</v>
      </c>
      <c r="BE211" s="32">
        <v>4420.7</v>
      </c>
      <c r="BF211" s="32">
        <v>5242.5</v>
      </c>
      <c r="BG211" s="32">
        <v>5734.8</v>
      </c>
      <c r="BH211" s="32">
        <v>6241.2</v>
      </c>
      <c r="BI211" s="32">
        <v>6241.2</v>
      </c>
      <c r="BJ211" s="32">
        <v>6178.8</v>
      </c>
      <c r="BK211" s="32">
        <v>6753.6</v>
      </c>
      <c r="BL211" s="32">
        <v>6998.3</v>
      </c>
    </row>
    <row r="212" spans="1:64" ht="20" customHeight="1">
      <c r="A212" s="68">
        <v>208</v>
      </c>
      <c r="B212" s="69" t="s">
        <v>249</v>
      </c>
      <c r="C212" s="70" t="b">
        <f t="array" ref="C212">_xlfn.SWITCH(LEFT(B212,FIND("|",B212)-1),"ابنیه",HLOOKUP(D212,'نمودار ابنیه'!$B$5:$AD$6,2,FALSE),"مکانیکی",HLOOKUP(D212,'نمودار مکانیکی'!$B$5:$AJ$6,2,FALSE),"برقی",HLOOKUP(D212,'نمودار تاسیسات برقی'!$B$5:$AK$6,2,FALSE),"خطوط",HLOOKUP(D212,'نمودار خطوط انتقال '!$B$5:$R$6,2,FALSE),"شبکه",HLOOKUP(D212,'نمودار شبکه توزیع آ'!$B$5:$O$6,2,FALSE),"سد",HLOOKUP(D212,'نمودار سدسازی'!$B$5:$P$6,2,FALSE),"فاضلاب",HLOOKUP(D212,'نمودار جمع‌آوری و ا'!$B$5:$S$6,2,FALSE),"تجهیزات",HLOOKUP(D212,'نمودار تجهیزات آب و'!$B$5:$AG$6,2,FALSE),"پست",HLOOKUP(D212,'نمودار پست های انتق'!$B$5:$AH$6,2,FALSE),"نیرو",HLOOKUP(D212,'نمودار توزیع نیرو ب'!$B$5:$AE$6,2,FALSE),FALSE)</f>
        <v>0</v>
      </c>
      <c r="D212" s="71" t="s">
        <v>263</v>
      </c>
      <c r="E212" s="15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3">
        <v>1661.2</v>
      </c>
      <c r="AT212" s="73">
        <v>2133.3000000000002</v>
      </c>
      <c r="AU212" s="73">
        <v>2340.9</v>
      </c>
      <c r="AV212" s="73">
        <v>2533</v>
      </c>
      <c r="AW212" s="73">
        <v>2700</v>
      </c>
      <c r="AX212" s="73">
        <v>2700</v>
      </c>
      <c r="AY212" s="73">
        <v>3190.2</v>
      </c>
      <c r="AZ212" s="73">
        <v>3559.9</v>
      </c>
      <c r="BA212" s="73">
        <v>3563.4</v>
      </c>
      <c r="BB212" s="73">
        <v>3669.3</v>
      </c>
      <c r="BC212" s="73">
        <v>4251</v>
      </c>
      <c r="BD212" s="73">
        <v>4127</v>
      </c>
      <c r="BE212" s="73">
        <v>4127</v>
      </c>
      <c r="BF212" s="73">
        <v>4582.8</v>
      </c>
      <c r="BG212" s="73">
        <v>4689.6000000000004</v>
      </c>
      <c r="BH212" s="73">
        <v>4891.8</v>
      </c>
      <c r="BI212" s="73">
        <v>5163.6000000000004</v>
      </c>
      <c r="BJ212" s="73">
        <v>5337.5</v>
      </c>
      <c r="BK212" s="73">
        <v>5674.5</v>
      </c>
      <c r="BL212" s="73">
        <v>5938.7</v>
      </c>
    </row>
    <row r="213" spans="1:64" ht="20" customHeight="1">
      <c r="A213" s="25">
        <v>209</v>
      </c>
      <c r="B213" s="26" t="s">
        <v>249</v>
      </c>
      <c r="C213" s="27" t="b">
        <f t="array" ref="C213">_xlfn.SWITCH(LEFT(B213,FIND("|",B213)-1),"ابنیه",HLOOKUP(D213,'نمودار ابنیه'!$B$5:$AD$6,2,FALSE),"مکانیکی",HLOOKUP(D213,'نمودار مکانیکی'!$B$5:$AJ$6,2,FALSE),"برقی",HLOOKUP(D213,'نمودار تاسیسات برقی'!$B$5:$AK$6,2,FALSE),"خطوط",HLOOKUP(D213,'نمودار خطوط انتقال '!$B$5:$R$6,2,FALSE),"شبکه",HLOOKUP(D213,'نمودار شبکه توزیع آ'!$B$5:$O$6,2,FALSE),"سد",HLOOKUP(D213,'نمودار سدسازی'!$B$5:$P$6,2,FALSE),"فاضلاب",HLOOKUP(D213,'نمودار جمع‌آوری و ا'!$B$5:$S$6,2,FALSE),"تجهیزات",HLOOKUP(D213,'نمودار تجهیزات آب و'!$B$5:$AG$6,2,FALSE),"پست",HLOOKUP(D213,'نمودار پست های انتق'!$B$5:$AH$6,2,FALSE),"نیرو",HLOOKUP(D213,'نمودار توزیع نیرو ب'!$B$5:$AE$6,2,FALSE),FALSE)</f>
        <v>0</v>
      </c>
      <c r="D213" s="28" t="s">
        <v>264</v>
      </c>
      <c r="E213" s="15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32">
        <v>1765.9</v>
      </c>
      <c r="AT213" s="32">
        <v>2254.8000000000002</v>
      </c>
      <c r="AU213" s="32">
        <v>2351.6</v>
      </c>
      <c r="AV213" s="32">
        <v>2646.9</v>
      </c>
      <c r="AW213" s="32">
        <v>2775</v>
      </c>
      <c r="AX213" s="32">
        <v>2850</v>
      </c>
      <c r="AY213" s="32">
        <v>3230.8</v>
      </c>
      <c r="AZ213" s="32">
        <v>3881.7</v>
      </c>
      <c r="BA213" s="32">
        <v>3883.1</v>
      </c>
      <c r="BB213" s="32">
        <v>3883.1</v>
      </c>
      <c r="BC213" s="32">
        <v>4586.6000000000004</v>
      </c>
      <c r="BD213" s="32">
        <v>4516.5</v>
      </c>
      <c r="BE213" s="32">
        <v>4977.5</v>
      </c>
      <c r="BF213" s="32">
        <v>5200.8</v>
      </c>
      <c r="BG213" s="32">
        <v>5441.5</v>
      </c>
      <c r="BH213" s="32">
        <v>5737.2</v>
      </c>
      <c r="BI213" s="32">
        <v>6117.1</v>
      </c>
      <c r="BJ213" s="32">
        <v>6512.3</v>
      </c>
      <c r="BK213" s="32">
        <v>6698.7</v>
      </c>
      <c r="BL213" s="32">
        <v>6873.1</v>
      </c>
    </row>
    <row r="214" spans="1:64" ht="20" customHeight="1">
      <c r="A214" s="68">
        <v>210</v>
      </c>
      <c r="B214" s="69" t="s">
        <v>249</v>
      </c>
      <c r="C214" s="70" t="b">
        <f t="array" ref="C214">_xlfn.SWITCH(LEFT(B214,FIND("|",B214)-1),"ابنیه",HLOOKUP(D214,'نمودار ابنیه'!$B$5:$AD$6,2,FALSE),"مکانیکی",HLOOKUP(D214,'نمودار مکانیکی'!$B$5:$AJ$6,2,FALSE),"برقی",HLOOKUP(D214,'نمودار تاسیسات برقی'!$B$5:$AK$6,2,FALSE),"خطوط",HLOOKUP(D214,'نمودار خطوط انتقال '!$B$5:$R$6,2,FALSE),"شبکه",HLOOKUP(D214,'نمودار شبکه توزیع آ'!$B$5:$O$6,2,FALSE),"سد",HLOOKUP(D214,'نمودار سدسازی'!$B$5:$P$6,2,FALSE),"فاضلاب",HLOOKUP(D214,'نمودار جمع‌آوری و ا'!$B$5:$S$6,2,FALSE),"تجهیزات",HLOOKUP(D214,'نمودار تجهیزات آب و'!$B$5:$AG$6,2,FALSE),"پست",HLOOKUP(D214,'نمودار پست های انتق'!$B$5:$AH$6,2,FALSE),"نیرو",HLOOKUP(D214,'نمودار توزیع نیرو ب'!$B$5:$AE$6,2,FALSE),FALSE)</f>
        <v>0</v>
      </c>
      <c r="D214" s="71" t="s">
        <v>265</v>
      </c>
      <c r="E214" s="15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3">
        <v>1761</v>
      </c>
      <c r="AT214" s="73">
        <v>2151</v>
      </c>
      <c r="AU214" s="73">
        <v>2362.5</v>
      </c>
      <c r="AV214" s="73">
        <v>2645.7</v>
      </c>
      <c r="AW214" s="73">
        <v>3141</v>
      </c>
      <c r="AX214" s="73">
        <v>3141</v>
      </c>
      <c r="AY214" s="73">
        <v>3288.6</v>
      </c>
      <c r="AZ214" s="73">
        <v>3401.7</v>
      </c>
      <c r="BA214" s="73">
        <v>4094.4</v>
      </c>
      <c r="BB214" s="73">
        <v>4094.4</v>
      </c>
      <c r="BC214" s="73">
        <v>4744.3</v>
      </c>
      <c r="BD214" s="73">
        <v>4744.3</v>
      </c>
      <c r="BE214" s="73">
        <v>4995.1000000000004</v>
      </c>
      <c r="BF214" s="73">
        <v>5994.2</v>
      </c>
      <c r="BG214" s="73">
        <v>6285.7</v>
      </c>
      <c r="BH214" s="73">
        <v>6849.2</v>
      </c>
      <c r="BI214" s="73">
        <v>6849.2</v>
      </c>
      <c r="BJ214" s="73">
        <v>6913.6</v>
      </c>
      <c r="BK214" s="73">
        <v>7877.1</v>
      </c>
      <c r="BL214" s="73">
        <v>8483.6</v>
      </c>
    </row>
    <row r="215" spans="1:64" ht="20" customHeight="1">
      <c r="A215" s="25">
        <v>211</v>
      </c>
      <c r="B215" s="26" t="s">
        <v>249</v>
      </c>
      <c r="C215" s="27" t="b">
        <f t="array" ref="C215">_xlfn.SWITCH(LEFT(B215,FIND("|",B215)-1),"ابنیه",HLOOKUP(D215,'نمودار ابنیه'!$B$5:$AD$6,2,FALSE),"مکانیکی",HLOOKUP(D215,'نمودار مکانیکی'!$B$5:$AJ$6,2,FALSE),"برقی",HLOOKUP(D215,'نمودار تاسیسات برقی'!$B$5:$AK$6,2,FALSE),"خطوط",HLOOKUP(D215,'نمودار خطوط انتقال '!$B$5:$R$6,2,FALSE),"شبکه",HLOOKUP(D215,'نمودار شبکه توزیع آ'!$B$5:$O$6,2,FALSE),"سد",HLOOKUP(D215,'نمودار سدسازی'!$B$5:$P$6,2,FALSE),"فاضلاب",HLOOKUP(D215,'نمودار جمع‌آوری و ا'!$B$5:$S$6,2,FALSE),"تجهیزات",HLOOKUP(D215,'نمودار تجهیزات آب و'!$B$5:$AG$6,2,FALSE),"پست",HLOOKUP(D215,'نمودار پست های انتق'!$B$5:$AH$6,2,FALSE),"نیرو",HLOOKUP(D215,'نمودار توزیع نیرو ب'!$B$5:$AE$6,2,FALSE),FALSE)</f>
        <v>0</v>
      </c>
      <c r="D215" s="28" t="s">
        <v>266</v>
      </c>
      <c r="E215" s="15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32">
        <v>1763.3</v>
      </c>
      <c r="AT215" s="32">
        <v>2148.3000000000002</v>
      </c>
      <c r="AU215" s="32">
        <v>2446.4</v>
      </c>
      <c r="AV215" s="32">
        <v>2865.7</v>
      </c>
      <c r="AW215" s="32">
        <v>2700</v>
      </c>
      <c r="AX215" s="32">
        <v>2880</v>
      </c>
      <c r="AY215" s="32">
        <v>3269.3</v>
      </c>
      <c r="AZ215" s="32">
        <v>3736</v>
      </c>
      <c r="BA215" s="32">
        <v>3745.1</v>
      </c>
      <c r="BB215" s="32">
        <v>3890.5</v>
      </c>
      <c r="BC215" s="32">
        <v>4064.6</v>
      </c>
      <c r="BD215" s="32">
        <v>4201.8999999999996</v>
      </c>
      <c r="BE215" s="32">
        <v>4538</v>
      </c>
      <c r="BF215" s="32">
        <v>5324.1</v>
      </c>
      <c r="BG215" s="32">
        <v>5786.6</v>
      </c>
      <c r="BH215" s="32">
        <v>6011.1</v>
      </c>
      <c r="BI215" s="32">
        <v>6628.1</v>
      </c>
      <c r="BJ215" s="32">
        <v>6495.5</v>
      </c>
      <c r="BK215" s="32">
        <v>6879.4</v>
      </c>
      <c r="BL215" s="32">
        <v>7378</v>
      </c>
    </row>
    <row r="216" spans="1:64" ht="20" customHeight="1">
      <c r="A216" s="68">
        <v>212</v>
      </c>
      <c r="B216" s="69" t="s">
        <v>249</v>
      </c>
      <c r="C216" s="70" t="b">
        <f t="array" ref="C216">_xlfn.SWITCH(LEFT(B216,FIND("|",B216)-1),"ابنیه",HLOOKUP(D216,'نمودار ابنیه'!$B$5:$AD$6,2,FALSE),"مکانیکی",HLOOKUP(D216,'نمودار مکانیکی'!$B$5:$AJ$6,2,FALSE),"برقی",HLOOKUP(D216,'نمودار تاسیسات برقی'!$B$5:$AK$6,2,FALSE),"خطوط",HLOOKUP(D216,'نمودار خطوط انتقال '!$B$5:$R$6,2,FALSE),"شبکه",HLOOKUP(D216,'نمودار شبکه توزیع آ'!$B$5:$O$6,2,FALSE),"سد",HLOOKUP(D216,'نمودار سدسازی'!$B$5:$P$6,2,FALSE),"فاضلاب",HLOOKUP(D216,'نمودار جمع‌آوری و ا'!$B$5:$S$6,2,FALSE),"تجهیزات",HLOOKUP(D216,'نمودار تجهیزات آب و'!$B$5:$AG$6,2,FALSE),"پست",HLOOKUP(D216,'نمودار پست های انتق'!$B$5:$AH$6,2,FALSE),"نیرو",HLOOKUP(D216,'نمودار توزیع نیرو ب'!$B$5:$AE$6,2,FALSE),FALSE)</f>
        <v>0</v>
      </c>
      <c r="D216" s="71" t="s">
        <v>267</v>
      </c>
      <c r="E216" s="15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3">
        <v>1614</v>
      </c>
      <c r="AT216" s="73">
        <v>2109</v>
      </c>
      <c r="AU216" s="73">
        <v>2422.5</v>
      </c>
      <c r="AV216" s="73">
        <v>2751.8</v>
      </c>
      <c r="AW216" s="73">
        <v>3225</v>
      </c>
      <c r="AX216" s="73">
        <v>3735</v>
      </c>
      <c r="AY216" s="73">
        <v>4295.2</v>
      </c>
      <c r="AZ216" s="73">
        <v>4354</v>
      </c>
      <c r="BA216" s="73">
        <v>4630.8999999999996</v>
      </c>
      <c r="BB216" s="73">
        <v>4678.1000000000004</v>
      </c>
      <c r="BC216" s="73">
        <v>4587.2</v>
      </c>
      <c r="BD216" s="73">
        <v>4525.3</v>
      </c>
      <c r="BE216" s="73">
        <v>5231.7</v>
      </c>
      <c r="BF216" s="73">
        <v>5795.3</v>
      </c>
      <c r="BG216" s="73">
        <v>7158.4</v>
      </c>
      <c r="BH216" s="73">
        <v>7932</v>
      </c>
      <c r="BI216" s="73">
        <v>7932.4</v>
      </c>
      <c r="BJ216" s="73">
        <v>7615.9</v>
      </c>
      <c r="BK216" s="73">
        <v>8288.7999999999993</v>
      </c>
      <c r="BL216" s="73">
        <v>8936.7999999999993</v>
      </c>
    </row>
    <row r="217" spans="1:64" ht="20" customHeight="1">
      <c r="A217" s="25">
        <v>213</v>
      </c>
      <c r="B217" s="26" t="s">
        <v>249</v>
      </c>
      <c r="C217" s="27" t="b">
        <f t="array" ref="C217">_xlfn.SWITCH(LEFT(B217,FIND("|",B217)-1),"ابنیه",HLOOKUP(D217,'نمودار ابنیه'!$B$5:$AD$6,2,FALSE),"مکانیکی",HLOOKUP(D217,'نمودار مکانیکی'!$B$5:$AJ$6,2,FALSE),"برقی",HLOOKUP(D217,'نمودار تاسیسات برقی'!$B$5:$AK$6,2,FALSE),"خطوط",HLOOKUP(D217,'نمودار خطوط انتقال '!$B$5:$R$6,2,FALSE),"شبکه",HLOOKUP(D217,'نمودار شبکه توزیع آ'!$B$5:$O$6,2,FALSE),"سد",HLOOKUP(D217,'نمودار سدسازی'!$B$5:$P$6,2,FALSE),"فاضلاب",HLOOKUP(D217,'نمودار جمع‌آوری و ا'!$B$5:$S$6,2,FALSE),"تجهیزات",HLOOKUP(D217,'نمودار تجهیزات آب و'!$B$5:$AG$6,2,FALSE),"پست",HLOOKUP(D217,'نمودار پست های انتق'!$B$5:$AH$6,2,FALSE),"نیرو",HLOOKUP(D217,'نمودار توزیع نیرو ب'!$B$5:$AE$6,2,FALSE),FALSE)</f>
        <v>0</v>
      </c>
      <c r="D217" s="28" t="s">
        <v>268</v>
      </c>
      <c r="E217" s="15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32">
        <v>1702.4</v>
      </c>
      <c r="AT217" s="32">
        <v>2385.6</v>
      </c>
      <c r="AU217" s="32">
        <v>2773.2</v>
      </c>
      <c r="AV217" s="32">
        <v>2852.3</v>
      </c>
      <c r="AW217" s="32">
        <v>2949</v>
      </c>
      <c r="AX217" s="32">
        <v>3054</v>
      </c>
      <c r="AY217" s="32">
        <v>3369.9</v>
      </c>
      <c r="AZ217" s="32">
        <v>3896.5</v>
      </c>
      <c r="BA217" s="32">
        <v>3879</v>
      </c>
      <c r="BB217" s="32">
        <v>3879</v>
      </c>
      <c r="BC217" s="32">
        <v>4085</v>
      </c>
      <c r="BD217" s="32">
        <v>4034.3</v>
      </c>
      <c r="BE217" s="32">
        <v>4851.8</v>
      </c>
      <c r="BF217" s="32">
        <v>5415.6</v>
      </c>
      <c r="BG217" s="32">
        <v>5938.9</v>
      </c>
      <c r="BH217" s="32">
        <v>6160</v>
      </c>
      <c r="BI217" s="32">
        <v>5981.4</v>
      </c>
      <c r="BJ217" s="32">
        <v>5919.8</v>
      </c>
      <c r="BK217" s="32">
        <v>6533.1</v>
      </c>
      <c r="BL217" s="32">
        <v>7034.3</v>
      </c>
    </row>
    <row r="218" spans="1:64" ht="20" customHeight="1">
      <c r="A218" s="68">
        <v>214</v>
      </c>
      <c r="B218" s="69" t="s">
        <v>249</v>
      </c>
      <c r="C218" s="70" t="b">
        <f t="array" ref="C218">_xlfn.SWITCH(LEFT(B218,FIND("|",B218)-1),"ابنیه",HLOOKUP(D218,'نمودار ابنیه'!$B$5:$AD$6,2,FALSE),"مکانیکی",HLOOKUP(D218,'نمودار مکانیکی'!$B$5:$AJ$6,2,FALSE),"برقی",HLOOKUP(D218,'نمودار تاسیسات برقی'!$B$5:$AK$6,2,FALSE),"خطوط",HLOOKUP(D218,'نمودار خطوط انتقال '!$B$5:$R$6,2,FALSE),"شبکه",HLOOKUP(D218,'نمودار شبکه توزیع آ'!$B$5:$O$6,2,FALSE),"سد",HLOOKUP(D218,'نمودار سدسازی'!$B$5:$P$6,2,FALSE),"فاضلاب",HLOOKUP(D218,'نمودار جمع‌آوری و ا'!$B$5:$S$6,2,FALSE),"تجهیزات",HLOOKUP(D218,'نمودار تجهیزات آب و'!$B$5:$AG$6,2,FALSE),"پست",HLOOKUP(D218,'نمودار پست های انتق'!$B$5:$AH$6,2,FALSE),"نیرو",HLOOKUP(D218,'نمودار توزیع نیرو ب'!$B$5:$AE$6,2,FALSE),FALSE)</f>
        <v>0</v>
      </c>
      <c r="D218" s="71" t="s">
        <v>269</v>
      </c>
      <c r="E218" s="15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3">
        <v>1673.4</v>
      </c>
      <c r="AT218" s="73">
        <v>2085.8000000000002</v>
      </c>
      <c r="AU218" s="73">
        <v>2241.3000000000002</v>
      </c>
      <c r="AV218" s="73">
        <v>2731.3</v>
      </c>
      <c r="AW218" s="73">
        <v>3294</v>
      </c>
      <c r="AX218" s="73">
        <v>3721.5</v>
      </c>
      <c r="AY218" s="73">
        <v>3821.5</v>
      </c>
      <c r="AZ218" s="73">
        <v>3818.1</v>
      </c>
      <c r="BA218" s="73">
        <v>4290.6000000000004</v>
      </c>
      <c r="BB218" s="73">
        <v>4399.3</v>
      </c>
      <c r="BC218" s="73">
        <v>4448.3</v>
      </c>
      <c r="BD218" s="73">
        <v>4451.2</v>
      </c>
      <c r="BE218" s="73">
        <v>4986.3999999999996</v>
      </c>
      <c r="BF218" s="73">
        <v>5827.6</v>
      </c>
      <c r="BG218" s="73">
        <v>6973.2</v>
      </c>
      <c r="BH218" s="73">
        <v>7416.6</v>
      </c>
      <c r="BI218" s="73">
        <v>7720.7</v>
      </c>
      <c r="BJ218" s="73">
        <v>7524.5</v>
      </c>
      <c r="BK218" s="73">
        <v>8221.9</v>
      </c>
      <c r="BL218" s="73">
        <v>8558.6</v>
      </c>
    </row>
    <row r="219" spans="1:64" ht="20" customHeight="1">
      <c r="A219" s="25">
        <v>215</v>
      </c>
      <c r="B219" s="26" t="s">
        <v>249</v>
      </c>
      <c r="C219" s="27" t="b">
        <f t="array" ref="C219">_xlfn.SWITCH(LEFT(B219,FIND("|",B219)-1),"ابنیه",HLOOKUP(D219,'نمودار ابنیه'!$B$5:$AD$6,2,FALSE),"مکانیکی",HLOOKUP(D219,'نمودار مکانیکی'!$B$5:$AJ$6,2,FALSE),"برقی",HLOOKUP(D219,'نمودار تاسیسات برقی'!$B$5:$AK$6,2,FALSE),"خطوط",HLOOKUP(D219,'نمودار خطوط انتقال '!$B$5:$R$6,2,FALSE),"شبکه",HLOOKUP(D219,'نمودار شبکه توزیع آ'!$B$5:$O$6,2,FALSE),"سد",HLOOKUP(D219,'نمودار سدسازی'!$B$5:$P$6,2,FALSE),"فاضلاب",HLOOKUP(D219,'نمودار جمع‌آوری و ا'!$B$5:$S$6,2,FALSE),"تجهیزات",HLOOKUP(D219,'نمودار تجهیزات آب و'!$B$5:$AG$6,2,FALSE),"پست",HLOOKUP(D219,'نمودار پست های انتق'!$B$5:$AH$6,2,FALSE),"نیرو",HLOOKUP(D219,'نمودار توزیع نیرو ب'!$B$5:$AE$6,2,FALSE),FALSE)</f>
        <v>0</v>
      </c>
      <c r="D219" s="28" t="s">
        <v>270</v>
      </c>
      <c r="E219" s="15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32">
        <v>1702.4</v>
      </c>
      <c r="AT219" s="32">
        <v>2066.9</v>
      </c>
      <c r="AU219" s="32">
        <v>2466.1999999999998</v>
      </c>
      <c r="AV219" s="32">
        <v>2701.1</v>
      </c>
      <c r="AW219" s="32">
        <v>2910</v>
      </c>
      <c r="AX219" s="32">
        <v>3000</v>
      </c>
      <c r="AY219" s="32">
        <v>3888.5</v>
      </c>
      <c r="AZ219" s="32">
        <v>4104.8999999999996</v>
      </c>
      <c r="BA219" s="32">
        <v>4327.8</v>
      </c>
      <c r="BB219" s="32">
        <v>4327.8</v>
      </c>
      <c r="BC219" s="32">
        <v>4890.3999999999996</v>
      </c>
      <c r="BD219" s="32">
        <v>4933.7</v>
      </c>
      <c r="BE219" s="32">
        <v>5259</v>
      </c>
      <c r="BF219" s="32">
        <v>5688.7</v>
      </c>
      <c r="BG219" s="32">
        <v>5922</v>
      </c>
      <c r="BH219" s="32">
        <v>5551.4</v>
      </c>
      <c r="BI219" s="32">
        <v>7230.1</v>
      </c>
      <c r="BJ219" s="32">
        <v>6927.9</v>
      </c>
      <c r="BK219" s="32">
        <v>6927.9732400000003</v>
      </c>
      <c r="BL219" s="32">
        <v>7733.9</v>
      </c>
    </row>
    <row r="220" spans="1:64" ht="20" customHeight="1">
      <c r="A220" s="68">
        <v>216</v>
      </c>
      <c r="B220" s="69" t="s">
        <v>249</v>
      </c>
      <c r="C220" s="70" t="b">
        <f t="array" ref="C220">_xlfn.SWITCH(LEFT(B220,FIND("|",B220)-1),"ابنیه",HLOOKUP(D220,'نمودار ابنیه'!$B$5:$AD$6,2,FALSE),"مکانیکی",HLOOKUP(D220,'نمودار مکانیکی'!$B$5:$AJ$6,2,FALSE),"برقی",HLOOKUP(D220,'نمودار تاسیسات برقی'!$B$5:$AK$6,2,FALSE),"خطوط",HLOOKUP(D220,'نمودار خطوط انتقال '!$B$5:$R$6,2,FALSE),"شبکه",HLOOKUP(D220,'نمودار شبکه توزیع آ'!$B$5:$O$6,2,FALSE),"سد",HLOOKUP(D220,'نمودار سدسازی'!$B$5:$P$6,2,FALSE),"فاضلاب",HLOOKUP(D220,'نمودار جمع‌آوری و ا'!$B$5:$S$6,2,FALSE),"تجهیزات",HLOOKUP(D220,'نمودار تجهیزات آب و'!$B$5:$AG$6,2,FALSE),"پست",HLOOKUP(D220,'نمودار پست های انتق'!$B$5:$AH$6,2,FALSE),"نیرو",HLOOKUP(D220,'نمودار توزیع نیرو ب'!$B$5:$AE$6,2,FALSE),FALSE)</f>
        <v>0</v>
      </c>
      <c r="D220" s="71" t="s">
        <v>271</v>
      </c>
      <c r="E220" s="15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3">
        <v>1761.1</v>
      </c>
      <c r="AT220" s="73">
        <v>2135.1</v>
      </c>
      <c r="AU220" s="73">
        <v>2370.8000000000002</v>
      </c>
      <c r="AV220" s="73">
        <v>2647.9</v>
      </c>
      <c r="AW220" s="73">
        <v>2923.5</v>
      </c>
      <c r="AX220" s="73">
        <v>2886</v>
      </c>
      <c r="AY220" s="73">
        <v>3161.8</v>
      </c>
      <c r="AZ220" s="73">
        <v>3301</v>
      </c>
      <c r="BA220" s="73">
        <v>3489.2</v>
      </c>
      <c r="BB220" s="73">
        <v>3561.7</v>
      </c>
      <c r="BC220" s="73">
        <v>3816.1</v>
      </c>
      <c r="BD220" s="73">
        <v>3954.2</v>
      </c>
      <c r="BE220" s="73">
        <v>4117.8</v>
      </c>
      <c r="BF220" s="73">
        <v>4854</v>
      </c>
      <c r="BG220" s="73">
        <v>5245.2</v>
      </c>
      <c r="BH220" s="73">
        <v>5551.4</v>
      </c>
      <c r="BI220" s="73">
        <v>5966.4</v>
      </c>
      <c r="BJ220" s="73">
        <v>5956.7</v>
      </c>
      <c r="BK220" s="73">
        <v>6875.8</v>
      </c>
      <c r="BL220" s="73">
        <v>7215.8</v>
      </c>
    </row>
    <row r="221" spans="1:64" ht="20" customHeight="1">
      <c r="A221" s="25">
        <v>217</v>
      </c>
      <c r="B221" s="26" t="s">
        <v>249</v>
      </c>
      <c r="C221" s="27" t="b">
        <f t="array" ref="C221">_xlfn.SWITCH(LEFT(B221,FIND("|",B221)-1),"ابنیه",HLOOKUP(D221,'نمودار ابنیه'!$B$5:$AD$6,2,FALSE),"مکانیکی",HLOOKUP(D221,'نمودار مکانیکی'!$B$5:$AJ$6,2,FALSE),"برقی",HLOOKUP(D221,'نمودار تاسیسات برقی'!$B$5:$AK$6,2,FALSE),"خطوط",HLOOKUP(D221,'نمودار خطوط انتقال '!$B$5:$R$6,2,FALSE),"شبکه",HLOOKUP(D221,'نمودار شبکه توزیع آ'!$B$5:$O$6,2,FALSE),"سد",HLOOKUP(D221,'نمودار سدسازی'!$B$5:$P$6,2,FALSE),"فاضلاب",HLOOKUP(D221,'نمودار جمع‌آوری و ا'!$B$5:$S$6,2,FALSE),"تجهیزات",HLOOKUP(D221,'نمودار تجهیزات آب و'!$B$5:$AG$6,2,FALSE),"پست",HLOOKUP(D221,'نمودار پست های انتق'!$B$5:$AH$6,2,FALSE),"نیرو",HLOOKUP(D221,'نمودار توزیع نیرو ب'!$B$5:$AE$6,2,FALSE),FALSE)</f>
        <v>0</v>
      </c>
      <c r="D221" s="28" t="s">
        <v>272</v>
      </c>
      <c r="E221" s="15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32">
        <v>1777.3</v>
      </c>
      <c r="AT221" s="32">
        <v>2144.3000000000002</v>
      </c>
      <c r="AU221" s="32">
        <v>2392.8000000000002</v>
      </c>
      <c r="AV221" s="32">
        <v>2750.4</v>
      </c>
      <c r="AW221" s="32">
        <v>2856</v>
      </c>
      <c r="AX221" s="32">
        <v>2830.5</v>
      </c>
      <c r="AY221" s="32">
        <v>2966.6</v>
      </c>
      <c r="AZ221" s="32">
        <v>2999.5</v>
      </c>
      <c r="BA221" s="32">
        <v>3047</v>
      </c>
      <c r="BB221" s="32">
        <v>3175.2</v>
      </c>
      <c r="BC221" s="32">
        <v>3444.5</v>
      </c>
      <c r="BD221" s="32">
        <v>3477.1</v>
      </c>
      <c r="BE221" s="32">
        <v>3892.3</v>
      </c>
      <c r="BF221" s="32">
        <v>3997.3</v>
      </c>
      <c r="BG221" s="32">
        <v>4018.1</v>
      </c>
      <c r="BH221" s="32">
        <v>4076.4</v>
      </c>
      <c r="BI221" s="32">
        <v>4813.5</v>
      </c>
      <c r="BJ221" s="32">
        <v>4803.3</v>
      </c>
      <c r="BK221" s="32">
        <v>4929.1000000000004</v>
      </c>
      <c r="BL221" s="32">
        <v>5219.5</v>
      </c>
    </row>
    <row r="222" spans="1:64" ht="20" customHeight="1">
      <c r="A222" s="68">
        <v>218</v>
      </c>
      <c r="B222" s="69" t="s">
        <v>249</v>
      </c>
      <c r="C222" s="70" t="b">
        <f t="array" ref="C222">_xlfn.SWITCH(LEFT(B222,FIND("|",B222)-1),"ابنیه",HLOOKUP(D222,'نمودار ابنیه'!$B$5:$AD$6,2,FALSE),"مکانیکی",HLOOKUP(D222,'نمودار مکانیکی'!$B$5:$AJ$6,2,FALSE),"برقی",HLOOKUP(D222,'نمودار تاسیسات برقی'!$B$5:$AK$6,2,FALSE),"خطوط",HLOOKUP(D222,'نمودار خطوط انتقال '!$B$5:$R$6,2,FALSE),"شبکه",HLOOKUP(D222,'نمودار شبکه توزیع آ'!$B$5:$O$6,2,FALSE),"سد",HLOOKUP(D222,'نمودار سدسازی'!$B$5:$P$6,2,FALSE),"فاضلاب",HLOOKUP(D222,'نمودار جمع‌آوری و ا'!$B$5:$S$6,2,FALSE),"تجهیزات",HLOOKUP(D222,'نمودار تجهیزات آب و'!$B$5:$AG$6,2,FALSE),"پست",HLOOKUP(D222,'نمودار پست های انتق'!$B$5:$AH$6,2,FALSE),"نیرو",HLOOKUP(D222,'نمودار توزیع نیرو ب'!$B$5:$AE$6,2,FALSE),FALSE)</f>
        <v>0</v>
      </c>
      <c r="D222" s="71" t="s">
        <v>273</v>
      </c>
      <c r="E222" s="15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3">
        <v>1791.6</v>
      </c>
      <c r="AT222" s="73">
        <v>2216.4</v>
      </c>
      <c r="AU222" s="73">
        <v>2529.6</v>
      </c>
      <c r="AV222" s="73">
        <v>2918.4</v>
      </c>
      <c r="AW222" s="73">
        <v>3165</v>
      </c>
      <c r="AX222" s="73">
        <v>3090</v>
      </c>
      <c r="AY222" s="73">
        <v>3196.3</v>
      </c>
      <c r="AZ222" s="73">
        <v>3379.7</v>
      </c>
      <c r="BA222" s="73">
        <v>3593.6</v>
      </c>
      <c r="BB222" s="73">
        <v>3593.6</v>
      </c>
      <c r="BC222" s="73">
        <v>3752.2</v>
      </c>
      <c r="BD222" s="73">
        <v>3933.1</v>
      </c>
      <c r="BE222" s="73">
        <v>4336.3999999999996</v>
      </c>
      <c r="BF222" s="73">
        <v>5092.8</v>
      </c>
      <c r="BG222" s="73">
        <v>5140.1000000000004</v>
      </c>
      <c r="BH222" s="73">
        <v>5187.5</v>
      </c>
      <c r="BI222" s="73">
        <v>5438.5</v>
      </c>
      <c r="BJ222" s="73">
        <v>5435.8</v>
      </c>
      <c r="BK222" s="73">
        <v>6564</v>
      </c>
      <c r="BL222" s="73">
        <v>6872.7</v>
      </c>
    </row>
    <row r="223" spans="1:64" ht="20" customHeight="1">
      <c r="A223" s="25">
        <v>219</v>
      </c>
      <c r="B223" s="26" t="s">
        <v>249</v>
      </c>
      <c r="C223" s="27" t="b">
        <f t="array" ref="C223">_xlfn.SWITCH(LEFT(B223,FIND("|",B223)-1),"ابنیه",HLOOKUP(D223,'نمودار ابنیه'!$B$5:$AD$6,2,FALSE),"مکانیکی",HLOOKUP(D223,'نمودار مکانیکی'!$B$5:$AJ$6,2,FALSE),"برقی",HLOOKUP(D223,'نمودار تاسیسات برقی'!$B$5:$AK$6,2,FALSE),"خطوط",HLOOKUP(D223,'نمودار خطوط انتقال '!$B$5:$R$6,2,FALSE),"شبکه",HLOOKUP(D223,'نمودار شبکه توزیع آ'!$B$5:$O$6,2,FALSE),"سد",HLOOKUP(D223,'نمودار سدسازی'!$B$5:$P$6,2,FALSE),"فاضلاب",HLOOKUP(D223,'نمودار جمع‌آوری و ا'!$B$5:$S$6,2,FALSE),"تجهیزات",HLOOKUP(D223,'نمودار تجهیزات آب و'!$B$5:$AG$6,2,FALSE),"پست",HLOOKUP(D223,'نمودار پست های انتق'!$B$5:$AH$6,2,FALSE),"نیرو",HLOOKUP(D223,'نمودار توزیع نیرو ب'!$B$5:$AE$6,2,FALSE),FALSE)</f>
        <v>0</v>
      </c>
      <c r="D223" s="28" t="s">
        <v>274</v>
      </c>
      <c r="E223" s="15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32">
        <v>1790.8</v>
      </c>
      <c r="AT223" s="32">
        <v>2212.4</v>
      </c>
      <c r="AU223" s="32">
        <v>2523.8000000000002</v>
      </c>
      <c r="AV223" s="32">
        <v>2910.5</v>
      </c>
      <c r="AW223" s="32">
        <v>3024</v>
      </c>
      <c r="AX223" s="32">
        <v>2922</v>
      </c>
      <c r="AY223" s="32">
        <v>3015.9</v>
      </c>
      <c r="AZ223" s="32">
        <v>3129.3</v>
      </c>
      <c r="BA223" s="32">
        <v>3398.2</v>
      </c>
      <c r="BB223" s="32">
        <v>3398.2</v>
      </c>
      <c r="BC223" s="32">
        <v>3548.2</v>
      </c>
      <c r="BD223" s="32">
        <v>3719.3</v>
      </c>
      <c r="BE223" s="32">
        <v>4100.6000000000004</v>
      </c>
      <c r="BF223" s="32">
        <v>5200.5</v>
      </c>
      <c r="BG223" s="32">
        <v>5257.4</v>
      </c>
      <c r="BH223" s="32">
        <v>5314.3</v>
      </c>
      <c r="BI223" s="32">
        <v>5778</v>
      </c>
      <c r="BJ223" s="32">
        <v>5812.2</v>
      </c>
      <c r="BK223" s="32">
        <v>6724.5</v>
      </c>
      <c r="BL223" s="32">
        <v>7040.7</v>
      </c>
    </row>
    <row r="224" spans="1:64" ht="20" customHeight="1">
      <c r="A224" s="68">
        <v>220</v>
      </c>
      <c r="B224" s="69" t="s">
        <v>249</v>
      </c>
      <c r="C224" s="70" t="b">
        <f t="array" ref="C224">_xlfn.SWITCH(LEFT(B224,FIND("|",B224)-1),"ابنیه",HLOOKUP(D224,'نمودار ابنیه'!$B$5:$AD$6,2,FALSE),"مکانیکی",HLOOKUP(D224,'نمودار مکانیکی'!$B$5:$AJ$6,2,FALSE),"برقی",HLOOKUP(D224,'نمودار تاسیسات برقی'!$B$5:$AK$6,2,FALSE),"خطوط",HLOOKUP(D224,'نمودار خطوط انتقال '!$B$5:$R$6,2,FALSE),"شبکه",HLOOKUP(D224,'نمودار شبکه توزیع آ'!$B$5:$O$6,2,FALSE),"سد",HLOOKUP(D224,'نمودار سدسازی'!$B$5:$P$6,2,FALSE),"فاضلاب",HLOOKUP(D224,'نمودار جمع‌آوری و ا'!$B$5:$S$6,2,FALSE),"تجهیزات",HLOOKUP(D224,'نمودار تجهیزات آب و'!$B$5:$AG$6,2,FALSE),"پست",HLOOKUP(D224,'نمودار پست های انتق'!$B$5:$AH$6,2,FALSE),"نیرو",HLOOKUP(D224,'نمودار توزیع نیرو ب'!$B$5:$AE$6,2,FALSE),FALSE)</f>
        <v>0</v>
      </c>
      <c r="D224" s="71" t="s">
        <v>275</v>
      </c>
      <c r="E224" s="15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3">
        <v>1566.8</v>
      </c>
      <c r="AT224" s="73">
        <v>2190.1999999999998</v>
      </c>
      <c r="AU224" s="73">
        <v>2268.3000000000002</v>
      </c>
      <c r="AV224" s="73">
        <v>2712.1</v>
      </c>
      <c r="AW224" s="73">
        <v>3031.5</v>
      </c>
      <c r="AX224" s="73">
        <v>2938.5</v>
      </c>
      <c r="AY224" s="73">
        <v>2938.5</v>
      </c>
      <c r="AZ224" s="73">
        <v>3040</v>
      </c>
      <c r="BA224" s="73">
        <v>3555.6</v>
      </c>
      <c r="BB224" s="73">
        <v>3467.4</v>
      </c>
      <c r="BC224" s="73">
        <v>3412.9</v>
      </c>
      <c r="BD224" s="73">
        <v>3491.5</v>
      </c>
      <c r="BE224" s="73">
        <v>4370.1000000000004</v>
      </c>
      <c r="BF224" s="73">
        <v>5235.8999999999996</v>
      </c>
      <c r="BG224" s="73">
        <v>5291.7</v>
      </c>
      <c r="BH224" s="73">
        <v>5347.6</v>
      </c>
      <c r="BI224" s="73">
        <v>5995.3</v>
      </c>
      <c r="BJ224" s="73">
        <v>6040.2</v>
      </c>
      <c r="BK224" s="73">
        <v>6078.1</v>
      </c>
      <c r="BL224" s="73">
        <v>6774.4</v>
      </c>
    </row>
    <row r="225" spans="1:64" ht="20" customHeight="1">
      <c r="A225" s="25">
        <v>221</v>
      </c>
      <c r="B225" s="26" t="s">
        <v>249</v>
      </c>
      <c r="C225" s="27" t="b">
        <f t="array" ref="C225">_xlfn.SWITCH(LEFT(B225,FIND("|",B225)-1),"ابنیه",HLOOKUP(D225,'نمودار ابنیه'!$B$5:$AD$6,2,FALSE),"مکانیکی",HLOOKUP(D225,'نمودار مکانیکی'!$B$5:$AJ$6,2,FALSE),"برقی",HLOOKUP(D225,'نمودار تاسیسات برقی'!$B$5:$AK$6,2,FALSE),"خطوط",HLOOKUP(D225,'نمودار خطوط انتقال '!$B$5:$R$6,2,FALSE),"شبکه",HLOOKUP(D225,'نمودار شبکه توزیع آ'!$B$5:$O$6,2,FALSE),"سد",HLOOKUP(D225,'نمودار سدسازی'!$B$5:$P$6,2,FALSE),"فاضلاب",HLOOKUP(D225,'نمودار جمع‌آوری و ا'!$B$5:$S$6,2,FALSE),"تجهیزات",HLOOKUP(D225,'نمودار تجهیزات آب و'!$B$5:$AG$6,2,FALSE),"پست",HLOOKUP(D225,'نمودار پست های انتق'!$B$5:$AH$6,2,FALSE),"نیرو",HLOOKUP(D225,'نمودار توزیع نیرو ب'!$B$5:$AE$6,2,FALSE),FALSE)</f>
        <v>0</v>
      </c>
      <c r="D225" s="28" t="s">
        <v>276</v>
      </c>
      <c r="E225" s="15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32">
        <v>1755.2</v>
      </c>
      <c r="AT225" s="32">
        <v>2126.9</v>
      </c>
      <c r="AU225" s="32">
        <v>2400.9</v>
      </c>
      <c r="AV225" s="32">
        <v>2741.1</v>
      </c>
      <c r="AW225" s="32">
        <v>3073.5</v>
      </c>
      <c r="AX225" s="32">
        <v>3030</v>
      </c>
      <c r="AY225" s="32">
        <v>3184.5</v>
      </c>
      <c r="AZ225" s="32">
        <v>3305</v>
      </c>
      <c r="BA225" s="32">
        <v>3333.2</v>
      </c>
      <c r="BB225" s="32">
        <v>3394.4</v>
      </c>
      <c r="BC225" s="32">
        <v>3450.8</v>
      </c>
      <c r="BD225" s="32">
        <v>3450.8</v>
      </c>
      <c r="BE225" s="32">
        <v>4096.1000000000004</v>
      </c>
      <c r="BF225" s="32">
        <v>5445.3</v>
      </c>
      <c r="BG225" s="32">
        <v>5510.1</v>
      </c>
      <c r="BH225" s="32">
        <v>5574.9</v>
      </c>
      <c r="BI225" s="32">
        <v>6223.6</v>
      </c>
      <c r="BJ225" s="32">
        <v>6223.6</v>
      </c>
      <c r="BK225" s="32">
        <v>6612.4</v>
      </c>
      <c r="BL225" s="32">
        <v>7198.3</v>
      </c>
    </row>
    <row r="226" spans="1:64" ht="20" customHeight="1">
      <c r="A226" s="68">
        <v>222</v>
      </c>
      <c r="B226" s="69" t="s">
        <v>249</v>
      </c>
      <c r="C226" s="70" t="b">
        <f t="array" ref="C226">_xlfn.SWITCH(LEFT(B226,FIND("|",B226)-1),"ابنیه",HLOOKUP(D226,'نمودار ابنیه'!$B$5:$AD$6,2,FALSE),"مکانیکی",HLOOKUP(D226,'نمودار مکانیکی'!$B$5:$AJ$6,2,FALSE),"برقی",HLOOKUP(D226,'نمودار تاسیسات برقی'!$B$5:$AK$6,2,FALSE),"خطوط",HLOOKUP(D226,'نمودار خطوط انتقال '!$B$5:$R$6,2,FALSE),"شبکه",HLOOKUP(D226,'نمودار شبکه توزیع آ'!$B$5:$O$6,2,FALSE),"سد",HLOOKUP(D226,'نمودار سدسازی'!$B$5:$P$6,2,FALSE),"فاضلاب",HLOOKUP(D226,'نمودار جمع‌آوری و ا'!$B$5:$S$6,2,FALSE),"تجهیزات",HLOOKUP(D226,'نمودار تجهیزات آب و'!$B$5:$AG$6,2,FALSE),"پست",HLOOKUP(D226,'نمودار پست های انتق'!$B$5:$AH$6,2,FALSE),"نیرو",HLOOKUP(D226,'نمودار توزیع نیرو ب'!$B$5:$AE$6,2,FALSE),FALSE)</f>
        <v>0</v>
      </c>
      <c r="D226" s="71" t="s">
        <v>277</v>
      </c>
      <c r="E226" s="15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3">
        <v>1749.5</v>
      </c>
      <c r="AT226" s="73">
        <v>2076.8000000000002</v>
      </c>
      <c r="AU226" s="73">
        <v>2273.3000000000002</v>
      </c>
      <c r="AV226" s="73">
        <v>2591.6</v>
      </c>
      <c r="AW226" s="73">
        <v>2837.1</v>
      </c>
      <c r="AX226" s="73">
        <v>2730</v>
      </c>
      <c r="AY226" s="73">
        <v>3352.7</v>
      </c>
      <c r="AZ226" s="73">
        <v>3353.7</v>
      </c>
      <c r="BA226" s="73">
        <v>4093.1</v>
      </c>
      <c r="BB226" s="73">
        <v>4094.5</v>
      </c>
      <c r="BC226" s="73">
        <v>4175.6000000000004</v>
      </c>
      <c r="BD226" s="73">
        <v>4520.3</v>
      </c>
      <c r="BE226" s="73">
        <v>5322.9</v>
      </c>
      <c r="BF226" s="73">
        <v>5589.1</v>
      </c>
      <c r="BG226" s="73">
        <v>5743.2</v>
      </c>
      <c r="BH226" s="73">
        <v>5897.3</v>
      </c>
      <c r="BI226" s="73">
        <v>7100.4</v>
      </c>
      <c r="BJ226" s="73">
        <v>7051</v>
      </c>
      <c r="BK226" s="73">
        <v>7759.2</v>
      </c>
      <c r="BL226" s="73">
        <v>7759.2</v>
      </c>
    </row>
    <row r="227" spans="1:64" ht="20" customHeight="1">
      <c r="A227" s="25">
        <v>223</v>
      </c>
      <c r="B227" s="26" t="s">
        <v>249</v>
      </c>
      <c r="C227" s="27" t="b">
        <f t="array" ref="C227">_xlfn.SWITCH(LEFT(B227,FIND("|",B227)-1),"ابنیه",HLOOKUP(D227,'نمودار ابنیه'!$B$5:$AD$6,2,FALSE),"مکانیکی",HLOOKUP(D227,'نمودار مکانیکی'!$B$5:$AJ$6,2,FALSE),"برقی",HLOOKUP(D227,'نمودار تاسیسات برقی'!$B$5:$AK$6,2,FALSE),"خطوط",HLOOKUP(D227,'نمودار خطوط انتقال '!$B$5:$R$6,2,FALSE),"شبکه",HLOOKUP(D227,'نمودار شبکه توزیع آ'!$B$5:$O$6,2,FALSE),"سد",HLOOKUP(D227,'نمودار سدسازی'!$B$5:$P$6,2,FALSE),"فاضلاب",HLOOKUP(D227,'نمودار جمع‌آوری و ا'!$B$5:$S$6,2,FALSE),"تجهیزات",HLOOKUP(D227,'نمودار تجهیزات آب و'!$B$5:$AG$6,2,FALSE),"پست",HLOOKUP(D227,'نمودار پست های انتق'!$B$5:$AH$6,2,FALSE),"نیرو",HLOOKUP(D227,'نمودار توزیع نیرو ب'!$B$5:$AE$6,2,FALSE),FALSE)</f>
        <v>0</v>
      </c>
      <c r="D227" s="28" t="s">
        <v>278</v>
      </c>
      <c r="E227" s="15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32">
        <v>1665</v>
      </c>
      <c r="AT227" s="32">
        <v>2110.5</v>
      </c>
      <c r="AU227" s="32">
        <v>2347.5</v>
      </c>
      <c r="AV227" s="32">
        <v>2687.3</v>
      </c>
      <c r="AW227" s="32">
        <v>2763</v>
      </c>
      <c r="AX227" s="32">
        <v>2635.5</v>
      </c>
      <c r="AY227" s="32">
        <v>2970.3</v>
      </c>
      <c r="AZ227" s="32">
        <v>3097.1</v>
      </c>
      <c r="BA227" s="32">
        <v>3431.2</v>
      </c>
      <c r="BB227" s="32">
        <v>3431.2</v>
      </c>
      <c r="BC227" s="32">
        <v>3774.3</v>
      </c>
      <c r="BD227" s="32">
        <v>3963</v>
      </c>
      <c r="BE227" s="32">
        <v>4350.3999999999996</v>
      </c>
      <c r="BF227" s="32">
        <v>4746.3999999999996</v>
      </c>
      <c r="BG227" s="32">
        <v>4883.6000000000004</v>
      </c>
      <c r="BH227" s="32">
        <v>5397.7</v>
      </c>
      <c r="BI227" s="32">
        <v>5668.3</v>
      </c>
      <c r="BJ227" s="32">
        <v>5853.1</v>
      </c>
      <c r="BK227" s="32">
        <v>5970.2</v>
      </c>
      <c r="BL227" s="32">
        <v>6328.4</v>
      </c>
    </row>
    <row r="228" spans="1:64" ht="20" customHeight="1">
      <c r="A228" s="68">
        <v>224</v>
      </c>
      <c r="B228" s="69" t="s">
        <v>249</v>
      </c>
      <c r="C228" s="70" t="b">
        <f t="array" ref="C228">_xlfn.SWITCH(LEFT(B228,FIND("|",B228)-1),"ابنیه",HLOOKUP(D228,'نمودار ابنیه'!$B$5:$AD$6,2,FALSE),"مکانیکی",HLOOKUP(D228,'نمودار مکانیکی'!$B$5:$AJ$6,2,FALSE),"برقی",HLOOKUP(D228,'نمودار تاسیسات برقی'!$B$5:$AK$6,2,FALSE),"خطوط",HLOOKUP(D228,'نمودار خطوط انتقال '!$B$5:$R$6,2,FALSE),"شبکه",HLOOKUP(D228,'نمودار شبکه توزیع آ'!$B$5:$O$6,2,FALSE),"سد",HLOOKUP(D228,'نمودار سدسازی'!$B$5:$P$6,2,FALSE),"فاضلاب",HLOOKUP(D228,'نمودار جمع‌آوری و ا'!$B$5:$S$6,2,FALSE),"تجهیزات",HLOOKUP(D228,'نمودار تجهیزات آب و'!$B$5:$AG$6,2,FALSE),"پست",HLOOKUP(D228,'نمودار پست های انتق'!$B$5:$AH$6,2,FALSE),"نیرو",HLOOKUP(D228,'نمودار توزیع نیرو ب'!$B$5:$AE$6,2,FALSE),FALSE)</f>
        <v>0</v>
      </c>
      <c r="D228" s="71" t="s">
        <v>279</v>
      </c>
      <c r="E228" s="15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3">
        <v>1743</v>
      </c>
      <c r="AT228" s="73">
        <v>2097</v>
      </c>
      <c r="AU228" s="73">
        <v>2358</v>
      </c>
      <c r="AV228" s="73">
        <v>2682</v>
      </c>
      <c r="AW228" s="73">
        <v>3105</v>
      </c>
      <c r="AX228" s="73">
        <v>3045</v>
      </c>
      <c r="AY228" s="73">
        <v>3197.2</v>
      </c>
      <c r="AZ228" s="73">
        <v>3258.1</v>
      </c>
      <c r="BA228" s="73">
        <v>3389.1</v>
      </c>
      <c r="BB228" s="73">
        <v>3285.6</v>
      </c>
      <c r="BC228" s="73">
        <v>3598.5</v>
      </c>
      <c r="BD228" s="73">
        <v>3794</v>
      </c>
      <c r="BE228" s="73">
        <v>4108.5</v>
      </c>
      <c r="BF228" s="73">
        <v>5020.3</v>
      </c>
      <c r="BG228" s="73">
        <v>5511.9</v>
      </c>
      <c r="BH228" s="73">
        <v>5436.9</v>
      </c>
      <c r="BI228" s="73">
        <v>5708.8</v>
      </c>
      <c r="BJ228" s="73">
        <v>5893.6</v>
      </c>
      <c r="BK228" s="73">
        <v>6649.4</v>
      </c>
      <c r="BL228" s="73">
        <v>6926.7</v>
      </c>
    </row>
    <row r="229" spans="1:64" ht="20" customHeight="1">
      <c r="A229" s="25">
        <v>225</v>
      </c>
      <c r="B229" s="26" t="s">
        <v>249</v>
      </c>
      <c r="C229" s="27" t="b">
        <f t="array" ref="C229">_xlfn.SWITCH(LEFT(B229,FIND("|",B229)-1),"ابنیه",HLOOKUP(D229,'نمودار ابنیه'!$B$5:$AD$6,2,FALSE),"مکانیکی",HLOOKUP(D229,'نمودار مکانیکی'!$B$5:$AJ$6,2,FALSE),"برقی",HLOOKUP(D229,'نمودار تاسیسات برقی'!$B$5:$AK$6,2,FALSE),"خطوط",HLOOKUP(D229,'نمودار خطوط انتقال '!$B$5:$R$6,2,FALSE),"شبکه",HLOOKUP(D229,'نمودار شبکه توزیع آ'!$B$5:$O$6,2,FALSE),"سد",HLOOKUP(D229,'نمودار سدسازی'!$B$5:$P$6,2,FALSE),"فاضلاب",HLOOKUP(D229,'نمودار جمع‌آوری و ا'!$B$5:$S$6,2,FALSE),"تجهیزات",HLOOKUP(D229,'نمودار تجهیزات آب و'!$B$5:$AG$6,2,FALSE),"پست",HLOOKUP(D229,'نمودار پست های انتق'!$B$5:$AH$6,2,FALSE),"نیرو",HLOOKUP(D229,'نمودار توزیع نیرو ب'!$B$5:$AE$6,2,FALSE),FALSE)</f>
        <v>0</v>
      </c>
      <c r="D229" s="28" t="s">
        <v>280</v>
      </c>
      <c r="E229" s="15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32">
        <v>1831.5</v>
      </c>
      <c r="AT229" s="32">
        <v>2001</v>
      </c>
      <c r="AU229" s="32">
        <v>2014.5</v>
      </c>
      <c r="AV229" s="32">
        <v>2044.5</v>
      </c>
      <c r="AW229" s="32">
        <v>2257.5</v>
      </c>
      <c r="AX229" s="32">
        <v>2373</v>
      </c>
      <c r="AY229" s="32">
        <v>3097.1</v>
      </c>
      <c r="AZ229" s="32">
        <v>3268.2</v>
      </c>
      <c r="BA229" s="32">
        <v>3279.8</v>
      </c>
      <c r="BB229" s="32">
        <v>3308.6</v>
      </c>
      <c r="BC229" s="32">
        <v>4350.5</v>
      </c>
      <c r="BD229" s="32">
        <v>4445.2</v>
      </c>
      <c r="BE229" s="32">
        <v>4722.2</v>
      </c>
      <c r="BF229" s="32">
        <v>4893.1000000000004</v>
      </c>
      <c r="BG229" s="32">
        <v>4893.1000000000004</v>
      </c>
      <c r="BH229" s="32">
        <v>4905.5</v>
      </c>
      <c r="BI229" s="32">
        <v>6046.3</v>
      </c>
      <c r="BJ229" s="32">
        <v>6270.1</v>
      </c>
      <c r="BK229" s="32">
        <v>6439</v>
      </c>
      <c r="BL229" s="32">
        <v>6620.2</v>
      </c>
    </row>
    <row r="230" spans="1:64" ht="20" customHeight="1">
      <c r="A230" s="68">
        <v>226</v>
      </c>
      <c r="B230" s="69" t="s">
        <v>249</v>
      </c>
      <c r="C230" s="70" t="b">
        <f t="array" ref="C230">_xlfn.SWITCH(LEFT(B230,FIND("|",B230)-1),"ابنیه",HLOOKUP(D230,'نمودار ابنیه'!$B$5:$AD$6,2,FALSE),"مکانیکی",HLOOKUP(D230,'نمودار مکانیکی'!$B$5:$AJ$6,2,FALSE),"برقی",HLOOKUP(D230,'نمودار تاسیسات برقی'!$B$5:$AK$6,2,FALSE),"خطوط",HLOOKUP(D230,'نمودار خطوط انتقال '!$B$5:$R$6,2,FALSE),"شبکه",HLOOKUP(D230,'نمودار شبکه توزیع آ'!$B$5:$O$6,2,FALSE),"سد",HLOOKUP(D230,'نمودار سدسازی'!$B$5:$P$6,2,FALSE),"فاضلاب",HLOOKUP(D230,'نمودار جمع‌آوری و ا'!$B$5:$S$6,2,FALSE),"تجهیزات",HLOOKUP(D230,'نمودار تجهیزات آب و'!$B$5:$AG$6,2,FALSE),"پست",HLOOKUP(D230,'نمودار پست های انتق'!$B$5:$AH$6,2,FALSE),"نیرو",HLOOKUP(D230,'نمودار توزیع نیرو ب'!$B$5:$AE$6,2,FALSE),FALSE)</f>
        <v>0</v>
      </c>
      <c r="D230" s="71" t="s">
        <v>281</v>
      </c>
      <c r="E230" s="15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3">
        <v>1831.5</v>
      </c>
      <c r="AT230" s="73">
        <v>2001</v>
      </c>
      <c r="AU230" s="73">
        <v>2014.5</v>
      </c>
      <c r="AV230" s="73">
        <v>2044.5</v>
      </c>
      <c r="AW230" s="73">
        <v>2167.5</v>
      </c>
      <c r="AX230" s="73">
        <v>2274</v>
      </c>
      <c r="AY230" s="73">
        <v>2976.8</v>
      </c>
      <c r="AZ230" s="73">
        <v>3118.6</v>
      </c>
      <c r="BA230" s="73">
        <v>3120.8</v>
      </c>
      <c r="BB230" s="73">
        <v>3126.3</v>
      </c>
      <c r="BC230" s="73">
        <v>4167.8</v>
      </c>
      <c r="BD230" s="73">
        <v>4249.1000000000004</v>
      </c>
      <c r="BE230" s="73">
        <v>4509.1000000000004</v>
      </c>
      <c r="BF230" s="73">
        <v>4641.3</v>
      </c>
      <c r="BG230" s="73">
        <v>4641.3</v>
      </c>
      <c r="BH230" s="73">
        <v>4638.8999999999996</v>
      </c>
      <c r="BI230" s="73">
        <v>5774.9</v>
      </c>
      <c r="BJ230" s="73">
        <v>5970</v>
      </c>
      <c r="BK230" s="73">
        <v>6154.7</v>
      </c>
      <c r="BL230" s="73">
        <v>6319.4</v>
      </c>
    </row>
    <row r="231" spans="1:64" ht="20" customHeight="1">
      <c r="A231" s="25">
        <v>227</v>
      </c>
      <c r="B231" s="26" t="s">
        <v>249</v>
      </c>
      <c r="C231" s="27" t="b">
        <f t="array" ref="C231">_xlfn.SWITCH(LEFT(B231,FIND("|",B231)-1),"ابنیه",HLOOKUP(D231,'نمودار ابنیه'!$B$5:$AD$6,2,FALSE),"مکانیکی",HLOOKUP(D231,'نمودار مکانیکی'!$B$5:$AJ$6,2,FALSE),"برقی",HLOOKUP(D231,'نمودار تاسیسات برقی'!$B$5:$AK$6,2,FALSE),"خطوط",HLOOKUP(D231,'نمودار خطوط انتقال '!$B$5:$R$6,2,FALSE),"شبکه",HLOOKUP(D231,'نمودار شبکه توزیع آ'!$B$5:$O$6,2,FALSE),"سد",HLOOKUP(D231,'نمودار سدسازی'!$B$5:$P$6,2,FALSE),"فاضلاب",HLOOKUP(D231,'نمودار جمع‌آوری و ا'!$B$5:$S$6,2,FALSE),"تجهیزات",HLOOKUP(D231,'نمودار تجهیزات آب و'!$B$5:$AG$6,2,FALSE),"پست",HLOOKUP(D231,'نمودار پست های انتق'!$B$5:$AH$6,2,FALSE),"نیرو",HLOOKUP(D231,'نمودار توزیع نیرو ب'!$B$5:$AE$6,2,FALSE),FALSE)</f>
        <v>0</v>
      </c>
      <c r="D231" s="28" t="s">
        <v>196</v>
      </c>
      <c r="E231" s="15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32">
        <v>1922.3</v>
      </c>
      <c r="AT231" s="32">
        <v>2325</v>
      </c>
      <c r="AU231" s="32">
        <v>2426.3000000000002</v>
      </c>
      <c r="AV231" s="32">
        <v>2662.5</v>
      </c>
      <c r="AW231" s="32">
        <v>2700</v>
      </c>
      <c r="AX231" s="32">
        <v>2814</v>
      </c>
      <c r="AY231" s="32">
        <v>3904.7</v>
      </c>
      <c r="AZ231" s="32">
        <v>4124.2</v>
      </c>
      <c r="BA231" s="32">
        <v>4241.1000000000004</v>
      </c>
      <c r="BB231" s="32">
        <v>4344.8</v>
      </c>
      <c r="BC231" s="32">
        <v>5491.8</v>
      </c>
      <c r="BD231" s="32">
        <v>6169.6</v>
      </c>
      <c r="BE231" s="32">
        <v>6252.3</v>
      </c>
      <c r="BF231" s="32">
        <v>6334.7</v>
      </c>
      <c r="BG231" s="32">
        <v>6395.5</v>
      </c>
      <c r="BH231" s="32">
        <v>6538.9</v>
      </c>
      <c r="BI231" s="32">
        <v>7794.4</v>
      </c>
      <c r="BJ231" s="32">
        <v>8311</v>
      </c>
      <c r="BK231" s="32">
        <v>8827.6</v>
      </c>
      <c r="BL231" s="32">
        <v>8958.2999999999993</v>
      </c>
    </row>
    <row r="232" spans="1:64" ht="20" customHeight="1">
      <c r="A232" s="62">
        <v>228</v>
      </c>
      <c r="B232" s="63" t="s">
        <v>282</v>
      </c>
      <c r="C232" s="64" t="b">
        <f t="array" ref="C232">_xlfn.SWITCH(LEFT(B232,FIND("|",B232)-1),"ابنیه",HLOOKUP(D232,'نمودار ابنیه'!$B$5:$AD$6,2,FALSE),"مکانیکی",HLOOKUP(D232,'نمودار مکانیکی'!$B$5:$AJ$6,2,FALSE),"برقی",HLOOKUP(D232,'نمودار تاسیسات برقی'!$B$5:$AK$6,2,FALSE),"خطوط",HLOOKUP(D232,'نمودار خطوط انتقال '!$B$5:$R$6,2,FALSE),"شبکه",HLOOKUP(D232,'نمودار شبکه توزیع آ'!$B$5:$O$6,2,FALSE),"سد",HLOOKUP(D232,'نمودار سدسازی'!$B$5:$P$6,2,FALSE),"فاضلاب",HLOOKUP(D232,'نمودار جمع‌آوری و ا'!$B$5:$S$6,2,FALSE),"تجهیزات",HLOOKUP(D232,'نمودار تجهیزات آب و'!$B$5:$AG$6,2,FALSE),"پست",HLOOKUP(D232,'نمودار پست های انتق'!$B$5:$AH$6,2,FALSE),"نیرو",HLOOKUP(D232,'نمودار توزیع نیرو ب'!$B$5:$AE$6,2,FALSE),FALSE)</f>
        <v>1</v>
      </c>
      <c r="D232" s="65" t="s">
        <v>283</v>
      </c>
      <c r="E232" s="15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7">
        <v>2800</v>
      </c>
      <c r="AY232" s="67">
        <v>3052</v>
      </c>
      <c r="AZ232" s="67">
        <v>3780</v>
      </c>
      <c r="BA232" s="67">
        <v>3777.8</v>
      </c>
      <c r="BB232" s="67">
        <v>3781.4</v>
      </c>
      <c r="BC232" s="67">
        <v>4344.3</v>
      </c>
      <c r="BD232" s="67">
        <v>4528.8999999999996</v>
      </c>
      <c r="BE232" s="67">
        <v>4656.6000000000004</v>
      </c>
      <c r="BF232" s="67">
        <v>4953.6000000000004</v>
      </c>
      <c r="BG232" s="67">
        <v>5180.5</v>
      </c>
      <c r="BH232" s="67">
        <v>5933.3</v>
      </c>
      <c r="BI232" s="67">
        <v>6478.9</v>
      </c>
      <c r="BJ232" s="67">
        <v>6574.9</v>
      </c>
      <c r="BK232" s="67">
        <v>6759.8</v>
      </c>
      <c r="BL232" s="67">
        <v>6901.7</v>
      </c>
    </row>
    <row r="233" spans="1:64" ht="20" customHeight="1">
      <c r="A233" s="25">
        <v>229</v>
      </c>
      <c r="B233" s="26" t="s">
        <v>282</v>
      </c>
      <c r="C233" s="27" t="b">
        <f t="array" ref="C233">_xlfn.SWITCH(LEFT(B233,FIND("|",B233)-1),"ابنیه",HLOOKUP(D233,'نمودار ابنیه'!$B$5:$AD$6,2,FALSE),"مکانیکی",HLOOKUP(D233,'نمودار مکانیکی'!$B$5:$AJ$6,2,FALSE),"برقی",HLOOKUP(D233,'نمودار تاسیسات برقی'!$B$5:$AK$6,2,FALSE),"خطوط",HLOOKUP(D233,'نمودار خطوط انتقال '!$B$5:$R$6,2,FALSE),"شبکه",HLOOKUP(D233,'نمودار شبکه توزیع آ'!$B$5:$O$6,2,FALSE),"سد",HLOOKUP(D233,'نمودار سدسازی'!$B$5:$P$6,2,FALSE),"فاضلاب",HLOOKUP(D233,'نمودار جمع‌آوری و ا'!$B$5:$S$6,2,FALSE),"تجهیزات",HLOOKUP(D233,'نمودار تجهیزات آب و'!$B$5:$AG$6,2,FALSE),"پست",HLOOKUP(D233,'نمودار پست های انتق'!$B$5:$AH$6,2,FALSE),"نیرو",HLOOKUP(D233,'نمودار توزیع نیرو ب'!$B$5:$AE$6,2,FALSE),FALSE)</f>
        <v>1</v>
      </c>
      <c r="D233" s="28" t="s">
        <v>284</v>
      </c>
      <c r="E233" s="15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32">
        <v>2397.1</v>
      </c>
      <c r="AY233" s="32">
        <v>2540.9</v>
      </c>
      <c r="AZ233" s="32">
        <v>2660.8</v>
      </c>
      <c r="BA233" s="32">
        <v>2812.5</v>
      </c>
      <c r="BB233" s="32">
        <v>2812.5</v>
      </c>
      <c r="BC233" s="32">
        <v>3121.9</v>
      </c>
      <c r="BD233" s="32">
        <v>3121.9</v>
      </c>
      <c r="BE233" s="32">
        <v>3564.3</v>
      </c>
      <c r="BF233" s="32">
        <v>3564.3</v>
      </c>
      <c r="BG233" s="32">
        <v>3564.3</v>
      </c>
      <c r="BH233" s="32">
        <v>3564.3</v>
      </c>
      <c r="BI233" s="32">
        <v>3599.9</v>
      </c>
      <c r="BJ233" s="32">
        <v>3564.3</v>
      </c>
      <c r="BK233" s="32">
        <v>4039</v>
      </c>
      <c r="BL233" s="32">
        <v>4039</v>
      </c>
    </row>
    <row r="234" spans="1:64" ht="20" customHeight="1">
      <c r="A234" s="68">
        <v>230</v>
      </c>
      <c r="B234" s="69" t="s">
        <v>282</v>
      </c>
      <c r="C234" s="70" t="b">
        <f t="array" ref="C234">_xlfn.SWITCH(LEFT(B234,FIND("|",B234)-1),"ابنیه",HLOOKUP(D234,'نمودار ابنیه'!$B$5:$AD$6,2,FALSE),"مکانیکی",HLOOKUP(D234,'نمودار مکانیکی'!$B$5:$AJ$6,2,FALSE),"برقی",HLOOKUP(D234,'نمودار تاسیسات برقی'!$B$5:$AK$6,2,FALSE),"خطوط",HLOOKUP(D234,'نمودار خطوط انتقال '!$B$5:$R$6,2,FALSE),"شبکه",HLOOKUP(D234,'نمودار شبکه توزیع آ'!$B$5:$O$6,2,FALSE),"سد",HLOOKUP(D234,'نمودار سدسازی'!$B$5:$P$6,2,FALSE),"فاضلاب",HLOOKUP(D234,'نمودار جمع‌آوری و ا'!$B$5:$S$6,2,FALSE),"تجهیزات",HLOOKUP(D234,'نمودار تجهیزات آب و'!$B$5:$AG$6,2,FALSE),"پست",HLOOKUP(D234,'نمودار پست های انتق'!$B$5:$AH$6,2,FALSE),"نیرو",HLOOKUP(D234,'نمودار توزیع نیرو ب'!$B$5:$AE$6,2,FALSE),FALSE)</f>
        <v>1</v>
      </c>
      <c r="D234" s="71" t="s">
        <v>285</v>
      </c>
      <c r="E234" s="15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3">
        <v>2272.6999999999998</v>
      </c>
      <c r="AY234" s="73">
        <v>2477.1999999999998</v>
      </c>
      <c r="AZ234" s="73">
        <v>2613.6</v>
      </c>
      <c r="BA234" s="73">
        <v>3074.9</v>
      </c>
      <c r="BB234" s="73">
        <v>3079.4</v>
      </c>
      <c r="BC234" s="73">
        <v>3418.2</v>
      </c>
      <c r="BD234" s="73">
        <v>3454.2</v>
      </c>
      <c r="BE234" s="73">
        <v>3845.6</v>
      </c>
      <c r="BF234" s="73">
        <v>4506.8</v>
      </c>
      <c r="BG234" s="73">
        <v>4663.7</v>
      </c>
      <c r="BH234" s="73">
        <v>5005.6000000000004</v>
      </c>
      <c r="BI234" s="73">
        <v>5652.5</v>
      </c>
      <c r="BJ234" s="73">
        <v>5579.6</v>
      </c>
      <c r="BK234" s="73">
        <v>5684.3</v>
      </c>
      <c r="BL234" s="73">
        <v>6089.8</v>
      </c>
    </row>
    <row r="235" spans="1:64" ht="20" customHeight="1">
      <c r="A235" s="25">
        <v>231</v>
      </c>
      <c r="B235" s="26" t="s">
        <v>282</v>
      </c>
      <c r="C235" s="27" t="b">
        <f t="array" ref="C235">_xlfn.SWITCH(LEFT(B235,FIND("|",B235)-1),"ابنیه",HLOOKUP(D235,'نمودار ابنیه'!$B$5:$AD$6,2,FALSE),"مکانیکی",HLOOKUP(D235,'نمودار مکانیکی'!$B$5:$AJ$6,2,FALSE),"برقی",HLOOKUP(D235,'نمودار تاسیسات برقی'!$B$5:$AK$6,2,FALSE),"خطوط",HLOOKUP(D235,'نمودار خطوط انتقال '!$B$5:$R$6,2,FALSE),"شبکه",HLOOKUP(D235,'نمودار شبکه توزیع آ'!$B$5:$O$6,2,FALSE),"سد",HLOOKUP(D235,'نمودار سدسازی'!$B$5:$P$6,2,FALSE),"فاضلاب",HLOOKUP(D235,'نمودار جمع‌آوری و ا'!$B$5:$S$6,2,FALSE),"تجهیزات",HLOOKUP(D235,'نمودار تجهیزات آب و'!$B$5:$AG$6,2,FALSE),"پست",HLOOKUP(D235,'نمودار پست های انتق'!$B$5:$AH$6,2,FALSE),"نیرو",HLOOKUP(D235,'نمودار توزیع نیرو ب'!$B$5:$AE$6,2,FALSE),FALSE)</f>
        <v>1</v>
      </c>
      <c r="D235" s="28" t="s">
        <v>286</v>
      </c>
      <c r="E235" s="15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32">
        <v>3210.2</v>
      </c>
      <c r="AY235" s="32">
        <v>3467</v>
      </c>
      <c r="AZ235" s="32">
        <v>3434.9</v>
      </c>
      <c r="BA235" s="32">
        <v>4046</v>
      </c>
      <c r="BB235" s="32">
        <v>4112.8999999999996</v>
      </c>
      <c r="BC235" s="32">
        <v>4158</v>
      </c>
      <c r="BD235" s="32">
        <v>4069.1</v>
      </c>
      <c r="BE235" s="32">
        <v>4528.3</v>
      </c>
      <c r="BF235" s="32">
        <v>5159.6000000000004</v>
      </c>
      <c r="BG235" s="32">
        <v>6288.6</v>
      </c>
      <c r="BH235" s="32">
        <v>6798.2</v>
      </c>
      <c r="BI235" s="32">
        <v>6659.4</v>
      </c>
      <c r="BJ235" s="32">
        <v>6569</v>
      </c>
      <c r="BK235" s="32">
        <v>7478</v>
      </c>
      <c r="BL235" s="32">
        <v>8129</v>
      </c>
    </row>
    <row r="236" spans="1:64" ht="20" customHeight="1">
      <c r="A236" s="68">
        <v>232</v>
      </c>
      <c r="B236" s="69" t="s">
        <v>282</v>
      </c>
      <c r="C236" s="70" t="b">
        <f t="array" ref="C236">_xlfn.SWITCH(LEFT(B236,FIND("|",B236)-1),"ابنیه",HLOOKUP(D236,'نمودار ابنیه'!$B$5:$AD$6,2,FALSE),"مکانیکی",HLOOKUP(D236,'نمودار مکانیکی'!$B$5:$AJ$6,2,FALSE),"برقی",HLOOKUP(D236,'نمودار تاسیسات برقی'!$B$5:$AK$6,2,FALSE),"خطوط",HLOOKUP(D236,'نمودار خطوط انتقال '!$B$5:$R$6,2,FALSE),"شبکه",HLOOKUP(D236,'نمودار شبکه توزیع آ'!$B$5:$O$6,2,FALSE),"سد",HLOOKUP(D236,'نمودار سدسازی'!$B$5:$P$6,2,FALSE),"فاضلاب",HLOOKUP(D236,'نمودار جمع‌آوری و ا'!$B$5:$S$6,2,FALSE),"تجهیزات",HLOOKUP(D236,'نمودار تجهیزات آب و'!$B$5:$AG$6,2,FALSE),"پست",HLOOKUP(D236,'نمودار پست های انتق'!$B$5:$AH$6,2,FALSE),"نیرو",HLOOKUP(D236,'نمودار توزیع نیرو ب'!$B$5:$AE$6,2,FALSE),FALSE)</f>
        <v>1</v>
      </c>
      <c r="D236" s="71" t="s">
        <v>287</v>
      </c>
      <c r="E236" s="15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3">
        <v>2814.5</v>
      </c>
      <c r="AY236" s="73">
        <v>2927.1</v>
      </c>
      <c r="AZ236" s="73">
        <v>3236.7</v>
      </c>
      <c r="BA236" s="73">
        <v>3456.8</v>
      </c>
      <c r="BB236" s="73">
        <v>3626.4</v>
      </c>
      <c r="BC236" s="73">
        <v>3631.9</v>
      </c>
      <c r="BD236" s="73">
        <v>3622.9</v>
      </c>
      <c r="BE236" s="73">
        <v>3964.1</v>
      </c>
      <c r="BF236" s="73">
        <v>4297.8999999999996</v>
      </c>
      <c r="BG236" s="73">
        <v>4875</v>
      </c>
      <c r="BH236" s="73">
        <v>5423.4</v>
      </c>
      <c r="BI236" s="73">
        <v>5499.9</v>
      </c>
      <c r="BJ236" s="73">
        <v>5476.4</v>
      </c>
      <c r="BK236" s="73">
        <v>6137</v>
      </c>
      <c r="BL236" s="73">
        <v>6506.7</v>
      </c>
    </row>
    <row r="237" spans="1:64" ht="20" customHeight="1">
      <c r="A237" s="25">
        <v>233</v>
      </c>
      <c r="B237" s="26" t="s">
        <v>282</v>
      </c>
      <c r="C237" s="27" t="b">
        <f t="array" ref="C237">_xlfn.SWITCH(LEFT(B237,FIND("|",B237)-1),"ابنیه",HLOOKUP(D237,'نمودار ابنیه'!$B$5:$AD$6,2,FALSE),"مکانیکی",HLOOKUP(D237,'نمودار مکانیکی'!$B$5:$AJ$6,2,FALSE),"برقی",HLOOKUP(D237,'نمودار تاسیسات برقی'!$B$5:$AK$6,2,FALSE),"خطوط",HLOOKUP(D237,'نمودار خطوط انتقال '!$B$5:$R$6,2,FALSE),"شبکه",HLOOKUP(D237,'نمودار شبکه توزیع آ'!$B$5:$O$6,2,FALSE),"سد",HLOOKUP(D237,'نمودار سدسازی'!$B$5:$P$6,2,FALSE),"فاضلاب",HLOOKUP(D237,'نمودار جمع‌آوری و ا'!$B$5:$S$6,2,FALSE),"تجهیزات",HLOOKUP(D237,'نمودار تجهیزات آب و'!$B$5:$AG$6,2,FALSE),"پست",HLOOKUP(D237,'نمودار پست های انتق'!$B$5:$AH$6,2,FALSE),"نیرو",HLOOKUP(D237,'نمودار توزیع نیرو ب'!$B$5:$AE$6,2,FALSE),FALSE)</f>
        <v>0</v>
      </c>
      <c r="D237" s="28" t="s">
        <v>288</v>
      </c>
      <c r="E237" s="15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32">
        <v>3254.8</v>
      </c>
      <c r="AY237" s="32">
        <v>3710.5</v>
      </c>
      <c r="AZ237" s="32">
        <v>3808.1</v>
      </c>
      <c r="BA237" s="32">
        <v>3963.7</v>
      </c>
      <c r="BB237" s="32">
        <v>4020.2</v>
      </c>
      <c r="BC237" s="32">
        <v>4125.2</v>
      </c>
      <c r="BD237" s="32">
        <v>4097.1000000000004</v>
      </c>
      <c r="BE237" s="32">
        <v>4266.5</v>
      </c>
      <c r="BF237" s="32">
        <v>4925.1000000000004</v>
      </c>
      <c r="BG237" s="32">
        <v>6164</v>
      </c>
      <c r="BH237" s="32">
        <v>6955.9</v>
      </c>
      <c r="BI237" s="32">
        <v>6933.4</v>
      </c>
      <c r="BJ237" s="32">
        <v>6643.1</v>
      </c>
      <c r="BK237" s="32">
        <v>7532.1</v>
      </c>
      <c r="BL237" s="32">
        <v>8158.6</v>
      </c>
    </row>
    <row r="238" spans="1:64" ht="20" customHeight="1">
      <c r="A238" s="68">
        <v>234</v>
      </c>
      <c r="B238" s="69" t="s">
        <v>282</v>
      </c>
      <c r="C238" s="70" t="b">
        <f t="array" ref="C238">_xlfn.SWITCH(LEFT(B238,FIND("|",B238)-1),"ابنیه",HLOOKUP(D238,'نمودار ابنیه'!$B$5:$AD$6,2,FALSE),"مکانیکی",HLOOKUP(D238,'نمودار مکانیکی'!$B$5:$AJ$6,2,FALSE),"برقی",HLOOKUP(D238,'نمودار تاسیسات برقی'!$B$5:$AK$6,2,FALSE),"خطوط",HLOOKUP(D238,'نمودار خطوط انتقال '!$B$5:$R$6,2,FALSE),"شبکه",HLOOKUP(D238,'نمودار شبکه توزیع آ'!$B$5:$O$6,2,FALSE),"سد",HLOOKUP(D238,'نمودار سدسازی'!$B$5:$P$6,2,FALSE),"فاضلاب",HLOOKUP(D238,'نمودار جمع‌آوری و ا'!$B$5:$S$6,2,FALSE),"تجهیزات",HLOOKUP(D238,'نمودار تجهیزات آب و'!$B$5:$AG$6,2,FALSE),"پست",HLOOKUP(D238,'نمودار پست های انتق'!$B$5:$AH$6,2,FALSE),"نیرو",HLOOKUP(D238,'نمودار توزیع نیرو ب'!$B$5:$AE$6,2,FALSE),FALSE)</f>
        <v>0</v>
      </c>
      <c r="D238" s="71" t="s">
        <v>289</v>
      </c>
      <c r="E238" s="15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3">
        <v>2657.1</v>
      </c>
      <c r="AY238" s="73">
        <v>2869.7</v>
      </c>
      <c r="AZ238" s="73">
        <v>3427.7</v>
      </c>
      <c r="BA238" s="73">
        <v>3543.9</v>
      </c>
      <c r="BB238" s="73">
        <v>3881.1</v>
      </c>
      <c r="BC238" s="73">
        <v>4021.8</v>
      </c>
      <c r="BD238" s="73">
        <v>4014.4</v>
      </c>
      <c r="BE238" s="73">
        <v>4075.2</v>
      </c>
      <c r="BF238" s="73">
        <v>4670.5</v>
      </c>
      <c r="BG238" s="73">
        <v>5014.1000000000004</v>
      </c>
      <c r="BH238" s="73">
        <v>5657.7</v>
      </c>
      <c r="BI238" s="73">
        <v>5545.5</v>
      </c>
      <c r="BJ238" s="73">
        <v>5377.9</v>
      </c>
      <c r="BK238" s="73">
        <v>6192.9</v>
      </c>
      <c r="BL238" s="73">
        <v>6824.3</v>
      </c>
    </row>
    <row r="239" spans="1:64" ht="20" customHeight="1">
      <c r="A239" s="25">
        <v>235</v>
      </c>
      <c r="B239" s="26" t="s">
        <v>282</v>
      </c>
      <c r="C239" s="27" t="b">
        <f t="array" ref="C239">_xlfn.SWITCH(LEFT(B239,FIND("|",B239)-1),"ابنیه",HLOOKUP(D239,'نمودار ابنیه'!$B$5:$AD$6,2,FALSE),"مکانیکی",HLOOKUP(D239,'نمودار مکانیکی'!$B$5:$AJ$6,2,FALSE),"برقی",HLOOKUP(D239,'نمودار تاسیسات برقی'!$B$5:$AK$6,2,FALSE),"خطوط",HLOOKUP(D239,'نمودار خطوط انتقال '!$B$5:$R$6,2,FALSE),"شبکه",HLOOKUP(D239,'نمودار شبکه توزیع آ'!$B$5:$O$6,2,FALSE),"سد",HLOOKUP(D239,'نمودار سدسازی'!$B$5:$P$6,2,FALSE),"فاضلاب",HLOOKUP(D239,'نمودار جمع‌آوری و ا'!$B$5:$S$6,2,FALSE),"تجهیزات",HLOOKUP(D239,'نمودار تجهیزات آب و'!$B$5:$AG$6,2,FALSE),"پست",HLOOKUP(D239,'نمودار پست های انتق'!$B$5:$AH$6,2,FALSE),"نیرو",HLOOKUP(D239,'نمودار توزیع نیرو ب'!$B$5:$AE$6,2,FALSE),FALSE)</f>
        <v>0</v>
      </c>
      <c r="D239" s="28" t="s">
        <v>290</v>
      </c>
      <c r="E239" s="15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32">
        <v>2487.5</v>
      </c>
      <c r="AY239" s="32">
        <v>2711.4</v>
      </c>
      <c r="AZ239" s="32">
        <v>2835.8</v>
      </c>
      <c r="BA239" s="32">
        <v>2906.8</v>
      </c>
      <c r="BB239" s="32">
        <v>3110.7</v>
      </c>
      <c r="BC239" s="32">
        <v>3484</v>
      </c>
      <c r="BD239" s="32">
        <v>3619.1</v>
      </c>
      <c r="BE239" s="32">
        <v>3877.6</v>
      </c>
      <c r="BF239" s="32">
        <v>4378.3</v>
      </c>
      <c r="BG239" s="32">
        <v>4723</v>
      </c>
      <c r="BH239" s="32">
        <v>4792.7</v>
      </c>
      <c r="BI239" s="32">
        <v>5289.1</v>
      </c>
      <c r="BJ239" s="32">
        <v>5289.1</v>
      </c>
      <c r="BK239" s="32">
        <v>6009.2</v>
      </c>
      <c r="BL239" s="32">
        <v>6053</v>
      </c>
    </row>
    <row r="240" spans="1:64" ht="20" customHeight="1">
      <c r="A240" s="68">
        <v>236</v>
      </c>
      <c r="B240" s="69" t="s">
        <v>282</v>
      </c>
      <c r="C240" s="70" t="b">
        <f t="array" ref="C240">_xlfn.SWITCH(LEFT(B240,FIND("|",B240)-1),"ابنیه",HLOOKUP(D240,'نمودار ابنیه'!$B$5:$AD$6,2,FALSE),"مکانیکی",HLOOKUP(D240,'نمودار مکانیکی'!$B$5:$AJ$6,2,FALSE),"برقی",HLOOKUP(D240,'نمودار تاسیسات برقی'!$B$5:$AK$6,2,FALSE),"خطوط",HLOOKUP(D240,'نمودار خطوط انتقال '!$B$5:$R$6,2,FALSE),"شبکه",HLOOKUP(D240,'نمودار شبکه توزیع آ'!$B$5:$O$6,2,FALSE),"سد",HLOOKUP(D240,'نمودار سدسازی'!$B$5:$P$6,2,FALSE),"فاضلاب",HLOOKUP(D240,'نمودار جمع‌آوری و ا'!$B$5:$S$6,2,FALSE),"تجهیزات",HLOOKUP(D240,'نمودار تجهیزات آب و'!$B$5:$AG$6,2,FALSE),"پست",HLOOKUP(D240,'نمودار پست های انتق'!$B$5:$AH$6,2,FALSE),"نیرو",HLOOKUP(D240,'نمودار توزیع نیرو ب'!$B$5:$AE$6,2,FALSE),FALSE)</f>
        <v>0</v>
      </c>
      <c r="D240" s="71" t="s">
        <v>291</v>
      </c>
      <c r="E240" s="15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3">
        <v>2597.6999999999998</v>
      </c>
      <c r="AY240" s="73">
        <v>2753.6</v>
      </c>
      <c r="AZ240" s="73">
        <v>2857.5</v>
      </c>
      <c r="BA240" s="73">
        <v>2989.2</v>
      </c>
      <c r="BB240" s="73">
        <v>3020.7</v>
      </c>
      <c r="BC240" s="73">
        <v>3236.5</v>
      </c>
      <c r="BD240" s="73">
        <v>3361.9</v>
      </c>
      <c r="BE240" s="73">
        <v>3721.3</v>
      </c>
      <c r="BF240" s="73">
        <v>4213.6000000000004</v>
      </c>
      <c r="BG240" s="73">
        <v>4261.3999999999996</v>
      </c>
      <c r="BH240" s="73">
        <v>4443.3</v>
      </c>
      <c r="BI240" s="73">
        <v>4906.8</v>
      </c>
      <c r="BJ240" s="73">
        <v>4861.7</v>
      </c>
      <c r="BK240" s="73">
        <v>5373.5</v>
      </c>
      <c r="BL240" s="73">
        <v>5396</v>
      </c>
    </row>
    <row r="241" spans="1:64" ht="20" customHeight="1">
      <c r="A241" s="25">
        <v>237</v>
      </c>
      <c r="B241" s="26" t="s">
        <v>282</v>
      </c>
      <c r="C241" s="27" t="b">
        <f t="array" ref="C241">_xlfn.SWITCH(LEFT(B241,FIND("|",B241)-1),"ابنیه",HLOOKUP(D241,'نمودار ابنیه'!$B$5:$AD$6,2,FALSE),"مکانیکی",HLOOKUP(D241,'نمودار مکانیکی'!$B$5:$AJ$6,2,FALSE),"برقی",HLOOKUP(D241,'نمودار تاسیسات برقی'!$B$5:$AK$6,2,FALSE),"خطوط",HLOOKUP(D241,'نمودار خطوط انتقال '!$B$5:$R$6,2,FALSE),"شبکه",HLOOKUP(D241,'نمودار شبکه توزیع آ'!$B$5:$O$6,2,FALSE),"سد",HLOOKUP(D241,'نمودار سدسازی'!$B$5:$P$6,2,FALSE),"فاضلاب",HLOOKUP(D241,'نمودار جمع‌آوری و ا'!$B$5:$S$6,2,FALSE),"تجهیزات",HLOOKUP(D241,'نمودار تجهیزات آب و'!$B$5:$AG$6,2,FALSE),"پست",HLOOKUP(D241,'نمودار پست های انتق'!$B$5:$AH$6,2,FALSE),"نیرو",HLOOKUP(D241,'نمودار توزیع نیرو ب'!$B$5:$AE$6,2,FALSE),FALSE)</f>
        <v>0</v>
      </c>
      <c r="D241" s="28" t="s">
        <v>292</v>
      </c>
      <c r="E241" s="15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32">
        <v>2511.5</v>
      </c>
      <c r="AY241" s="32">
        <v>2888.2</v>
      </c>
      <c r="AZ241" s="32">
        <v>3139.4</v>
      </c>
      <c r="BA241" s="32">
        <v>3139.4</v>
      </c>
      <c r="BB241" s="32">
        <v>3139.4</v>
      </c>
      <c r="BC241" s="32">
        <v>3293.8</v>
      </c>
      <c r="BD241" s="32">
        <v>3231.4</v>
      </c>
      <c r="BE241" s="32">
        <v>3410.2</v>
      </c>
      <c r="BF241" s="32">
        <v>4251.8999999999996</v>
      </c>
      <c r="BG241" s="32">
        <v>4388.8999999999996</v>
      </c>
      <c r="BH241" s="32">
        <v>5085</v>
      </c>
      <c r="BI241" s="32">
        <v>5253.3</v>
      </c>
      <c r="BJ241" s="32">
        <v>4927.8999999999996</v>
      </c>
      <c r="BK241" s="32">
        <v>5416</v>
      </c>
      <c r="BL241" s="32">
        <v>5859.5</v>
      </c>
    </row>
    <row r="242" spans="1:64" ht="20" customHeight="1">
      <c r="A242" s="68">
        <v>238</v>
      </c>
      <c r="B242" s="69" t="s">
        <v>282</v>
      </c>
      <c r="C242" s="70" t="b">
        <f t="array" ref="C242">_xlfn.SWITCH(LEFT(B242,FIND("|",B242)-1),"ابنیه",HLOOKUP(D242,'نمودار ابنیه'!$B$5:$AD$6,2,FALSE),"مکانیکی",HLOOKUP(D242,'نمودار مکانیکی'!$B$5:$AJ$6,2,FALSE),"برقی",HLOOKUP(D242,'نمودار تاسیسات برقی'!$B$5:$AK$6,2,FALSE),"خطوط",HLOOKUP(D242,'نمودار خطوط انتقال '!$B$5:$R$6,2,FALSE),"شبکه",HLOOKUP(D242,'نمودار شبکه توزیع آ'!$B$5:$O$6,2,FALSE),"سد",HLOOKUP(D242,'نمودار سدسازی'!$B$5:$P$6,2,FALSE),"فاضلاب",HLOOKUP(D242,'نمودار جمع‌آوری و ا'!$B$5:$S$6,2,FALSE),"تجهیزات",HLOOKUP(D242,'نمودار تجهیزات آب و'!$B$5:$AG$6,2,FALSE),"پست",HLOOKUP(D242,'نمودار پست های انتق'!$B$5:$AH$6,2,FALSE),"نیرو",HLOOKUP(D242,'نمودار توزیع نیرو ب'!$B$5:$AE$6,2,FALSE),FALSE)</f>
        <v>0</v>
      </c>
      <c r="D242" s="71" t="s">
        <v>293</v>
      </c>
      <c r="E242" s="15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3">
        <v>2470</v>
      </c>
      <c r="AY242" s="73">
        <v>2667.6</v>
      </c>
      <c r="AZ242" s="73">
        <v>2840.5</v>
      </c>
      <c r="BA242" s="73">
        <v>2920</v>
      </c>
      <c r="BB242" s="73">
        <v>2922.6</v>
      </c>
      <c r="BC242" s="73">
        <v>3084.4</v>
      </c>
      <c r="BD242" s="73">
        <v>3129.6</v>
      </c>
      <c r="BE242" s="73">
        <v>3371</v>
      </c>
      <c r="BF242" s="73">
        <v>3582.4</v>
      </c>
      <c r="BG242" s="73">
        <v>3851.6</v>
      </c>
      <c r="BH242" s="73">
        <v>4057.7</v>
      </c>
      <c r="BI242" s="73">
        <v>4553.3</v>
      </c>
      <c r="BJ242" s="73">
        <v>4484.1000000000004</v>
      </c>
      <c r="BK242" s="73">
        <v>4647.6000000000004</v>
      </c>
      <c r="BL242" s="73">
        <v>5074.5</v>
      </c>
    </row>
    <row r="243" spans="1:64" ht="20" customHeight="1">
      <c r="A243" s="25">
        <v>239</v>
      </c>
      <c r="B243" s="26" t="s">
        <v>282</v>
      </c>
      <c r="C243" s="27" t="b">
        <f t="array" ref="C243">_xlfn.SWITCH(LEFT(B243,FIND("|",B243)-1),"ابنیه",HLOOKUP(D243,'نمودار ابنیه'!$B$5:$AD$6,2,FALSE),"مکانیکی",HLOOKUP(D243,'نمودار مکانیکی'!$B$5:$AJ$6,2,FALSE),"برقی",HLOOKUP(D243,'نمودار تاسیسات برقی'!$B$5:$AK$6,2,FALSE),"خطوط",HLOOKUP(D243,'نمودار خطوط انتقال '!$B$5:$R$6,2,FALSE),"شبکه",HLOOKUP(D243,'نمودار شبکه توزیع آ'!$B$5:$O$6,2,FALSE),"سد",HLOOKUP(D243,'نمودار سدسازی'!$B$5:$P$6,2,FALSE),"فاضلاب",HLOOKUP(D243,'نمودار جمع‌آوری و ا'!$B$5:$S$6,2,FALSE),"تجهیزات",HLOOKUP(D243,'نمودار تجهیزات آب و'!$B$5:$AG$6,2,FALSE),"پست",HLOOKUP(D243,'نمودار پست های انتق'!$B$5:$AH$6,2,FALSE),"نیرو",HLOOKUP(D243,'نمودار توزیع نیرو ب'!$B$5:$AE$6,2,FALSE),FALSE)</f>
        <v>0</v>
      </c>
      <c r="D243" s="28" t="s">
        <v>294</v>
      </c>
      <c r="E243" s="15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32">
        <v>2074</v>
      </c>
      <c r="AY243" s="32">
        <v>2281.4</v>
      </c>
      <c r="AZ243" s="32">
        <v>2281.4</v>
      </c>
      <c r="BA243" s="32">
        <v>2281.5</v>
      </c>
      <c r="BB243" s="32">
        <v>2281.5</v>
      </c>
      <c r="BC243" s="32">
        <v>2505</v>
      </c>
      <c r="BD243" s="32">
        <v>2701</v>
      </c>
      <c r="BE243" s="32">
        <v>2814.5</v>
      </c>
      <c r="BF243" s="32">
        <v>3375.5</v>
      </c>
      <c r="BG243" s="32">
        <v>3375.5</v>
      </c>
      <c r="BH243" s="32">
        <v>3749.9</v>
      </c>
      <c r="BI243" s="32">
        <v>4349.6000000000004</v>
      </c>
      <c r="BJ243" s="32">
        <v>4349.6000000000004</v>
      </c>
      <c r="BK243" s="32">
        <v>4803</v>
      </c>
      <c r="BL243" s="32">
        <v>4888.3999999999996</v>
      </c>
    </row>
    <row r="244" spans="1:64" ht="20" customHeight="1">
      <c r="A244" s="68">
        <v>240</v>
      </c>
      <c r="B244" s="69" t="s">
        <v>282</v>
      </c>
      <c r="C244" s="70" t="b">
        <f t="array" ref="C244">_xlfn.SWITCH(LEFT(B244,FIND("|",B244)-1),"ابنیه",HLOOKUP(D244,'نمودار ابنیه'!$B$5:$AD$6,2,FALSE),"مکانیکی",HLOOKUP(D244,'نمودار مکانیکی'!$B$5:$AJ$6,2,FALSE),"برقی",HLOOKUP(D244,'نمودار تاسیسات برقی'!$B$5:$AK$6,2,FALSE),"خطوط",HLOOKUP(D244,'نمودار خطوط انتقال '!$B$5:$R$6,2,FALSE),"شبکه",HLOOKUP(D244,'نمودار شبکه توزیع آ'!$B$5:$O$6,2,FALSE),"سد",HLOOKUP(D244,'نمودار سدسازی'!$B$5:$P$6,2,FALSE),"فاضلاب",HLOOKUP(D244,'نمودار جمع‌آوری و ا'!$B$5:$S$6,2,FALSE),"تجهیزات",HLOOKUP(D244,'نمودار تجهیزات آب و'!$B$5:$AG$6,2,FALSE),"پست",HLOOKUP(D244,'نمودار پست های انتق'!$B$5:$AH$6,2,FALSE),"نیرو",HLOOKUP(D244,'نمودار توزیع نیرو ب'!$B$5:$AE$6,2,FALSE),FALSE)</f>
        <v>0</v>
      </c>
      <c r="D244" s="71" t="s">
        <v>295</v>
      </c>
      <c r="E244" s="15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3">
        <v>2251.5</v>
      </c>
      <c r="AY244" s="73">
        <v>2521.6999999999998</v>
      </c>
      <c r="AZ244" s="73">
        <v>2589.1999999999998</v>
      </c>
      <c r="BA244" s="73">
        <v>2575.6</v>
      </c>
      <c r="BB244" s="73">
        <v>2601.9</v>
      </c>
      <c r="BC244" s="73">
        <v>2862.3</v>
      </c>
      <c r="BD244" s="73">
        <v>2913.7</v>
      </c>
      <c r="BE244" s="73">
        <v>3164.6</v>
      </c>
      <c r="BF244" s="73">
        <v>3321.8</v>
      </c>
      <c r="BG244" s="73">
        <v>3574</v>
      </c>
      <c r="BH244" s="73">
        <v>4127.8</v>
      </c>
      <c r="BI244" s="73">
        <v>4545.6000000000004</v>
      </c>
      <c r="BJ244" s="73">
        <v>4545.6000000000004</v>
      </c>
      <c r="BK244" s="73">
        <v>4639.2</v>
      </c>
      <c r="BL244" s="73">
        <v>4985.1000000000004</v>
      </c>
    </row>
    <row r="245" spans="1:64" ht="20" customHeight="1">
      <c r="A245" s="25">
        <v>241</v>
      </c>
      <c r="B245" s="26" t="s">
        <v>282</v>
      </c>
      <c r="C245" s="27" t="b">
        <f t="array" ref="C245">_xlfn.SWITCH(LEFT(B245,FIND("|",B245)-1),"ابنیه",HLOOKUP(D245,'نمودار ابنیه'!$B$5:$AD$6,2,FALSE),"مکانیکی",HLOOKUP(D245,'نمودار مکانیکی'!$B$5:$AJ$6,2,FALSE),"برقی",HLOOKUP(D245,'نمودار تاسیسات برقی'!$B$5:$AK$6,2,FALSE),"خطوط",HLOOKUP(D245,'نمودار خطوط انتقال '!$B$5:$R$6,2,FALSE),"شبکه",HLOOKUP(D245,'نمودار شبکه توزیع آ'!$B$5:$O$6,2,FALSE),"سد",HLOOKUP(D245,'نمودار سدسازی'!$B$5:$P$6,2,FALSE),"فاضلاب",HLOOKUP(D245,'نمودار جمع‌آوری و ا'!$B$5:$S$6,2,FALSE),"تجهیزات",HLOOKUP(D245,'نمودار تجهیزات آب و'!$B$5:$AG$6,2,FALSE),"پست",HLOOKUP(D245,'نمودار پست های انتق'!$B$5:$AH$6,2,FALSE),"نیرو",HLOOKUP(D245,'نمودار توزیع نیرو ب'!$B$5:$AE$6,2,FALSE),FALSE)</f>
        <v>0</v>
      </c>
      <c r="D245" s="28" t="s">
        <v>296</v>
      </c>
      <c r="E245" s="15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32">
        <v>2401.6</v>
      </c>
      <c r="AY245" s="32">
        <v>2833.9</v>
      </c>
      <c r="AZ245" s="32">
        <v>2954</v>
      </c>
      <c r="BA245" s="32">
        <v>3094.7</v>
      </c>
      <c r="BB245" s="32">
        <v>3097.6</v>
      </c>
      <c r="BC245" s="32">
        <v>3359.3</v>
      </c>
      <c r="BD245" s="32">
        <v>3345.8</v>
      </c>
      <c r="BE245" s="32">
        <v>3723.1</v>
      </c>
      <c r="BF245" s="32">
        <v>4165.8999999999996</v>
      </c>
      <c r="BG245" s="32">
        <v>4519.1000000000004</v>
      </c>
      <c r="BH245" s="32">
        <v>4793.8</v>
      </c>
      <c r="BI245" s="32">
        <v>4943</v>
      </c>
      <c r="BJ245" s="32">
        <v>4758.2</v>
      </c>
      <c r="BK245" s="32">
        <v>5191.3999999999996</v>
      </c>
      <c r="BL245" s="32">
        <v>5528.3</v>
      </c>
    </row>
    <row r="246" spans="1:64" ht="20" customHeight="1">
      <c r="A246" s="68">
        <v>242</v>
      </c>
      <c r="B246" s="69" t="s">
        <v>282</v>
      </c>
      <c r="C246" s="70" t="b">
        <f t="array" ref="C246">_xlfn.SWITCH(LEFT(B246,FIND("|",B246)-1),"ابنیه",HLOOKUP(D246,'نمودار ابنیه'!$B$5:$AD$6,2,FALSE),"مکانیکی",HLOOKUP(D246,'نمودار مکانیکی'!$B$5:$AJ$6,2,FALSE),"برقی",HLOOKUP(D246,'نمودار تاسیسات برقی'!$B$5:$AK$6,2,FALSE),"خطوط",HLOOKUP(D246,'نمودار خطوط انتقال '!$B$5:$R$6,2,FALSE),"شبکه",HLOOKUP(D246,'نمودار شبکه توزیع آ'!$B$5:$O$6,2,FALSE),"سد",HLOOKUP(D246,'نمودار سدسازی'!$B$5:$P$6,2,FALSE),"فاضلاب",HLOOKUP(D246,'نمودار جمع‌آوری و ا'!$B$5:$S$6,2,FALSE),"تجهیزات",HLOOKUP(D246,'نمودار تجهیزات آب و'!$B$5:$AG$6,2,FALSE),"پست",HLOOKUP(D246,'نمودار پست های انتق'!$B$5:$AH$6,2,FALSE),"نیرو",HLOOKUP(D246,'نمودار توزیع نیرو ب'!$B$5:$AE$6,2,FALSE),FALSE)</f>
        <v>0</v>
      </c>
      <c r="D246" s="71" t="s">
        <v>297</v>
      </c>
      <c r="E246" s="15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3">
        <v>2082</v>
      </c>
      <c r="AY246" s="73">
        <v>2227.6999999999998</v>
      </c>
      <c r="AZ246" s="73">
        <v>2311</v>
      </c>
      <c r="BA246" s="73">
        <v>2344.6</v>
      </c>
      <c r="BB246" s="73">
        <v>2362.4</v>
      </c>
      <c r="BC246" s="73">
        <v>2520.1999999999998</v>
      </c>
      <c r="BD246" s="73">
        <v>2521.8000000000002</v>
      </c>
      <c r="BE246" s="73">
        <v>2631.1</v>
      </c>
      <c r="BF246" s="73">
        <v>3023.1</v>
      </c>
      <c r="BG246" s="73">
        <v>3023.1</v>
      </c>
      <c r="BH246" s="73">
        <v>3023.1</v>
      </c>
      <c r="BI246" s="73">
        <v>3217</v>
      </c>
      <c r="BJ246" s="73">
        <v>3217</v>
      </c>
      <c r="BK246" s="73">
        <v>3265</v>
      </c>
      <c r="BL246" s="73">
        <v>3295.2</v>
      </c>
    </row>
    <row r="247" spans="1:64" ht="20" customHeight="1">
      <c r="A247" s="25">
        <v>243</v>
      </c>
      <c r="B247" s="26" t="s">
        <v>282</v>
      </c>
      <c r="C247" s="27" t="b">
        <f t="array" ref="C247">_xlfn.SWITCH(LEFT(B247,FIND("|",B247)-1),"ابنیه",HLOOKUP(D247,'نمودار ابنیه'!$B$5:$AD$6,2,FALSE),"مکانیکی",HLOOKUP(D247,'نمودار مکانیکی'!$B$5:$AJ$6,2,FALSE),"برقی",HLOOKUP(D247,'نمودار تاسیسات برقی'!$B$5:$AK$6,2,FALSE),"خطوط",HLOOKUP(D247,'نمودار خطوط انتقال '!$B$5:$R$6,2,FALSE),"شبکه",HLOOKUP(D247,'نمودار شبکه توزیع آ'!$B$5:$O$6,2,FALSE),"سد",HLOOKUP(D247,'نمودار سدسازی'!$B$5:$P$6,2,FALSE),"فاضلاب",HLOOKUP(D247,'نمودار جمع‌آوری و ا'!$B$5:$S$6,2,FALSE),"تجهیزات",HLOOKUP(D247,'نمودار تجهیزات آب و'!$B$5:$AG$6,2,FALSE),"پست",HLOOKUP(D247,'نمودار پست های انتق'!$B$5:$AH$6,2,FALSE),"نیرو",HLOOKUP(D247,'نمودار توزیع نیرو ب'!$B$5:$AE$6,2,FALSE),FALSE)</f>
        <v>0</v>
      </c>
      <c r="D247" s="28" t="s">
        <v>298</v>
      </c>
      <c r="E247" s="15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</row>
    <row r="248" spans="1:64" ht="20" customHeight="1">
      <c r="A248" s="68">
        <v>244</v>
      </c>
      <c r="B248" s="69" t="s">
        <v>282</v>
      </c>
      <c r="C248" s="70" t="b">
        <f t="array" ref="C248">_xlfn.SWITCH(LEFT(B248,FIND("|",B248)-1),"ابنیه",HLOOKUP(D248,'نمودار ابنیه'!$B$5:$AD$6,2,FALSE),"مکانیکی",HLOOKUP(D248,'نمودار مکانیکی'!$B$5:$AJ$6,2,FALSE),"برقی",HLOOKUP(D248,'نمودار تاسیسات برقی'!$B$5:$AK$6,2,FALSE),"خطوط",HLOOKUP(D248,'نمودار خطوط انتقال '!$B$5:$R$6,2,FALSE),"شبکه",HLOOKUP(D248,'نمودار شبکه توزیع آ'!$B$5:$O$6,2,FALSE),"سد",HLOOKUP(D248,'نمودار سدسازی'!$B$5:$P$6,2,FALSE),"فاضلاب",HLOOKUP(D248,'نمودار جمع‌آوری و ا'!$B$5:$S$6,2,FALSE),"تجهیزات",HLOOKUP(D248,'نمودار تجهیزات آب و'!$B$5:$AG$6,2,FALSE),"پست",HLOOKUP(D248,'نمودار پست های انتق'!$B$5:$AH$6,2,FALSE),"نیرو",HLOOKUP(D248,'نمودار توزیع نیرو ب'!$B$5:$AE$6,2,FALSE),FALSE)</f>
        <v>0</v>
      </c>
      <c r="D248" s="71" t="s">
        <v>299</v>
      </c>
      <c r="E248" s="15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3">
        <v>2163.6999999999998</v>
      </c>
      <c r="AY248" s="73">
        <v>2250.1999999999998</v>
      </c>
      <c r="AZ248" s="73">
        <v>2509.9</v>
      </c>
      <c r="BA248" s="73">
        <v>2519.9</v>
      </c>
      <c r="BB248" s="73">
        <v>2530.1999999999998</v>
      </c>
      <c r="BC248" s="73">
        <v>2725.4</v>
      </c>
      <c r="BD248" s="73">
        <v>2842.4</v>
      </c>
      <c r="BE248" s="73">
        <v>3312.9</v>
      </c>
      <c r="BF248" s="73">
        <v>3701.4</v>
      </c>
      <c r="BG248" s="73">
        <v>3780.7</v>
      </c>
      <c r="BH248" s="73">
        <v>3814</v>
      </c>
      <c r="BI248" s="73">
        <v>4218.1000000000004</v>
      </c>
      <c r="BJ248" s="73">
        <v>4218.1000000000004</v>
      </c>
      <c r="BK248" s="73">
        <v>4429.2</v>
      </c>
      <c r="BL248" s="73">
        <v>4513.8999999999996</v>
      </c>
    </row>
    <row r="249" spans="1:64" ht="20" customHeight="1">
      <c r="A249" s="25">
        <v>245</v>
      </c>
      <c r="B249" s="26" t="s">
        <v>282</v>
      </c>
      <c r="C249" s="27" t="b">
        <f t="array" ref="C249">_xlfn.SWITCH(LEFT(B249,FIND("|",B249)-1),"ابنیه",HLOOKUP(D249,'نمودار ابنیه'!$B$5:$AD$6,2,FALSE),"مکانیکی",HLOOKUP(D249,'نمودار مکانیکی'!$B$5:$AJ$6,2,FALSE),"برقی",HLOOKUP(D249,'نمودار تاسیسات برقی'!$B$5:$AK$6,2,FALSE),"خطوط",HLOOKUP(D249,'نمودار خطوط انتقال '!$B$5:$R$6,2,FALSE),"شبکه",HLOOKUP(D249,'نمودار شبکه توزیع آ'!$B$5:$O$6,2,FALSE),"سد",HLOOKUP(D249,'نمودار سدسازی'!$B$5:$P$6,2,FALSE),"فاضلاب",HLOOKUP(D249,'نمودار جمع‌آوری و ا'!$B$5:$S$6,2,FALSE),"تجهیزات",HLOOKUP(D249,'نمودار تجهیزات آب و'!$B$5:$AG$6,2,FALSE),"پست",HLOOKUP(D249,'نمودار پست های انتق'!$B$5:$AH$6,2,FALSE),"نیرو",HLOOKUP(D249,'نمودار توزیع نیرو ب'!$B$5:$AE$6,2,FALSE),FALSE)</f>
        <v>0</v>
      </c>
      <c r="D249" s="28" t="s">
        <v>300</v>
      </c>
      <c r="E249" s="15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32">
        <v>2800</v>
      </c>
      <c r="AY249" s="32">
        <v>3136</v>
      </c>
      <c r="AZ249" s="32">
        <v>3444</v>
      </c>
      <c r="BA249" s="32">
        <v>3511.7</v>
      </c>
      <c r="BB249" s="32">
        <v>3620.1</v>
      </c>
      <c r="BC249" s="32">
        <v>4012</v>
      </c>
      <c r="BD249" s="32">
        <v>4482.5</v>
      </c>
      <c r="BE249" s="32">
        <v>4737.8</v>
      </c>
      <c r="BF249" s="32">
        <v>4892.3</v>
      </c>
      <c r="BG249" s="32">
        <v>4932.3</v>
      </c>
      <c r="BH249" s="32">
        <v>5334.7</v>
      </c>
      <c r="BI249" s="32">
        <v>5473.9</v>
      </c>
      <c r="BJ249" s="32">
        <v>6111.4</v>
      </c>
      <c r="BK249" s="32">
        <v>6546.3</v>
      </c>
      <c r="BL249" s="32">
        <v>6607.3</v>
      </c>
    </row>
    <row r="250" spans="1:64" ht="20" customHeight="1">
      <c r="A250" s="68">
        <v>246</v>
      </c>
      <c r="B250" s="69" t="s">
        <v>282</v>
      </c>
      <c r="C250" s="70" t="b">
        <f t="array" ref="C250">_xlfn.SWITCH(LEFT(B250,FIND("|",B250)-1),"ابنیه",HLOOKUP(D250,'نمودار ابنیه'!$B$5:$AD$6,2,FALSE),"مکانیکی",HLOOKUP(D250,'نمودار مکانیکی'!$B$5:$AJ$6,2,FALSE),"برقی",HLOOKUP(D250,'نمودار تاسیسات برقی'!$B$5:$AK$6,2,FALSE),"خطوط",HLOOKUP(D250,'نمودار خطوط انتقال '!$B$5:$R$6,2,FALSE),"شبکه",HLOOKUP(D250,'نمودار شبکه توزیع آ'!$B$5:$O$6,2,FALSE),"سد",HLOOKUP(D250,'نمودار سدسازی'!$B$5:$P$6,2,FALSE),"فاضلاب",HLOOKUP(D250,'نمودار جمع‌آوری و ا'!$B$5:$S$6,2,FALSE),"تجهیزات",HLOOKUP(D250,'نمودار تجهیزات آب و'!$B$5:$AG$6,2,FALSE),"پست",HLOOKUP(D250,'نمودار پست های انتق'!$B$5:$AH$6,2,FALSE),"نیرو",HLOOKUP(D250,'نمودار توزیع نیرو ب'!$B$5:$AE$6,2,FALSE),FALSE)</f>
        <v>0</v>
      </c>
      <c r="D250" s="71" t="s">
        <v>301</v>
      </c>
      <c r="E250" s="15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3">
        <v>1939.6</v>
      </c>
      <c r="AY250" s="73">
        <v>2153</v>
      </c>
      <c r="AZ250" s="73">
        <v>2327.5</v>
      </c>
      <c r="BA250" s="73">
        <v>2474.9</v>
      </c>
      <c r="BB250" s="73">
        <v>2474.9</v>
      </c>
      <c r="BC250" s="73">
        <v>2814</v>
      </c>
      <c r="BD250" s="73">
        <v>2867.9</v>
      </c>
      <c r="BE250" s="73">
        <v>3346.3</v>
      </c>
      <c r="BF250" s="73">
        <v>3453</v>
      </c>
      <c r="BG250" s="73">
        <v>3453</v>
      </c>
      <c r="BH250" s="73">
        <v>3768.5</v>
      </c>
      <c r="BI250" s="73">
        <v>4155.8</v>
      </c>
      <c r="BJ250" s="73">
        <v>4155.8</v>
      </c>
      <c r="BK250" s="73">
        <v>4155.8</v>
      </c>
      <c r="BL250" s="73">
        <v>4624.6000000000004</v>
      </c>
    </row>
    <row r="251" spans="1:64" ht="20" customHeight="1">
      <c r="A251" s="25">
        <v>247</v>
      </c>
      <c r="B251" s="26" t="s">
        <v>282</v>
      </c>
      <c r="C251" s="27" t="b">
        <f t="array" ref="C251">_xlfn.SWITCH(LEFT(B251,FIND("|",B251)-1),"ابنیه",HLOOKUP(D251,'نمودار ابنیه'!$B$5:$AD$6,2,FALSE),"مکانیکی",HLOOKUP(D251,'نمودار مکانیکی'!$B$5:$AJ$6,2,FALSE),"برقی",HLOOKUP(D251,'نمودار تاسیسات برقی'!$B$5:$AK$6,2,FALSE),"خطوط",HLOOKUP(D251,'نمودار خطوط انتقال '!$B$5:$R$6,2,FALSE),"شبکه",HLOOKUP(D251,'نمودار شبکه توزیع آ'!$B$5:$O$6,2,FALSE),"سد",HLOOKUP(D251,'نمودار سدسازی'!$B$5:$P$6,2,FALSE),"فاضلاب",HLOOKUP(D251,'نمودار جمع‌آوری و ا'!$B$5:$S$6,2,FALSE),"تجهیزات",HLOOKUP(D251,'نمودار تجهیزات آب و'!$B$5:$AG$6,2,FALSE),"پست",HLOOKUP(D251,'نمودار پست های انتق'!$B$5:$AH$6,2,FALSE),"نیرو",HLOOKUP(D251,'نمودار توزیع نیرو ب'!$B$5:$AE$6,2,FALSE),FALSE)</f>
        <v>0</v>
      </c>
      <c r="D251" s="28" t="s">
        <v>302</v>
      </c>
      <c r="E251" s="15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32">
        <v>2327.5</v>
      </c>
      <c r="AY251" s="32">
        <v>2606.8000000000002</v>
      </c>
      <c r="AZ251" s="32">
        <v>2723.2</v>
      </c>
      <c r="BA251" s="32">
        <v>2967.3</v>
      </c>
      <c r="BB251" s="32">
        <v>3029.8</v>
      </c>
      <c r="BC251" s="32">
        <v>3454</v>
      </c>
      <c r="BD251" s="32">
        <v>3639.8</v>
      </c>
      <c r="BE251" s="32">
        <v>3759.8</v>
      </c>
      <c r="BF251" s="32">
        <v>4524.5</v>
      </c>
      <c r="BG251" s="32">
        <v>4787.2</v>
      </c>
      <c r="BH251" s="32">
        <v>5139.2</v>
      </c>
      <c r="BI251" s="32">
        <v>5918.6</v>
      </c>
      <c r="BJ251" s="32">
        <v>5918.6</v>
      </c>
      <c r="BK251" s="32">
        <v>6127.4</v>
      </c>
      <c r="BL251" s="32">
        <v>6301.5</v>
      </c>
    </row>
    <row r="252" spans="1:64" ht="20" customHeight="1">
      <c r="A252" s="68">
        <v>248</v>
      </c>
      <c r="B252" s="69" t="s">
        <v>282</v>
      </c>
      <c r="C252" s="70" t="b">
        <f t="array" ref="C252">_xlfn.SWITCH(LEFT(B252,FIND("|",B252)-1),"ابنیه",HLOOKUP(D252,'نمودار ابنیه'!$B$5:$AD$6,2,FALSE),"مکانیکی",HLOOKUP(D252,'نمودار مکانیکی'!$B$5:$AJ$6,2,FALSE),"برقی",HLOOKUP(D252,'نمودار تاسیسات برقی'!$B$5:$AK$6,2,FALSE),"خطوط",HLOOKUP(D252,'نمودار خطوط انتقال '!$B$5:$R$6,2,FALSE),"شبکه",HLOOKUP(D252,'نمودار شبکه توزیع آ'!$B$5:$O$6,2,FALSE),"سد",HLOOKUP(D252,'نمودار سدسازی'!$B$5:$P$6,2,FALSE),"فاضلاب",HLOOKUP(D252,'نمودار جمع‌آوری و ا'!$B$5:$S$6,2,FALSE),"تجهیزات",HLOOKUP(D252,'نمودار تجهیزات آب و'!$B$5:$AG$6,2,FALSE),"پست",HLOOKUP(D252,'نمودار پست های انتق'!$B$5:$AH$6,2,FALSE),"نیرو",HLOOKUP(D252,'نمودار توزیع نیرو ب'!$B$5:$AE$6,2,FALSE),FALSE)</f>
        <v>0</v>
      </c>
      <c r="D252" s="71" t="s">
        <v>303</v>
      </c>
      <c r="E252" s="15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3">
        <v>1929.5</v>
      </c>
      <c r="AY252" s="73">
        <v>2122.5</v>
      </c>
      <c r="AZ252" s="73">
        <v>2334.6999999999998</v>
      </c>
      <c r="BA252" s="73">
        <v>2334.6999999999998</v>
      </c>
      <c r="BB252" s="73">
        <v>2334.6999999999998</v>
      </c>
      <c r="BC252" s="73">
        <v>2504.4</v>
      </c>
      <c r="BD252" s="73">
        <v>2563.1999999999998</v>
      </c>
      <c r="BE252" s="73">
        <v>2569.6</v>
      </c>
      <c r="BF252" s="73">
        <v>2635.4</v>
      </c>
      <c r="BG252" s="73">
        <v>2938.5</v>
      </c>
      <c r="BH252" s="73">
        <v>3661.2</v>
      </c>
      <c r="BI252" s="73">
        <v>4092.1</v>
      </c>
      <c r="BJ252" s="73">
        <v>4092.1</v>
      </c>
      <c r="BK252" s="73">
        <v>4210.3999999999996</v>
      </c>
      <c r="BL252" s="73">
        <v>4247</v>
      </c>
    </row>
    <row r="253" spans="1:64" ht="20" customHeight="1">
      <c r="A253" s="25">
        <v>249</v>
      </c>
      <c r="B253" s="26" t="s">
        <v>282</v>
      </c>
      <c r="C253" s="27" t="b">
        <f t="array" ref="C253">_xlfn.SWITCH(LEFT(B253,FIND("|",B253)-1),"ابنیه",HLOOKUP(D253,'نمودار ابنیه'!$B$5:$AD$6,2,FALSE),"مکانیکی",HLOOKUP(D253,'نمودار مکانیکی'!$B$5:$AJ$6,2,FALSE),"برقی",HLOOKUP(D253,'نمودار تاسیسات برقی'!$B$5:$AK$6,2,FALSE),"خطوط",HLOOKUP(D253,'نمودار خطوط انتقال '!$B$5:$R$6,2,FALSE),"شبکه",HLOOKUP(D253,'نمودار شبکه توزیع آ'!$B$5:$O$6,2,FALSE),"سد",HLOOKUP(D253,'نمودار سدسازی'!$B$5:$P$6,2,FALSE),"فاضلاب",HLOOKUP(D253,'نمودار جمع‌آوری و ا'!$B$5:$S$6,2,FALSE),"تجهیزات",HLOOKUP(D253,'نمودار تجهیزات آب و'!$B$5:$AG$6,2,FALSE),"پست",HLOOKUP(D253,'نمودار پست های انتق'!$B$5:$AH$6,2,FALSE),"نیرو",HLOOKUP(D253,'نمودار توزیع نیرو ب'!$B$5:$AE$6,2,FALSE),FALSE)</f>
        <v>0</v>
      </c>
      <c r="D253" s="28" t="s">
        <v>304</v>
      </c>
      <c r="E253" s="15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32">
        <v>2307</v>
      </c>
      <c r="AY253" s="32">
        <v>2537.6999999999998</v>
      </c>
      <c r="AZ253" s="32">
        <v>2583.8000000000002</v>
      </c>
      <c r="BA253" s="32">
        <v>2665</v>
      </c>
      <c r="BB253" s="32">
        <v>2784.3</v>
      </c>
      <c r="BC253" s="32">
        <v>2963.5</v>
      </c>
      <c r="BD253" s="32">
        <v>3105.9</v>
      </c>
      <c r="BE253" s="32">
        <v>3196</v>
      </c>
      <c r="BF253" s="32">
        <v>3394.6</v>
      </c>
      <c r="BG253" s="32">
        <v>3394.6</v>
      </c>
      <c r="BH253" s="32">
        <v>3606.7</v>
      </c>
      <c r="BI253" s="32">
        <v>4355.8999999999996</v>
      </c>
      <c r="BJ253" s="32">
        <v>4328</v>
      </c>
      <c r="BK253" s="32">
        <v>4425.3</v>
      </c>
      <c r="BL253" s="32">
        <v>4646.5</v>
      </c>
    </row>
    <row r="254" spans="1:64" ht="20" customHeight="1">
      <c r="A254" s="68">
        <v>250</v>
      </c>
      <c r="B254" s="69" t="s">
        <v>282</v>
      </c>
      <c r="C254" s="70" t="b">
        <f t="array" ref="C254">_xlfn.SWITCH(LEFT(B254,FIND("|",B254)-1),"ابنیه",HLOOKUP(D254,'نمودار ابنیه'!$B$5:$AD$6,2,FALSE),"مکانیکی",HLOOKUP(D254,'نمودار مکانیکی'!$B$5:$AJ$6,2,FALSE),"برقی",HLOOKUP(D254,'نمودار تاسیسات برقی'!$B$5:$AK$6,2,FALSE),"خطوط",HLOOKUP(D254,'نمودار خطوط انتقال '!$B$5:$R$6,2,FALSE),"شبکه",HLOOKUP(D254,'نمودار شبکه توزیع آ'!$B$5:$O$6,2,FALSE),"سد",HLOOKUP(D254,'نمودار سدسازی'!$B$5:$P$6,2,FALSE),"فاضلاب",HLOOKUP(D254,'نمودار جمع‌آوری و ا'!$B$5:$S$6,2,FALSE),"تجهیزات",HLOOKUP(D254,'نمودار تجهیزات آب و'!$B$5:$AG$6,2,FALSE),"پست",HLOOKUP(D254,'نمودار پست های انتق'!$B$5:$AH$6,2,FALSE),"نیرو",HLOOKUP(D254,'نمودار توزیع نیرو ب'!$B$5:$AE$6,2,FALSE),FALSE)</f>
        <v>0</v>
      </c>
      <c r="D254" s="71" t="s">
        <v>305</v>
      </c>
      <c r="E254" s="15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3">
        <v>2440</v>
      </c>
      <c r="AY254" s="73">
        <v>2659.6</v>
      </c>
      <c r="AZ254" s="73">
        <v>2879.2</v>
      </c>
      <c r="BA254" s="73">
        <v>3105.5</v>
      </c>
      <c r="BB254" s="73">
        <v>3323.3</v>
      </c>
      <c r="BC254" s="73">
        <v>3755.3</v>
      </c>
      <c r="BD254" s="73">
        <v>3707.1</v>
      </c>
      <c r="BE254" s="73">
        <v>3788.6</v>
      </c>
      <c r="BF254" s="73">
        <v>4300.7</v>
      </c>
      <c r="BG254" s="73">
        <v>4691.7</v>
      </c>
      <c r="BH254" s="73">
        <v>5082.7</v>
      </c>
      <c r="BI254" s="73">
        <v>5692.6</v>
      </c>
      <c r="BJ254" s="73">
        <v>5438.5</v>
      </c>
      <c r="BK254" s="73">
        <v>5786.5</v>
      </c>
      <c r="BL254" s="73">
        <v>5966.7</v>
      </c>
    </row>
    <row r="255" spans="1:64" ht="20" customHeight="1">
      <c r="A255" s="25">
        <v>251</v>
      </c>
      <c r="B255" s="26" t="s">
        <v>282</v>
      </c>
      <c r="C255" s="27" t="b">
        <f t="array" ref="C255">_xlfn.SWITCH(LEFT(B255,FIND("|",B255)-1),"ابنیه",HLOOKUP(D255,'نمودار ابنیه'!$B$5:$AD$6,2,FALSE),"مکانیکی",HLOOKUP(D255,'نمودار مکانیکی'!$B$5:$AJ$6,2,FALSE),"برقی",HLOOKUP(D255,'نمودار تاسیسات برقی'!$B$5:$AK$6,2,FALSE),"خطوط",HLOOKUP(D255,'نمودار خطوط انتقال '!$B$5:$R$6,2,FALSE),"شبکه",HLOOKUP(D255,'نمودار شبکه توزیع آ'!$B$5:$O$6,2,FALSE),"سد",HLOOKUP(D255,'نمودار سدسازی'!$B$5:$P$6,2,FALSE),"فاضلاب",HLOOKUP(D255,'نمودار جمع‌آوری و ا'!$B$5:$S$6,2,FALSE),"تجهیزات",HLOOKUP(D255,'نمودار تجهیزات آب و'!$B$5:$AG$6,2,FALSE),"پست",HLOOKUP(D255,'نمودار پست های انتق'!$B$5:$AH$6,2,FALSE),"نیرو",HLOOKUP(D255,'نمودار توزیع نیرو ب'!$B$5:$AE$6,2,FALSE),FALSE)</f>
        <v>0</v>
      </c>
      <c r="D255" s="28" t="s">
        <v>306</v>
      </c>
      <c r="E255" s="15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32">
        <v>2275.1999999999998</v>
      </c>
      <c r="AY255" s="32">
        <v>2593.6999999999998</v>
      </c>
      <c r="AZ255" s="32">
        <v>2844</v>
      </c>
      <c r="BA255" s="32">
        <v>2845.7</v>
      </c>
      <c r="BB255" s="32">
        <v>2845.7</v>
      </c>
      <c r="BC255" s="32">
        <v>2977.2</v>
      </c>
      <c r="BD255" s="32">
        <v>2998.1</v>
      </c>
      <c r="BE255" s="32">
        <v>3526.4</v>
      </c>
      <c r="BF255" s="32">
        <v>4245.5</v>
      </c>
      <c r="BG255" s="32">
        <v>4336.8</v>
      </c>
      <c r="BH255" s="32">
        <v>4361.7</v>
      </c>
      <c r="BI255" s="32">
        <v>4711.8</v>
      </c>
      <c r="BJ255" s="32">
        <v>4716.3999999999996</v>
      </c>
      <c r="BK255" s="32">
        <v>4727.1000000000004</v>
      </c>
      <c r="BL255" s="32">
        <v>5044.1000000000004</v>
      </c>
    </row>
    <row r="256" spans="1:64" ht="20" customHeight="1">
      <c r="A256" s="68">
        <v>252</v>
      </c>
      <c r="B256" s="69" t="s">
        <v>282</v>
      </c>
      <c r="C256" s="70" t="b">
        <f t="array" ref="C256">_xlfn.SWITCH(LEFT(B256,FIND("|",B256)-1),"ابنیه",HLOOKUP(D256,'نمودار ابنیه'!$B$5:$AD$6,2,FALSE),"مکانیکی",HLOOKUP(D256,'نمودار مکانیکی'!$B$5:$AJ$6,2,FALSE),"برقی",HLOOKUP(D256,'نمودار تاسیسات برقی'!$B$5:$AK$6,2,FALSE),"خطوط",HLOOKUP(D256,'نمودار خطوط انتقال '!$B$5:$R$6,2,FALSE),"شبکه",HLOOKUP(D256,'نمودار شبکه توزیع آ'!$B$5:$O$6,2,FALSE),"سد",HLOOKUP(D256,'نمودار سدسازی'!$B$5:$P$6,2,FALSE),"فاضلاب",HLOOKUP(D256,'نمودار جمع‌آوری و ا'!$B$5:$S$6,2,FALSE),"تجهیزات",HLOOKUP(D256,'نمودار تجهیزات آب و'!$B$5:$AG$6,2,FALSE),"پست",HLOOKUP(D256,'نمودار پست های انتق'!$B$5:$AH$6,2,FALSE),"نیرو",HLOOKUP(D256,'نمودار توزیع نیرو ب'!$B$5:$AE$6,2,FALSE),FALSE)</f>
        <v>0</v>
      </c>
      <c r="D256" s="71" t="s">
        <v>307</v>
      </c>
      <c r="E256" s="15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3">
        <v>3277.7</v>
      </c>
      <c r="AY256" s="73">
        <v>3769.4</v>
      </c>
      <c r="AZ256" s="73">
        <v>3769.4</v>
      </c>
      <c r="BA256" s="73">
        <v>3966.8</v>
      </c>
      <c r="BB256" s="73">
        <v>4084.1</v>
      </c>
      <c r="BC256" s="73">
        <v>4191.1000000000004</v>
      </c>
      <c r="BD256" s="73">
        <v>4062.1</v>
      </c>
      <c r="BE256" s="73">
        <v>4388.1000000000004</v>
      </c>
      <c r="BF256" s="73">
        <v>5106.3999999999996</v>
      </c>
      <c r="BG256" s="73">
        <v>6221.4</v>
      </c>
      <c r="BH256" s="73">
        <v>6946.5</v>
      </c>
      <c r="BI256" s="73">
        <v>6718.3</v>
      </c>
      <c r="BJ256" s="73">
        <v>6569.3</v>
      </c>
      <c r="BK256" s="73">
        <v>7376</v>
      </c>
      <c r="BL256" s="73">
        <v>7628.1</v>
      </c>
    </row>
    <row r="257" spans="1:64" ht="20" customHeight="1">
      <c r="A257" s="25">
        <v>253</v>
      </c>
      <c r="B257" s="26" t="s">
        <v>282</v>
      </c>
      <c r="C257" s="27" t="b">
        <f t="array" ref="C257">_xlfn.SWITCH(LEFT(B257,FIND("|",B257)-1),"ابنیه",HLOOKUP(D257,'نمودار ابنیه'!$B$5:$AD$6,2,FALSE),"مکانیکی",HLOOKUP(D257,'نمودار مکانیکی'!$B$5:$AJ$6,2,FALSE),"برقی",HLOOKUP(D257,'نمودار تاسیسات برقی'!$B$5:$AK$6,2,FALSE),"خطوط",HLOOKUP(D257,'نمودار خطوط انتقال '!$B$5:$R$6,2,FALSE),"شبکه",HLOOKUP(D257,'نمودار شبکه توزیع آ'!$B$5:$O$6,2,FALSE),"سد",HLOOKUP(D257,'نمودار سدسازی'!$B$5:$P$6,2,FALSE),"فاضلاب",HLOOKUP(D257,'نمودار جمع‌آوری و ا'!$B$5:$S$6,2,FALSE),"تجهیزات",HLOOKUP(D257,'نمودار تجهیزات آب و'!$B$5:$AG$6,2,FALSE),"پست",HLOOKUP(D257,'نمودار پست های انتق'!$B$5:$AH$6,2,FALSE),"نیرو",HLOOKUP(D257,'نمودار توزیع نیرو ب'!$B$5:$AE$6,2,FALSE),FALSE)</f>
        <v>0</v>
      </c>
      <c r="D257" s="28" t="s">
        <v>308</v>
      </c>
      <c r="E257" s="15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32">
        <v>2124</v>
      </c>
      <c r="AY257" s="32">
        <v>2378.9</v>
      </c>
      <c r="AZ257" s="32">
        <v>2633.8</v>
      </c>
      <c r="BA257" s="32">
        <v>2652.3</v>
      </c>
      <c r="BB257" s="32">
        <v>2891.5</v>
      </c>
      <c r="BC257" s="32">
        <v>3177.6</v>
      </c>
      <c r="BD257" s="32">
        <v>3271</v>
      </c>
      <c r="BE257" s="32">
        <v>3866.7</v>
      </c>
      <c r="BF257" s="32">
        <v>3903.1</v>
      </c>
      <c r="BG257" s="32">
        <v>3918.6</v>
      </c>
      <c r="BH257" s="32">
        <v>4232.6000000000004</v>
      </c>
      <c r="BI257" s="32">
        <v>4736.7</v>
      </c>
      <c r="BJ257" s="32">
        <v>4758.1000000000004</v>
      </c>
      <c r="BK257" s="32">
        <v>4982.8999999999996</v>
      </c>
      <c r="BL257" s="32">
        <v>5137</v>
      </c>
    </row>
    <row r="258" spans="1:64" ht="20" customHeight="1">
      <c r="A258" s="68">
        <v>254</v>
      </c>
      <c r="B258" s="69" t="s">
        <v>282</v>
      </c>
      <c r="C258" s="70" t="b">
        <f t="array" ref="C258">_xlfn.SWITCH(LEFT(B258,FIND("|",B258)-1),"ابنیه",HLOOKUP(D258,'نمودار ابنیه'!$B$5:$AD$6,2,FALSE),"مکانیکی",HLOOKUP(D258,'نمودار مکانیکی'!$B$5:$AJ$6,2,FALSE),"برقی",HLOOKUP(D258,'نمودار تاسیسات برقی'!$B$5:$AK$6,2,FALSE),"خطوط",HLOOKUP(D258,'نمودار خطوط انتقال '!$B$5:$R$6,2,FALSE),"شبکه",HLOOKUP(D258,'نمودار شبکه توزیع آ'!$B$5:$O$6,2,FALSE),"سد",HLOOKUP(D258,'نمودار سدسازی'!$B$5:$P$6,2,FALSE),"فاضلاب",HLOOKUP(D258,'نمودار جمع‌آوری و ا'!$B$5:$S$6,2,FALSE),"تجهیزات",HLOOKUP(D258,'نمودار تجهیزات آب و'!$B$5:$AG$6,2,FALSE),"پست",HLOOKUP(D258,'نمودار پست های انتق'!$B$5:$AH$6,2,FALSE),"نیرو",HLOOKUP(D258,'نمودار توزیع نیرو ب'!$B$5:$AE$6,2,FALSE),FALSE)</f>
        <v>0</v>
      </c>
      <c r="D258" s="71" t="s">
        <v>309</v>
      </c>
      <c r="E258" s="15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3">
        <v>2565.1</v>
      </c>
      <c r="AY258" s="73">
        <v>2693.4</v>
      </c>
      <c r="AZ258" s="73">
        <v>2770.3</v>
      </c>
      <c r="BA258" s="73">
        <v>2949.9</v>
      </c>
      <c r="BB258" s="73">
        <v>2949.9</v>
      </c>
      <c r="BC258" s="73">
        <v>3244.9</v>
      </c>
      <c r="BD258" s="73">
        <v>3244.9</v>
      </c>
      <c r="BE258" s="73">
        <v>3563.7</v>
      </c>
      <c r="BF258" s="73">
        <v>4158.2</v>
      </c>
      <c r="BG258" s="73">
        <v>4521.6000000000004</v>
      </c>
      <c r="BH258" s="73">
        <v>4718.1000000000004</v>
      </c>
      <c r="BI258" s="73">
        <v>5354.4</v>
      </c>
      <c r="BJ258" s="73">
        <v>5324.9</v>
      </c>
      <c r="BK258" s="73">
        <v>5425.8</v>
      </c>
      <c r="BL258" s="73">
        <v>5850.4</v>
      </c>
    </row>
    <row r="259" spans="1:64" ht="20" customHeight="1">
      <c r="A259" s="25">
        <v>255</v>
      </c>
      <c r="B259" s="26" t="s">
        <v>282</v>
      </c>
      <c r="C259" s="27" t="b">
        <f t="array" ref="C259">_xlfn.SWITCH(LEFT(B259,FIND("|",B259)-1),"ابنیه",HLOOKUP(D259,'نمودار ابنیه'!$B$5:$AD$6,2,FALSE),"مکانیکی",HLOOKUP(D259,'نمودار مکانیکی'!$B$5:$AJ$6,2,FALSE),"برقی",HLOOKUP(D259,'نمودار تاسیسات برقی'!$B$5:$AK$6,2,FALSE),"خطوط",HLOOKUP(D259,'نمودار خطوط انتقال '!$B$5:$R$6,2,FALSE),"شبکه",HLOOKUP(D259,'نمودار شبکه توزیع آ'!$B$5:$O$6,2,FALSE),"سد",HLOOKUP(D259,'نمودار سدسازی'!$B$5:$P$6,2,FALSE),"فاضلاب",HLOOKUP(D259,'نمودار جمع‌آوری و ا'!$B$5:$S$6,2,FALSE),"تجهیزات",HLOOKUP(D259,'نمودار تجهیزات آب و'!$B$5:$AG$6,2,FALSE),"پست",HLOOKUP(D259,'نمودار پست های انتق'!$B$5:$AH$6,2,FALSE),"نیرو",HLOOKUP(D259,'نمودار توزیع نیرو ب'!$B$5:$AE$6,2,FALSE),FALSE)</f>
        <v>0</v>
      </c>
      <c r="D259" s="28" t="s">
        <v>310</v>
      </c>
      <c r="E259" s="15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32">
        <v>2086</v>
      </c>
      <c r="AY259" s="32">
        <v>2711.8</v>
      </c>
      <c r="AZ259" s="32">
        <v>2889.1</v>
      </c>
      <c r="BA259" s="32">
        <v>2910</v>
      </c>
      <c r="BB259" s="32">
        <v>2962.1</v>
      </c>
      <c r="BC259" s="32">
        <v>3822.6</v>
      </c>
      <c r="BD259" s="32">
        <v>3919.8</v>
      </c>
      <c r="BE259" s="32">
        <v>4098.1000000000004</v>
      </c>
      <c r="BF259" s="32">
        <v>4301</v>
      </c>
      <c r="BG259" s="32">
        <v>4301</v>
      </c>
      <c r="BH259" s="32">
        <v>4309.8999999999996</v>
      </c>
      <c r="BI259" s="32">
        <v>5264.5</v>
      </c>
      <c r="BJ259" s="32">
        <v>5482.2</v>
      </c>
      <c r="BK259" s="32">
        <v>5668</v>
      </c>
      <c r="BL259" s="32">
        <v>5805.2</v>
      </c>
    </row>
    <row r="260" spans="1:64" ht="20" customHeight="1">
      <c r="A260" s="68">
        <v>256</v>
      </c>
      <c r="B260" s="69" t="s">
        <v>282</v>
      </c>
      <c r="C260" s="70" t="b">
        <f t="array" ref="C260">_xlfn.SWITCH(LEFT(B260,FIND("|",B260)-1),"ابنیه",HLOOKUP(D260,'نمودار ابنیه'!$B$5:$AD$6,2,FALSE),"مکانیکی",HLOOKUP(D260,'نمودار مکانیکی'!$B$5:$AJ$6,2,FALSE),"برقی",HLOOKUP(D260,'نمودار تاسیسات برقی'!$B$5:$AK$6,2,FALSE),"خطوط",HLOOKUP(D260,'نمودار خطوط انتقال '!$B$5:$R$6,2,FALSE),"شبکه",HLOOKUP(D260,'نمودار شبکه توزیع آ'!$B$5:$O$6,2,FALSE),"سد",HLOOKUP(D260,'نمودار سدسازی'!$B$5:$P$6,2,FALSE),"فاضلاب",HLOOKUP(D260,'نمودار جمع‌آوری و ا'!$B$5:$S$6,2,FALSE),"تجهیزات",HLOOKUP(D260,'نمودار تجهیزات آب و'!$B$5:$AG$6,2,FALSE),"پست",HLOOKUP(D260,'نمودار پست های انتق'!$B$5:$AH$6,2,FALSE),"نیرو",HLOOKUP(D260,'نمودار توزیع نیرو ب'!$B$5:$AE$6,2,FALSE),FALSE)</f>
        <v>0</v>
      </c>
      <c r="D260" s="71" t="s">
        <v>311</v>
      </c>
      <c r="E260" s="15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3">
        <v>2086</v>
      </c>
      <c r="AY260" s="73">
        <v>2719.1</v>
      </c>
      <c r="AZ260" s="73">
        <v>2892.2</v>
      </c>
      <c r="BA260" s="73">
        <v>2904.8</v>
      </c>
      <c r="BB260" s="73">
        <v>2951.7</v>
      </c>
      <c r="BC260" s="73">
        <v>3683.2</v>
      </c>
      <c r="BD260" s="73">
        <v>3772.4</v>
      </c>
      <c r="BE260" s="73">
        <v>4220.3</v>
      </c>
      <c r="BF260" s="73">
        <v>4347.7</v>
      </c>
      <c r="BG260" s="73">
        <v>4347.7</v>
      </c>
      <c r="BH260" s="73">
        <v>4358.2</v>
      </c>
      <c r="BI260" s="73">
        <v>5330.5</v>
      </c>
      <c r="BJ260" s="73">
        <v>5531.9</v>
      </c>
      <c r="BK260" s="73">
        <v>5726.7</v>
      </c>
      <c r="BL260" s="73">
        <v>5864</v>
      </c>
    </row>
    <row r="261" spans="1:64" ht="20" customHeight="1">
      <c r="A261" s="25">
        <v>257</v>
      </c>
      <c r="B261" s="26" t="s">
        <v>282</v>
      </c>
      <c r="C261" s="27" t="b">
        <f t="array" ref="C261">_xlfn.SWITCH(LEFT(B261,FIND("|",B261)-1),"ابنیه",HLOOKUP(D261,'نمودار ابنیه'!$B$5:$AD$6,2,FALSE),"مکانیکی",HLOOKUP(D261,'نمودار مکانیکی'!$B$5:$AJ$6,2,FALSE),"برقی",HLOOKUP(D261,'نمودار تاسیسات برقی'!$B$5:$AK$6,2,FALSE),"خطوط",HLOOKUP(D261,'نمودار خطوط انتقال '!$B$5:$R$6,2,FALSE),"شبکه",HLOOKUP(D261,'نمودار شبکه توزیع آ'!$B$5:$O$6,2,FALSE),"سد",HLOOKUP(D261,'نمودار سدسازی'!$B$5:$P$6,2,FALSE),"فاضلاب",HLOOKUP(D261,'نمودار جمع‌آوری و ا'!$B$5:$S$6,2,FALSE),"تجهیزات",HLOOKUP(D261,'نمودار تجهیزات آب و'!$B$5:$AG$6,2,FALSE),"پست",HLOOKUP(D261,'نمودار پست های انتق'!$B$5:$AH$6,2,FALSE),"نیرو",HLOOKUP(D261,'نمودار توزیع نیرو ب'!$B$5:$AE$6,2,FALSE),FALSE)</f>
        <v>0</v>
      </c>
      <c r="D261" s="28" t="s">
        <v>196</v>
      </c>
      <c r="E261" s="15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32">
        <v>1876</v>
      </c>
      <c r="AY261" s="32">
        <v>2603.1</v>
      </c>
      <c r="AZ261" s="32">
        <v>2749.5</v>
      </c>
      <c r="BA261" s="32">
        <v>2827.1</v>
      </c>
      <c r="BB261" s="32">
        <v>2896.5</v>
      </c>
      <c r="BC261" s="32">
        <v>3661.2</v>
      </c>
      <c r="BD261" s="32">
        <v>4113</v>
      </c>
      <c r="BE261" s="32">
        <v>4168.6000000000004</v>
      </c>
      <c r="BF261" s="32">
        <v>4223.1000000000004</v>
      </c>
      <c r="BG261" s="32">
        <v>4263.7</v>
      </c>
      <c r="BH261" s="32">
        <v>4359.2</v>
      </c>
      <c r="BI261" s="32">
        <v>5196.2</v>
      </c>
      <c r="BJ261" s="32">
        <v>5540.5</v>
      </c>
      <c r="BK261" s="32">
        <v>5884.9</v>
      </c>
      <c r="BL261" s="32">
        <v>5970.7</v>
      </c>
    </row>
  </sheetData>
  <mergeCells count="2">
    <mergeCell ref="A2:E2"/>
    <mergeCell ref="A1:E1"/>
  </mergeCells>
  <printOptions horizontalCentered="1"/>
  <pageMargins left="0.25" right="0.25" top="0.5" bottom="0.5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rightToLeft="1" tabSelected="1" zoomScaleNormal="100" workbookViewId="0">
      <selection activeCell="F12" sqref="F12"/>
    </sheetView>
  </sheetViews>
  <sheetFormatPr defaultColWidth="8.6640625" defaultRowHeight="14.25"/>
  <cols>
    <col min="1" max="1" width="35" customWidth="1"/>
    <col min="4" max="4" width="25" customWidth="1"/>
  </cols>
  <sheetData>
    <row r="1" spans="1:20" ht="18.75" customHeight="1">
      <c r="A1" s="80" t="s">
        <v>312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</row>
    <row r="2" spans="1:20" ht="17.25" customHeight="1">
      <c r="A2" s="84" t="s">
        <v>313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</row>
    <row r="4" spans="1:20" ht="15" customHeight="1">
      <c r="A4" s="1" t="s">
        <v>314</v>
      </c>
    </row>
    <row r="5" spans="1:20" ht="15" customHeight="1">
      <c r="A5" s="86" t="s">
        <v>315</v>
      </c>
      <c r="B5" s="87"/>
      <c r="C5" s="87"/>
      <c r="D5" s="88" t="s">
        <v>316</v>
      </c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</row>
    <row r="6" spans="1:20" ht="15" customHeight="1">
      <c r="A6" s="90" t="s">
        <v>317</v>
      </c>
      <c r="B6" s="91"/>
      <c r="C6" s="91"/>
      <c r="D6" s="92" t="s">
        <v>318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</row>
    <row r="7" spans="1:20" ht="15" customHeight="1">
      <c r="A7" s="86" t="s">
        <v>319</v>
      </c>
      <c r="B7" s="87"/>
      <c r="C7" s="87"/>
      <c r="D7" s="88" t="s">
        <v>320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</row>
    <row r="8" spans="1:20" ht="15" customHeight="1">
      <c r="A8" s="90" t="s">
        <v>321</v>
      </c>
      <c r="B8" s="91"/>
      <c r="C8" s="91"/>
      <c r="D8" s="92" t="s">
        <v>322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</row>
    <row r="9" spans="1:20" ht="15" customHeight="1">
      <c r="A9" s="86" t="s">
        <v>323</v>
      </c>
      <c r="B9" s="87"/>
      <c r="C9" s="87"/>
      <c r="D9" s="88" t="s">
        <v>324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</row>
    <row r="10" spans="1:20" ht="15" customHeight="1">
      <c r="A10" s="90" t="s">
        <v>325</v>
      </c>
      <c r="B10" s="91"/>
      <c r="C10" s="91"/>
      <c r="D10" s="92" t="s">
        <v>326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</row>
    <row r="11" spans="1:20" ht="15" customHeight="1">
      <c r="A11" s="86" t="s">
        <v>327</v>
      </c>
      <c r="B11" s="87"/>
      <c r="C11" s="87"/>
      <c r="D11" s="88" t="s">
        <v>328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</row>
    <row r="12" spans="1:20" ht="15" customHeight="1">
      <c r="A12" s="90" t="s">
        <v>329</v>
      </c>
      <c r="B12" s="91"/>
      <c r="C12" s="91"/>
      <c r="D12" s="92" t="s">
        <v>330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</row>
    <row r="13" spans="1:20" ht="15" customHeight="1">
      <c r="A13" s="86" t="s">
        <v>331</v>
      </c>
      <c r="B13" s="87"/>
      <c r="C13" s="87"/>
      <c r="D13" s="88" t="s">
        <v>332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</row>
    <row r="14" spans="1:20" ht="15" customHeight="1">
      <c r="A14" s="90" t="s">
        <v>333</v>
      </c>
      <c r="B14" s="91"/>
      <c r="C14" s="91"/>
      <c r="D14" s="92" t="s">
        <v>334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</row>
    <row r="15" spans="1:20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</row>
    <row r="16" spans="1:20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</row>
    <row r="17" spans="1:20" ht="15" customHeight="1">
      <c r="A17" s="93" t="s">
        <v>335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</row>
    <row r="18" spans="1:20" ht="19.5" customHeight="1">
      <c r="A18" s="96" t="s">
        <v>336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5"/>
    </row>
    <row r="19" spans="1:20" ht="19.5" customHeight="1">
      <c r="A19" s="96" t="s">
        <v>337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5"/>
    </row>
    <row r="20" spans="1:20" ht="19.5" customHeight="1">
      <c r="A20" s="96" t="s">
        <v>338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5"/>
    </row>
    <row r="21" spans="1:20" ht="19.5" customHeight="1">
      <c r="A21" s="96" t="s">
        <v>339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5"/>
    </row>
    <row r="22" spans="1:20" ht="19.5" customHeight="1">
      <c r="A22" s="96" t="s">
        <v>340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5"/>
    </row>
  </sheetData>
  <mergeCells count="8">
    <mergeCell ref="A1:T1"/>
    <mergeCell ref="A22:T22"/>
    <mergeCell ref="A17:T17"/>
    <mergeCell ref="A18:T18"/>
    <mergeCell ref="A21:T21"/>
    <mergeCell ref="A20:T20"/>
    <mergeCell ref="A2:T2"/>
    <mergeCell ref="A19:T19"/>
  </mergeCells>
  <pageMargins left="0.5" right="0.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37"/>
  <sheetViews>
    <sheetView rightToLeft="1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6" sqref="J6"/>
    </sheetView>
  </sheetViews>
  <sheetFormatPr defaultColWidth="8.6640625" defaultRowHeight="14.25"/>
  <cols>
    <col min="1" max="1" width="25" customWidth="1"/>
    <col min="2" max="30" width="8" customWidth="1"/>
  </cols>
  <sheetData>
    <row r="1" spans="1:67" ht="30" customHeight="1">
      <c r="A1" s="85" t="s">
        <v>341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8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81</v>
      </c>
      <c r="P5" s="4" t="s">
        <v>82</v>
      </c>
      <c r="Q5" s="4" t="s">
        <v>83</v>
      </c>
      <c r="R5" s="4" t="s">
        <v>84</v>
      </c>
      <c r="S5" s="4" t="s">
        <v>85</v>
      </c>
      <c r="T5" s="4" t="s">
        <v>86</v>
      </c>
      <c r="U5" s="4" t="s">
        <v>87</v>
      </c>
      <c r="V5" s="4" t="s">
        <v>88</v>
      </c>
      <c r="W5" s="4" t="s">
        <v>89</v>
      </c>
      <c r="X5" s="4" t="s">
        <v>90</v>
      </c>
      <c r="Y5" s="4" t="s">
        <v>91</v>
      </c>
      <c r="Z5" s="4" t="s">
        <v>92</v>
      </c>
      <c r="AA5" s="4" t="s">
        <v>93</v>
      </c>
      <c r="AB5" s="4" t="s">
        <v>94</v>
      </c>
      <c r="AC5" s="4" t="s">
        <v>95</v>
      </c>
      <c r="AD5" s="4" t="s">
        <v>96</v>
      </c>
    </row>
    <row r="6" spans="1:67" ht="19.5" customHeight="1">
      <c r="A6" s="5" t="s">
        <v>344</v>
      </c>
      <c r="B6" s="6" t="b">
        <v>0</v>
      </c>
      <c r="C6" s="6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6" t="b">
        <f>FALSE()</f>
        <v>0</v>
      </c>
      <c r="I6" s="6" t="b">
        <f>FALSE()</f>
        <v>0</v>
      </c>
      <c r="J6" s="6" t="b">
        <v>1</v>
      </c>
      <c r="K6" s="6" t="b">
        <f>FALSE()</f>
        <v>0</v>
      </c>
      <c r="L6" s="6" t="b">
        <v>0</v>
      </c>
      <c r="M6" s="6" t="b"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8</v>
      </c>
      <c r="B9" s="10" t="str">
        <f>IF($B$6=TRUE(),344.6,"")</f>
        <v/>
      </c>
      <c r="C9" s="10" t="str">
        <f>IF($B$6=TRUE(),354.4,"")</f>
        <v/>
      </c>
      <c r="D9" s="10" t="str">
        <f>IF($B$6=TRUE(),358.3,"")</f>
        <v/>
      </c>
      <c r="E9" s="10" t="str">
        <f>IF($B$6=TRUE(),362,"")</f>
        <v/>
      </c>
      <c r="F9" s="10" t="str">
        <f>IF($B$6=TRUE(),406.7,"")</f>
        <v/>
      </c>
      <c r="G9" s="10" t="str">
        <f>IF($B$6=TRUE(),423.4,"")</f>
        <v/>
      </c>
      <c r="H9" s="10" t="str">
        <f>IF($B$6=TRUE(),442.6,"")</f>
        <v/>
      </c>
      <c r="I9" s="10" t="str">
        <f>IF($B$6=TRUE(),450.5,"")</f>
        <v/>
      </c>
      <c r="J9" s="10" t="str">
        <f>IF($B$6=TRUE(),516.8,"")</f>
        <v/>
      </c>
      <c r="K9" s="10" t="str">
        <f>IF($B$6=TRUE(),526,"")</f>
        <v/>
      </c>
      <c r="L9" s="10" t="str">
        <f>IF($B$6=TRUE(),537.2,"")</f>
        <v/>
      </c>
      <c r="M9" s="10" t="str">
        <f>IF($B$6=TRUE(),547.1,"")</f>
        <v/>
      </c>
      <c r="N9" s="10" t="str">
        <f>IF($B$6=TRUE(),649.1,"")</f>
        <v/>
      </c>
      <c r="O9" s="10" t="str">
        <f>IF($B$6=TRUE(),660.1,"")</f>
        <v/>
      </c>
      <c r="P9" s="10" t="str">
        <f>IF($B$6=TRUE(),670.8,"")</f>
        <v/>
      </c>
      <c r="Q9" s="10" t="str">
        <f>IF($B$6=TRUE(),681.5,"")</f>
        <v/>
      </c>
      <c r="R9" s="10" t="str">
        <f>IF($B$6=TRUE(),755.6,"")</f>
        <v/>
      </c>
      <c r="S9" s="10" t="str">
        <f>IF($B$6=TRUE(),762.3,"")</f>
        <v/>
      </c>
      <c r="T9" s="10" t="str">
        <f>IF($B$6=TRUE(),768.8,"")</f>
        <v/>
      </c>
      <c r="U9" s="10" t="str">
        <f>IF($B$6=TRUE(),775.4,"")</f>
        <v/>
      </c>
      <c r="V9" s="10" t="str">
        <f>IF($B$6=TRUE(),836.8,"")</f>
        <v/>
      </c>
      <c r="W9" s="10" t="str">
        <f>IF($B$6=TRUE(),844.6,"")</f>
        <v/>
      </c>
      <c r="X9" s="10" t="str">
        <f>IF($B$6=TRUE(),852.3,"")</f>
        <v/>
      </c>
      <c r="Y9" s="10" t="str">
        <f>IF($B$6=TRUE(),860.1,"")</f>
        <v/>
      </c>
      <c r="Z9" s="10" t="str">
        <f>IF($B$6=TRUE(),945,"")</f>
        <v/>
      </c>
      <c r="AA9" s="10" t="str">
        <f>IF($B$6=TRUE(),945.1,"")</f>
        <v/>
      </c>
      <c r="AB9" s="10" t="str">
        <f>IF($B$6=TRUE(),962.5,"")</f>
        <v/>
      </c>
      <c r="AC9" s="10" t="str">
        <f>IF($B$6=TRUE(),971.1,"")</f>
        <v/>
      </c>
      <c r="AD9" s="10" t="str">
        <f>IF($B$6=TRUE(),1120.3,"")</f>
        <v/>
      </c>
      <c r="AE9" s="10" t="str">
        <f>IF($B$6=TRUE(),1157.5,"")</f>
        <v/>
      </c>
      <c r="AF9" s="10" t="str">
        <f>IF($B$6=TRUE(),1159.5,"")</f>
        <v/>
      </c>
      <c r="AG9" s="10" t="str">
        <f>IF($B$6=TRUE(),1161.4,"")</f>
        <v/>
      </c>
      <c r="AH9" s="10" t="str">
        <f>IF($B$6=TRUE(),1180.8,"")</f>
        <v/>
      </c>
      <c r="AI9" s="10" t="str">
        <f>IF($B$6=TRUE(),1211.8,"")</f>
        <v/>
      </c>
      <c r="AJ9" s="10" t="str">
        <f>IF($B$6=TRUE(),1508.8,"")</f>
        <v/>
      </c>
      <c r="AK9" s="10" t="str">
        <f>IF($B$6=TRUE(),1572.1,"")</f>
        <v/>
      </c>
      <c r="AL9" s="10" t="str">
        <f>IF($B$6=TRUE(),1598.3,"")</f>
        <v/>
      </c>
      <c r="AM9" s="10" t="str">
        <f>IF($B$6=TRUE(),1636.7,"")</f>
        <v/>
      </c>
      <c r="AN9" s="10" t="str">
        <f>IF($B$6=TRUE(),2056.8,"")</f>
        <v/>
      </c>
      <c r="AO9" s="10" t="str">
        <f>IF($B$6=TRUE(),2241.8,"")</f>
        <v/>
      </c>
      <c r="AP9" s="10" t="str">
        <f>IF($B$6=TRUE(),2245.4,"")</f>
        <v/>
      </c>
      <c r="AQ9" s="10" t="str">
        <f>IF($B$6=TRUE(),2253.1,"")</f>
        <v/>
      </c>
      <c r="AR9" s="10" t="str">
        <f>IF($B$6=TRUE(),2467.9,"")</f>
        <v/>
      </c>
      <c r="AS9" s="10" t="str">
        <f>IF($B$6=TRUE(),2584.3,"")</f>
        <v/>
      </c>
      <c r="AT9" s="10" t="str">
        <f>IF($B$6=TRUE(),3432.3,"")</f>
        <v/>
      </c>
      <c r="AU9" s="10" t="str">
        <f>IF($B$6=TRUE(),3543.6,"")</f>
        <v/>
      </c>
      <c r="AV9" s="10" t="str">
        <f>IF($B$6=TRUE(),3545.1,"")</f>
        <v/>
      </c>
      <c r="AW9" s="10" t="str">
        <f>IF($B$6=TRUE(),3550.5,"")</f>
        <v/>
      </c>
      <c r="AX9" s="10" t="str">
        <f>IF($B$6=TRUE(),4466.6,"")</f>
        <v/>
      </c>
      <c r="AY9" s="10" t="str">
        <f>IF($B$6=TRUE(),4527.4,"")</f>
        <v/>
      </c>
      <c r="AZ9" s="10" t="str">
        <f>IF($B$6=TRUE(),5119.6,"")</f>
        <v/>
      </c>
      <c r="BA9" s="10" t="str">
        <f>IF($B$6=TRUE(),5270.3,"")</f>
        <v/>
      </c>
      <c r="BB9" s="10" t="str">
        <f>IF($B$6=TRUE(),5270.3,"")</f>
        <v/>
      </c>
      <c r="BC9" s="10" t="str">
        <f>IF($B$6=TRUE(),5270.3,"")</f>
        <v/>
      </c>
      <c r="BD9" s="10" t="str">
        <f>IF($B$6=TRUE(),6536.2,"")</f>
        <v/>
      </c>
      <c r="BE9" s="10" t="str">
        <f>IF($B$6=TRUE(),6726.6,"")</f>
        <v/>
      </c>
      <c r="BF9" s="10" t="str">
        <f>IF($B$6=TRUE(),6861.5,"")</f>
        <v/>
      </c>
      <c r="BG9" s="10" t="str">
        <f>IF($B$6=TRUE(),7012.8,"")</f>
        <v/>
      </c>
      <c r="BH9" s="10" t="str">
        <f>IF($B$6=TRUE(),8830.5,"")</f>
        <v/>
      </c>
      <c r="BI9" s="10" t="str">
        <f>IF($B$6=TRUE(),9131.9,"")</f>
        <v/>
      </c>
      <c r="BJ9" s="10" t="str">
        <f>IF($B$6=TRUE(),9158.5,"")</f>
        <v/>
      </c>
      <c r="BK9" s="10" t="str">
        <f>IF($B$6=TRUE(),9541.6,"")</f>
        <v/>
      </c>
      <c r="BL9" s="10" t="str">
        <f>IF($B$6=TRUE(),9620.8,"")</f>
        <v/>
      </c>
      <c r="BM9" s="10" t="str">
        <f>IF($B$6=TRUE(),9714.8,"")</f>
        <v/>
      </c>
      <c r="BN9" s="11"/>
      <c r="BO9" s="11"/>
    </row>
    <row r="10" spans="1:67" ht="15" customHeight="1">
      <c r="A10" s="12" t="s">
        <v>69</v>
      </c>
      <c r="B10" s="13" t="str">
        <f>IF($C$6=TRUE(),323.8,"")</f>
        <v/>
      </c>
      <c r="C10" s="13" t="str">
        <f>IF($C$6=TRUE(),331.5,"")</f>
        <v/>
      </c>
      <c r="D10" s="13" t="str">
        <f>IF($C$6=TRUE(),338.7,"")</f>
        <v/>
      </c>
      <c r="E10" s="13" t="str">
        <f>IF($C$6=TRUE(),344.4,"")</f>
        <v/>
      </c>
      <c r="F10" s="13" t="str">
        <f>IF($C$6=TRUE(),381.9,"")</f>
        <v/>
      </c>
      <c r="G10" s="13" t="str">
        <f>IF($C$6=TRUE(),397.6,"")</f>
        <v/>
      </c>
      <c r="H10" s="13" t="str">
        <f>IF($C$6=TRUE(),423,"")</f>
        <v/>
      </c>
      <c r="I10" s="13" t="str">
        <f>IF($C$6=TRUE(),433.5,"")</f>
        <v/>
      </c>
      <c r="J10" s="13" t="str">
        <f>IF($C$6=TRUE(),489.3,"")</f>
        <v/>
      </c>
      <c r="K10" s="13" t="str">
        <f>IF($C$6=TRUE(),497.4,"")</f>
        <v/>
      </c>
      <c r="L10" s="13" t="str">
        <f>IF($C$6=TRUE(),506.4,"")</f>
        <v/>
      </c>
      <c r="M10" s="13" t="str">
        <f>IF($C$6=TRUE(),518.1,"")</f>
        <v/>
      </c>
      <c r="N10" s="13" t="str">
        <f>IF($C$6=TRUE(),599.1,"")</f>
        <v/>
      </c>
      <c r="O10" s="13" t="str">
        <f>IF($C$6=TRUE(),608.3,"")</f>
        <v/>
      </c>
      <c r="P10" s="13" t="str">
        <f>IF($C$6=TRUE(),617,"")</f>
        <v/>
      </c>
      <c r="Q10" s="13" t="str">
        <f>IF($C$6=TRUE(),625,"")</f>
        <v/>
      </c>
      <c r="R10" s="13" t="str">
        <f>IF($C$6=TRUE(),682.2,"")</f>
        <v/>
      </c>
      <c r="S10" s="13" t="str">
        <f>IF($C$6=TRUE(),688,"")</f>
        <v/>
      </c>
      <c r="T10" s="13" t="str">
        <f>IF($C$6=TRUE(),694.4,"")</f>
        <v/>
      </c>
      <c r="U10" s="13" t="str">
        <f>IF($C$6=TRUE(),699,"")</f>
        <v/>
      </c>
      <c r="V10" s="13" t="str">
        <f>IF($C$6=TRUE(),749.4,"")</f>
        <v/>
      </c>
      <c r="W10" s="13" t="str">
        <f>IF($C$6=TRUE(),756.3,"")</f>
        <v/>
      </c>
      <c r="X10" s="13" t="str">
        <f>IF($C$6=TRUE(),762.5,"")</f>
        <v/>
      </c>
      <c r="Y10" s="13" t="str">
        <f>IF($C$6=TRUE(),768.7,"")</f>
        <v/>
      </c>
      <c r="Z10" s="13" t="str">
        <f>IF($C$6=TRUE(),837.8,"")</f>
        <v/>
      </c>
      <c r="AA10" s="13" t="str">
        <f>IF($C$6=TRUE(),841.5,"")</f>
        <v/>
      </c>
      <c r="AB10" s="13" t="str">
        <f>IF($C$6=TRUE(),854.3,"")</f>
        <v/>
      </c>
      <c r="AC10" s="13" t="str">
        <f>IF($C$6=TRUE(),861.2,"")</f>
        <v/>
      </c>
      <c r="AD10" s="13" t="str">
        <f>IF($C$6=TRUE(),986.4,"")</f>
        <v/>
      </c>
      <c r="AE10" s="13" t="str">
        <f>IF($C$6=TRUE(),1031.4,"")</f>
        <v/>
      </c>
      <c r="AF10" s="13" t="str">
        <f>IF($C$6=TRUE(),1044,"")</f>
        <v/>
      </c>
      <c r="AG10" s="13" t="str">
        <f>IF($C$6=TRUE(),1051.6,"")</f>
        <v/>
      </c>
      <c r="AH10" s="13" t="str">
        <f>IF($C$6=TRUE(),1075.6,"")</f>
        <v/>
      </c>
      <c r="AI10" s="13" t="str">
        <f>IF($C$6=TRUE(),1105.4,"")</f>
        <v/>
      </c>
      <c r="AJ10" s="13" t="str">
        <f>IF($C$6=TRUE(),1355,"")</f>
        <v/>
      </c>
      <c r="AK10" s="13" t="str">
        <f>IF($C$6=TRUE(),1416.8,"")</f>
        <v/>
      </c>
      <c r="AL10" s="13" t="str">
        <f>IF($C$6=TRUE(),1457.5,"")</f>
        <v/>
      </c>
      <c r="AM10" s="13" t="str">
        <f>IF($C$6=TRUE(),1498.7,"")</f>
        <v/>
      </c>
      <c r="AN10" s="13" t="str">
        <f>IF($C$6=TRUE(),1852.2,"")</f>
        <v/>
      </c>
      <c r="AO10" s="13" t="str">
        <f>IF($C$6=TRUE(),2948.6,"")</f>
        <v/>
      </c>
      <c r="AP10" s="13" t="str">
        <f>IF($C$6=TRUE(),2083.1,"")</f>
        <v/>
      </c>
      <c r="AQ10" s="13" t="str">
        <f>IF($C$6=TRUE(),2132.1,"")</f>
        <v/>
      </c>
      <c r="AR10" s="13" t="str">
        <f>IF($C$6=TRUE(),2327,"")</f>
        <v/>
      </c>
      <c r="AS10" s="13" t="str">
        <f>IF($C$6=TRUE(),2432.6,"")</f>
        <v/>
      </c>
      <c r="AT10" s="13" t="str">
        <f>IF($C$6=TRUE(),3192.4,"")</f>
        <v/>
      </c>
      <c r="AU10" s="13" t="str">
        <f>IF($C$6=TRUE(),3339.9,"")</f>
        <v/>
      </c>
      <c r="AV10" s="13" t="str">
        <f>IF($C$6=TRUE(),3373.5,"")</f>
        <v/>
      </c>
      <c r="AW10" s="13" t="str">
        <f>IF($C$6=TRUE(),3414.7,"")</f>
        <v/>
      </c>
      <c r="AX10" s="13" t="str">
        <f>IF($C$6=TRUE(),4346.6,"")</f>
        <v/>
      </c>
      <c r="AY10" s="13" t="str">
        <f>IF($C$6=TRUE(),4418.7,"")</f>
        <v/>
      </c>
      <c r="AZ10" s="13" t="str">
        <f>IF($C$6=TRUE(),4791.3,"")</f>
        <v/>
      </c>
      <c r="BA10" s="13" t="str">
        <f>IF($C$6=TRUE(),5027.6,"")</f>
        <v/>
      </c>
      <c r="BB10" s="13" t="str">
        <f>IF($C$6=TRUE(),5029.4,"")</f>
        <v/>
      </c>
      <c r="BC10" s="13" t="str">
        <f>IF($C$6=TRUE(),5056.6,"")</f>
        <v/>
      </c>
      <c r="BD10" s="13" t="str">
        <f>IF($C$6=TRUE(),6198.3,"")</f>
        <v/>
      </c>
      <c r="BE10" s="13" t="str">
        <f>IF($C$6=TRUE(),6412.8,"")</f>
        <v/>
      </c>
      <c r="BF10" s="13" t="str">
        <f>IF($C$6=TRUE(),6620,"")</f>
        <v/>
      </c>
      <c r="BG10" s="13" t="str">
        <f>IF($C$6=TRUE(),6782.4,"")</f>
        <v/>
      </c>
      <c r="BH10" s="13" t="str">
        <f>IF($C$6=TRUE(),8399.3,"")</f>
        <v/>
      </c>
      <c r="BI10" s="13" t="str">
        <f>IF($C$6=TRUE(),8773.1,"")</f>
        <v/>
      </c>
      <c r="BJ10" s="13" t="str">
        <f>IF($C$6=TRUE(),8803.4,"")</f>
        <v/>
      </c>
      <c r="BK10" s="13" t="str">
        <f>IF($C$6=TRUE(),9167,"")</f>
        <v/>
      </c>
      <c r="BL10" s="13" t="str">
        <f>IF($C$6=TRUE(),9271.2,"")</f>
        <v/>
      </c>
      <c r="BM10" s="13" t="str">
        <f>IF($C$6=TRUE(),9379.3,"")</f>
        <v/>
      </c>
      <c r="BN10" s="14"/>
      <c r="BO10" s="14"/>
    </row>
    <row r="11" spans="1:67" ht="15" customHeight="1">
      <c r="A11" s="9" t="s">
        <v>70</v>
      </c>
      <c r="B11" s="10" t="str">
        <f>IF($D$6=TRUE(),368.7,"")</f>
        <v/>
      </c>
      <c r="C11" s="10" t="str">
        <f>IF($D$6=TRUE(),386.9,"")</f>
        <v/>
      </c>
      <c r="D11" s="10" t="str">
        <f>IF($D$6=TRUE(),412.4,"")</f>
        <v/>
      </c>
      <c r="E11" s="10" t="str">
        <f>IF($D$6=TRUE(),436,"")</f>
        <v/>
      </c>
      <c r="F11" s="10" t="str">
        <f>IF($D$6=TRUE(),471,"")</f>
        <v/>
      </c>
      <c r="G11" s="10" t="str">
        <f>IF($D$6=TRUE(),503.2,"")</f>
        <v/>
      </c>
      <c r="H11" s="10" t="str">
        <f>IF($D$6=TRUE(),566.6,"")</f>
        <v/>
      </c>
      <c r="I11" s="10" t="str">
        <f>IF($D$6=TRUE(),597,"")</f>
        <v/>
      </c>
      <c r="J11" s="10" t="str">
        <f>IF($D$6=TRUE(),645,"")</f>
        <v/>
      </c>
      <c r="K11" s="10" t="str">
        <f>IF($D$6=TRUE(),662.9,"")</f>
        <v/>
      </c>
      <c r="L11" s="10" t="str">
        <f>IF($D$6=TRUE(),674.8,"")</f>
        <v/>
      </c>
      <c r="M11" s="10" t="str">
        <f>IF($D$6=TRUE(),686.8,"")</f>
        <v/>
      </c>
      <c r="N11" s="10" t="str">
        <f>IF($D$6=TRUE(),755.7,"")</f>
        <v/>
      </c>
      <c r="O11" s="10" t="str">
        <f>IF($D$6=TRUE(),771.5,"")</f>
        <v/>
      </c>
      <c r="P11" s="10" t="str">
        <f>IF($D$6=TRUE(),776.4,"")</f>
        <v/>
      </c>
      <c r="Q11" s="10" t="str">
        <f>IF($D$6=TRUE(),783.3,"")</f>
        <v/>
      </c>
      <c r="R11" s="10" t="str">
        <f>IF($D$6=TRUE(),835.1,"")</f>
        <v/>
      </c>
      <c r="S11" s="10" t="str">
        <f>IF($D$6=TRUE(),839.1,"")</f>
        <v/>
      </c>
      <c r="T11" s="10" t="str">
        <f>IF($D$6=TRUE(),838.3,"")</f>
        <v/>
      </c>
      <c r="U11" s="10" t="str">
        <f>IF($D$6=TRUE(),838.4,"")</f>
        <v/>
      </c>
      <c r="V11" s="10" t="str">
        <f>IF($D$6=TRUE(),880.4,"")</f>
        <v/>
      </c>
      <c r="W11" s="10" t="str">
        <f>IF($D$6=TRUE(),888.8,"")</f>
        <v/>
      </c>
      <c r="X11" s="10" t="str">
        <f>IF($D$6=TRUE(),897.2,"")</f>
        <v/>
      </c>
      <c r="Y11" s="10" t="str">
        <f>IF($D$6=TRUE(),905.6,"")</f>
        <v/>
      </c>
      <c r="Z11" s="10" t="str">
        <f>IF($D$6=TRUE(),960.1,"")</f>
        <v/>
      </c>
      <c r="AA11" s="10" t="str">
        <f>IF($D$6=TRUE(),960.1,"")</f>
        <v/>
      </c>
      <c r="AB11" s="10" t="str">
        <f>IF($D$6=TRUE(),987.2,"")</f>
        <v/>
      </c>
      <c r="AC11" s="10" t="str">
        <f>IF($D$6=TRUE(),996.3,"")</f>
        <v/>
      </c>
      <c r="AD11" s="10" t="str">
        <f>IF($D$6=TRUE(),1104.1,"")</f>
        <v/>
      </c>
      <c r="AE11" s="10" t="str">
        <f>IF($D$6=TRUE(),1252.9,"")</f>
        <v/>
      </c>
      <c r="AF11" s="10" t="str">
        <f>IF($D$6=TRUE(),1324.3,"")</f>
        <v/>
      </c>
      <c r="AG11" s="10" t="str">
        <f>IF($D$6=TRUE(),1393.6,"")</f>
        <v/>
      </c>
      <c r="AH11" s="10" t="str">
        <f>IF($D$6=TRUE(),1397.4,"")</f>
        <v/>
      </c>
      <c r="AI11" s="10" t="str">
        <f>IF($D$6=TRUE(),1415.7,"")</f>
        <v/>
      </c>
      <c r="AJ11" s="10" t="str">
        <f>IF($D$6=TRUE(),1628.7,"")</f>
        <v/>
      </c>
      <c r="AK11" s="10" t="str">
        <f>IF($D$6=TRUE(),1724.8,"")</f>
        <v/>
      </c>
      <c r="AL11" s="10" t="str">
        <f>IF($D$6=TRUE(),1840.5,"")</f>
        <v/>
      </c>
      <c r="AM11" s="10" t="str">
        <f>IF($D$6=TRUE(),1953.4,"")</f>
        <v/>
      </c>
      <c r="AN11" s="10" t="str">
        <f>IF($D$6=TRUE(),2337,"")</f>
        <v/>
      </c>
      <c r="AO11" s="10" t="str">
        <f>IF($D$6=TRUE(),2742.4,"")</f>
        <v/>
      </c>
      <c r="AP11" s="10" t="str">
        <f>IF($D$6=TRUE(),2864.9,"")</f>
        <v/>
      </c>
      <c r="AQ11" s="10" t="str">
        <f>IF($D$6=TRUE(),3121.6,"")</f>
        <v/>
      </c>
      <c r="AR11" s="10" t="str">
        <f>IF($D$6=TRUE(),3396.7,"")</f>
        <v/>
      </c>
      <c r="AS11" s="10" t="str">
        <f>IF($D$6=TRUE(),3591.7,"")</f>
        <v/>
      </c>
      <c r="AT11" s="10" t="str">
        <f>IF($D$6=TRUE(),4633.9,"")</f>
        <v/>
      </c>
      <c r="AU11" s="10" t="str">
        <f>IF($D$6=TRUE(),5028,"")</f>
        <v/>
      </c>
      <c r="AV11" s="10" t="str">
        <f>IF($D$6=TRUE(),5078.1,"")</f>
        <v/>
      </c>
      <c r="AW11" s="10" t="str">
        <f>IF($D$6=TRUE(),5257,"")</f>
        <v/>
      </c>
      <c r="AX11" s="10" t="str">
        <f>IF($D$6=TRUE(),6534.9,"")</f>
        <v/>
      </c>
      <c r="AY11" s="10" t="str">
        <f>IF($D$6=TRUE(),6744.8,"")</f>
        <v/>
      </c>
      <c r="AZ11" s="10" t="str">
        <f>IF($D$6=TRUE(),7198.1,"")</f>
        <v/>
      </c>
      <c r="BA11" s="10" t="str">
        <f>IF($D$6=TRUE(),7659.8,"")</f>
        <v/>
      </c>
      <c r="BB11" s="10" t="str">
        <f>IF($D$6=TRUE(),7659.8,"")</f>
        <v/>
      </c>
      <c r="BC11" s="10" t="str">
        <f>IF($D$6=TRUE(),7659.8,"")</f>
        <v/>
      </c>
      <c r="BD11" s="10" t="str">
        <f>IF($D$6=TRUE(),9101,"")</f>
        <v/>
      </c>
      <c r="BE11" s="10" t="str">
        <f>IF($D$6=TRUE(),9651.9,"")</f>
        <v/>
      </c>
      <c r="BF11" s="10" t="str">
        <f>IF($D$6=TRUE(),9759.6,"")</f>
        <v/>
      </c>
      <c r="BG11" s="10" t="str">
        <f>IF($D$6=TRUE(),10088.5,"")</f>
        <v/>
      </c>
      <c r="BH11" s="10" t="str">
        <f>IF($D$6=TRUE(),11832,"")</f>
        <v/>
      </c>
      <c r="BI11" s="10" t="str">
        <f>IF($D$6=TRUE(),12353.7,"")</f>
        <v/>
      </c>
      <c r="BJ11" s="10" t="str">
        <f>IF($D$6=TRUE(),12596.1,"")</f>
        <v/>
      </c>
      <c r="BK11" s="10" t="str">
        <f>IF($D$6=TRUE(),13670.1,"")</f>
        <v/>
      </c>
      <c r="BL11" s="10" t="str">
        <f>IF($D$6=TRUE(),13851.4,"")</f>
        <v/>
      </c>
      <c r="BM11" s="10" t="str">
        <f>IF($D$6=TRUE(),14083.1,"")</f>
        <v/>
      </c>
      <c r="BN11" s="11"/>
      <c r="BO11" s="11"/>
    </row>
    <row r="12" spans="1:67" ht="15" customHeight="1">
      <c r="A12" s="12" t="s">
        <v>71</v>
      </c>
      <c r="B12" s="13" t="str">
        <f>IF($E$6=TRUE(),278.9,"")</f>
        <v/>
      </c>
      <c r="C12" s="13" t="str">
        <f>IF($E$6=TRUE(),285.2,"")</f>
        <v/>
      </c>
      <c r="D12" s="13" t="str">
        <f>IF($E$6=TRUE(),287.2,"")</f>
        <v/>
      </c>
      <c r="E12" s="13" t="str">
        <f>IF($E$6=TRUE(),318.4,"")</f>
        <v/>
      </c>
      <c r="F12" s="13" t="str">
        <f>IF($E$6=TRUE(),341.3,"")</f>
        <v/>
      </c>
      <c r="G12" s="13" t="str">
        <f>IF($E$6=TRUE(),355,"")</f>
        <v/>
      </c>
      <c r="H12" s="13" t="str">
        <f>IF($E$6=TRUE(),371.8,"")</f>
        <v/>
      </c>
      <c r="I12" s="13" t="str">
        <f>IF($E$6=TRUE(),385.8,"")</f>
        <v/>
      </c>
      <c r="J12" s="13" t="str">
        <f>IF($E$6=TRUE(),423.7,"")</f>
        <v/>
      </c>
      <c r="K12" s="13" t="str">
        <f>IF($E$6=TRUE(),428.2,"")</f>
        <v/>
      </c>
      <c r="L12" s="13" t="str">
        <f>IF($E$6=TRUE(),445.5,"")</f>
        <v/>
      </c>
      <c r="M12" s="13" t="str">
        <f>IF($E$6=TRUE(),453.7,"")</f>
        <v/>
      </c>
      <c r="N12" s="13" t="str">
        <f>IF($E$6=TRUE(),500.7,"")</f>
        <v/>
      </c>
      <c r="O12" s="13" t="str">
        <f>IF($E$6=TRUE(),518.3,"")</f>
        <v/>
      </c>
      <c r="P12" s="13" t="str">
        <f>IF($E$6=TRUE(),535.4,"")</f>
        <v/>
      </c>
      <c r="Q12" s="13" t="str">
        <f>IF($E$6=TRUE(),537.2,"")</f>
        <v/>
      </c>
      <c r="R12" s="13" t="str">
        <f>IF($E$6=TRUE(),558.8,"")</f>
        <v/>
      </c>
      <c r="S12" s="13" t="str">
        <f>IF($E$6=TRUE(),564.3,"")</f>
        <v/>
      </c>
      <c r="T12" s="13" t="str">
        <f>IF($E$6=TRUE(),575.7,"")</f>
        <v/>
      </c>
      <c r="U12" s="13" t="str">
        <f>IF($E$6=TRUE(),577.5,"")</f>
        <v/>
      </c>
      <c r="V12" s="13" t="str">
        <f>IF($E$6=TRUE(),607.2,"")</f>
        <v/>
      </c>
      <c r="W12" s="13" t="str">
        <f>IF($E$6=TRUE(),612.8,"")</f>
        <v/>
      </c>
      <c r="X12" s="13" t="str">
        <f>IF($E$6=TRUE(),620.4,"")</f>
        <v/>
      </c>
      <c r="Y12" s="13" t="str">
        <f>IF($E$6=TRUE(),624.9,"")</f>
        <v/>
      </c>
      <c r="Z12" s="13" t="str">
        <f>IF($E$6=TRUE(),671.8,"")</f>
        <v/>
      </c>
      <c r="AA12" s="13" t="str">
        <f>IF($E$6=TRUE(),681.9,"")</f>
        <v/>
      </c>
      <c r="AB12" s="13" t="str">
        <f>IF($E$6=TRUE(),690.9,"")</f>
        <v/>
      </c>
      <c r="AC12" s="13" t="str">
        <f>IF($E$6=TRUE(),700.1,"")</f>
        <v/>
      </c>
      <c r="AD12" s="13" t="str">
        <f>IF($E$6=TRUE(),783.7,"")</f>
        <v/>
      </c>
      <c r="AE12" s="13" t="str">
        <f>IF($E$6=TRUE(),831.7,"")</f>
        <v/>
      </c>
      <c r="AF12" s="13" t="str">
        <f>IF($E$6=TRUE(),858,"")</f>
        <v/>
      </c>
      <c r="AG12" s="13" t="str">
        <f>IF($E$6=TRUE(),866.7,"")</f>
        <v/>
      </c>
      <c r="AH12" s="13" t="str">
        <f>IF($E$6=TRUE(),917.6,"")</f>
        <v/>
      </c>
      <c r="AI12" s="13" t="str">
        <f>IF($E$6=TRUE(),945.4,"")</f>
        <v/>
      </c>
      <c r="AJ12" s="13" t="str">
        <f>IF($E$6=TRUE(),1098,"")</f>
        <v/>
      </c>
      <c r="AK12" s="13" t="str">
        <f>IF($E$6=TRUE(),1177.7,"")</f>
        <v/>
      </c>
      <c r="AL12" s="13" t="str">
        <f>IF($E$6=TRUE(),1268.7,"")</f>
        <v/>
      </c>
      <c r="AM12" s="13" t="str">
        <f>IF($E$6=TRUE(),1312.9,"")</f>
        <v/>
      </c>
      <c r="AN12" s="13" t="str">
        <f>IF($E$6=TRUE(),1632.9,"")</f>
        <v/>
      </c>
      <c r="AO12" s="13" t="str">
        <f>IF($E$6=TRUE(),1844.4,"")</f>
        <v/>
      </c>
      <c r="AP12" s="13" t="str">
        <f>IF($E$6=TRUE(),1907.1,"")</f>
        <v/>
      </c>
      <c r="AQ12" s="13" t="str">
        <f>IF($E$6=TRUE(),2019.2,"")</f>
        <v/>
      </c>
      <c r="AR12" s="13" t="str">
        <f>IF($E$6=TRUE(),2228.1,"")</f>
        <v/>
      </c>
      <c r="AS12" s="13" t="str">
        <f>IF($E$6=TRUE(),2327.8,"")</f>
        <v/>
      </c>
      <c r="AT12" s="13" t="str">
        <f>IF($E$6=TRUE(),2975.1,"")</f>
        <v/>
      </c>
      <c r="AU12" s="13" t="str">
        <f>IF($E$6=TRUE(),3256.1,"")</f>
        <v/>
      </c>
      <c r="AV12" s="13" t="str">
        <f>IF($E$6=TRUE(),3362.7,"")</f>
        <v/>
      </c>
      <c r="AW12" s="13" t="str">
        <f>IF($E$6=TRUE(),3469.3,"")</f>
        <v/>
      </c>
      <c r="AX12" s="13" t="str">
        <f>IF($E$6=TRUE(),4096.8,"")</f>
        <v/>
      </c>
      <c r="AY12" s="13" t="str">
        <f>IF($E$6=TRUE(),4301.2,"")</f>
        <v/>
      </c>
      <c r="AZ12" s="13" t="str">
        <f>IF($E$6=TRUE(),4798.2,"")</f>
        <v/>
      </c>
      <c r="BA12" s="13" t="str">
        <f>IF($E$6=TRUE(),5130.5,"")</f>
        <v/>
      </c>
      <c r="BB12" s="13" t="str">
        <f>IF($E$6=TRUE(),5139.8,"")</f>
        <v/>
      </c>
      <c r="BC12" s="13" t="str">
        <f>IF($E$6=TRUE(),5239,"")</f>
        <v/>
      </c>
      <c r="BD12" s="13" t="str">
        <f>IF($E$6=TRUE(),6128.2,"")</f>
        <v/>
      </c>
      <c r="BE12" s="13" t="str">
        <f>IF($E$6=TRUE(),6364.8,"")</f>
        <v/>
      </c>
      <c r="BF12" s="13" t="str">
        <f>IF($E$6=TRUE(),6865.6,"")</f>
        <v/>
      </c>
      <c r="BG12" s="13" t="str">
        <f>IF($E$6=TRUE(),6952.1,"")</f>
        <v/>
      </c>
      <c r="BH12" s="13" t="str">
        <f>IF($E$6=TRUE(),8325.3,"")</f>
        <v/>
      </c>
      <c r="BI12" s="13" t="str">
        <f>IF($E$6=TRUE(),8817.1,"")</f>
        <v/>
      </c>
      <c r="BJ12" s="13" t="str">
        <f>IF($E$6=TRUE(),8980.5,"")</f>
        <v/>
      </c>
      <c r="BK12" s="13" t="str">
        <f>IF($E$6=TRUE(),9238.8,"")</f>
        <v/>
      </c>
      <c r="BL12" s="13" t="str">
        <f>IF($E$6=TRUE(),9508.3,"")</f>
        <v/>
      </c>
      <c r="BM12" s="13" t="str">
        <f>IF($E$6=TRUE(),9656.7,"")</f>
        <v/>
      </c>
      <c r="BN12" s="14"/>
      <c r="BO12" s="14"/>
    </row>
    <row r="13" spans="1:67" ht="15" customHeight="1">
      <c r="A13" s="9" t="s">
        <v>72</v>
      </c>
      <c r="B13" s="10" t="str">
        <f>IF($F$6=TRUE(),268.9,"")</f>
        <v/>
      </c>
      <c r="C13" s="10" t="str">
        <f>IF($F$6=TRUE(),271.1,"")</f>
        <v/>
      </c>
      <c r="D13" s="10" t="str">
        <f>IF($F$6=TRUE(),276.8,"")</f>
        <v/>
      </c>
      <c r="E13" s="10" t="str">
        <f>IF($F$6=TRUE(),288.5,"")</f>
        <v/>
      </c>
      <c r="F13" s="10" t="str">
        <f>IF($F$6=TRUE(),308.8,"")</f>
        <v/>
      </c>
      <c r="G13" s="10" t="str">
        <f>IF($F$6=TRUE(),327.6,"")</f>
        <v/>
      </c>
      <c r="H13" s="10" t="str">
        <f>IF($F$6=TRUE(),342.8,"")</f>
        <v/>
      </c>
      <c r="I13" s="10" t="str">
        <f>IF($F$6=TRUE(),348.4,"")</f>
        <v/>
      </c>
      <c r="J13" s="10" t="str">
        <f>IF($F$6=TRUE(),378.4,"")</f>
        <v/>
      </c>
      <c r="K13" s="10" t="str">
        <f>IF($F$6=TRUE(),382,"")</f>
        <v/>
      </c>
      <c r="L13" s="10" t="str">
        <f>IF($F$6=TRUE(),393.1,"")</f>
        <v/>
      </c>
      <c r="M13" s="10" t="str">
        <f>IF($F$6=TRUE(),395.7,"")</f>
        <v/>
      </c>
      <c r="N13" s="10" t="str">
        <f>IF($F$6=TRUE(),440.9,"")</f>
        <v/>
      </c>
      <c r="O13" s="10" t="str">
        <f>IF($F$6=TRUE(),448.4,"")</f>
        <v/>
      </c>
      <c r="P13" s="10" t="str">
        <f>IF($F$6=TRUE(),452.8,"")</f>
        <v/>
      </c>
      <c r="Q13" s="10" t="str">
        <f>IF($F$6=TRUE(),456.3,"")</f>
        <v/>
      </c>
      <c r="R13" s="10" t="str">
        <f>IF($F$6=TRUE(),479.8,"")</f>
        <v/>
      </c>
      <c r="S13" s="10" t="str">
        <f>IF($F$6=TRUE(),482.1,"")</f>
        <v/>
      </c>
      <c r="T13" s="10" t="str">
        <f>IF($F$6=TRUE(),487.3,"")</f>
        <v/>
      </c>
      <c r="U13" s="10" t="str">
        <f>IF($F$6=TRUE(),489.2,"")</f>
        <v/>
      </c>
      <c r="V13" s="10" t="str">
        <f>IF($F$6=TRUE(),514.9,"")</f>
        <v/>
      </c>
      <c r="W13" s="10" t="str">
        <f>IF($F$6=TRUE(),517.7,"")</f>
        <v/>
      </c>
      <c r="X13" s="10" t="str">
        <f>IF($F$6=TRUE(),525.8,"")</f>
        <v/>
      </c>
      <c r="Y13" s="10" t="str">
        <f>IF($F$6=TRUE(),528.5,"")</f>
        <v/>
      </c>
      <c r="Z13" s="10" t="str">
        <f>IF($F$6=TRUE(),564.6,"")</f>
        <v/>
      </c>
      <c r="AA13" s="10" t="str">
        <f>IF($F$6=TRUE(),567.4,"")</f>
        <v/>
      </c>
      <c r="AB13" s="10" t="str">
        <f>IF($F$6=TRUE(),574.8,"")</f>
        <v/>
      </c>
      <c r="AC13" s="10" t="str">
        <f>IF($F$6=TRUE(),583.4,"")</f>
        <v/>
      </c>
      <c r="AD13" s="10" t="str">
        <f>IF($F$6=TRUE(),668.2,"")</f>
        <v/>
      </c>
      <c r="AE13" s="10" t="str">
        <f>IF($F$6=TRUE(),746.8,"")</f>
        <v/>
      </c>
      <c r="AF13" s="10" t="str">
        <f>IF($F$6=TRUE(),801,"")</f>
        <v/>
      </c>
      <c r="AG13" s="10" t="str">
        <f>IF($F$6=TRUE(),841.3,"")</f>
        <v/>
      </c>
      <c r="AH13" s="10" t="str">
        <f>IF($F$6=TRUE(),839.6,"")</f>
        <v/>
      </c>
      <c r="AI13" s="10" t="str">
        <f>IF($F$6=TRUE(),849.2,"")</f>
        <v/>
      </c>
      <c r="AJ13" s="10" t="str">
        <f>IF($F$6=TRUE(),968.3,"")</f>
        <v/>
      </c>
      <c r="AK13" s="10" t="str">
        <f>IF($F$6=TRUE(),988.2,"")</f>
        <v/>
      </c>
      <c r="AL13" s="10" t="str">
        <f>IF($F$6=TRUE(),998.6,"")</f>
        <v/>
      </c>
      <c r="AM13" s="10" t="str">
        <f>IF($F$6=TRUE(),1031,"")</f>
        <v/>
      </c>
      <c r="AN13" s="10" t="str">
        <f>IF($F$6=TRUE(),1272.2,"")</f>
        <v/>
      </c>
      <c r="AO13" s="10" t="str">
        <f>IF($F$6=TRUE(),1464,"")</f>
        <v/>
      </c>
      <c r="AP13" s="10" t="str">
        <f>IF($F$6=TRUE(),1471,"")</f>
        <v/>
      </c>
      <c r="AQ13" s="10" t="str">
        <f>IF($F$6=TRUE(),1567.7,"")</f>
        <v/>
      </c>
      <c r="AR13" s="10" t="str">
        <f>IF($F$6=TRUE(),1700,"")</f>
        <v/>
      </c>
      <c r="AS13" s="10" t="str">
        <f>IF($F$6=TRUE(),1818.4,"")</f>
        <v/>
      </c>
      <c r="AT13" s="10" t="str">
        <f>IF($F$6=TRUE(),2304.6,"")</f>
        <v/>
      </c>
      <c r="AU13" s="10" t="str">
        <f>IF($F$6=TRUE(),2581.1,"")</f>
        <v/>
      </c>
      <c r="AV13" s="10" t="str">
        <f>IF($F$6=TRUE(),2772.5,"")</f>
        <v/>
      </c>
      <c r="AW13" s="10" t="str">
        <f>IF($F$6=TRUE(),2804.2,"")</f>
        <v/>
      </c>
      <c r="AX13" s="10" t="str">
        <f>IF($F$6=TRUE(),3465.2,"")</f>
        <v/>
      </c>
      <c r="AY13" s="10" t="str">
        <f>IF($F$6=TRUE(),3567.8,"")</f>
        <v/>
      </c>
      <c r="AZ13" s="10" t="str">
        <f>IF($F$6=TRUE(),3629.3,"")</f>
        <v/>
      </c>
      <c r="BA13" s="10" t="str">
        <f>IF($F$6=TRUE(),3939.8,"")</f>
        <v/>
      </c>
      <c r="BB13" s="10" t="str">
        <f>IF($F$6=TRUE(),3947.1,"")</f>
        <v/>
      </c>
      <c r="BC13" s="10" t="str">
        <f>IF($F$6=TRUE(),4058.5,"")</f>
        <v/>
      </c>
      <c r="BD13" s="10" t="str">
        <f>IF($F$6=TRUE(),4568.8,"")</f>
        <v/>
      </c>
      <c r="BE13" s="10" t="str">
        <f>IF($F$6=TRUE(),4663.5,"")</f>
        <v/>
      </c>
      <c r="BF13" s="10" t="str">
        <f>IF($F$6=TRUE(),4789.4,"")</f>
        <v/>
      </c>
      <c r="BG13" s="10" t="str">
        <f>IF($F$6=TRUE(),4852.2,"")</f>
        <v/>
      </c>
      <c r="BH13" s="10" t="str">
        <f>IF($F$6=TRUE(),5655.6,"")</f>
        <v/>
      </c>
      <c r="BI13" s="10" t="str">
        <f>IF($F$6=TRUE(),5893.3,"")</f>
        <v/>
      </c>
      <c r="BJ13" s="10" t="str">
        <f>IF($F$6=TRUE(),6090.7,"")</f>
        <v/>
      </c>
      <c r="BK13" s="10" t="str">
        <f>IF($F$6=TRUE(),6434.8,"")</f>
        <v/>
      </c>
      <c r="BL13" s="10" t="str">
        <f>IF($F$6=TRUE(),6633.8,"")</f>
        <v/>
      </c>
      <c r="BM13" s="10" t="str">
        <f>IF($F$6=TRUE(),6809.7,"")</f>
        <v/>
      </c>
      <c r="BN13" s="11"/>
      <c r="BO13" s="11"/>
    </row>
    <row r="14" spans="1:67" ht="15" customHeight="1">
      <c r="A14" s="12" t="s">
        <v>73</v>
      </c>
      <c r="B14" s="13" t="str">
        <f>IF($G$6=TRUE(),269.6,"")</f>
        <v/>
      </c>
      <c r="C14" s="13" t="str">
        <f>IF($G$6=TRUE(),281.7,"")</f>
        <v/>
      </c>
      <c r="D14" s="13" t="str">
        <f>IF($G$6=TRUE(),296.5,"")</f>
        <v/>
      </c>
      <c r="E14" s="13" t="str">
        <f>IF($G$6=TRUE(),313.9,"")</f>
        <v/>
      </c>
      <c r="F14" s="13" t="str">
        <f>IF($G$6=TRUE(),342.3,"")</f>
        <v/>
      </c>
      <c r="G14" s="13" t="str">
        <f>IF($G$6=TRUE(),381.8,"")</f>
        <v/>
      </c>
      <c r="H14" s="13" t="str">
        <f>IF($G$6=TRUE(),430.6,"")</f>
        <v/>
      </c>
      <c r="I14" s="13" t="str">
        <f>IF($G$6=TRUE(),446.5,"")</f>
        <v/>
      </c>
      <c r="J14" s="13" t="str">
        <f>IF($G$6=TRUE(),464.7,"")</f>
        <v/>
      </c>
      <c r="K14" s="13" t="str">
        <f>IF($G$6=TRUE(),464.6,"")</f>
        <v/>
      </c>
      <c r="L14" s="13" t="str">
        <f>IF($G$6=TRUE(),508.8,"")</f>
        <v/>
      </c>
      <c r="M14" s="13" t="str">
        <f>IF($G$6=TRUE(),510,"")</f>
        <v/>
      </c>
      <c r="N14" s="13" t="str">
        <f>IF($G$6=TRUE(),563.8,"")</f>
        <v/>
      </c>
      <c r="O14" s="13" t="str">
        <f>IF($G$6=TRUE(),559.7,"")</f>
        <v/>
      </c>
      <c r="P14" s="13" t="str">
        <f>IF($G$6=TRUE(),560.2,"")</f>
        <v/>
      </c>
      <c r="Q14" s="13" t="str">
        <f>IF($G$6=TRUE(),540.8,"")</f>
        <v/>
      </c>
      <c r="R14" s="13" t="str">
        <f>IF($G$6=TRUE(),554.5,"")</f>
        <v/>
      </c>
      <c r="S14" s="13" t="str">
        <f>IF($G$6=TRUE(),553.5,"")</f>
        <v/>
      </c>
      <c r="T14" s="13" t="str">
        <f>IF($G$6=TRUE(),538.2,"")</f>
        <v/>
      </c>
      <c r="U14" s="13" t="str">
        <f>IF($G$6=TRUE(),527.6,"")</f>
        <v/>
      </c>
      <c r="V14" s="13" t="str">
        <f>IF($G$6=TRUE(),593.9,"")</f>
        <v/>
      </c>
      <c r="W14" s="13" t="str">
        <f>IF($G$6=TRUE(),595.4,"")</f>
        <v/>
      </c>
      <c r="X14" s="13" t="str">
        <f>IF($G$6=TRUE(),629.8,"")</f>
        <v/>
      </c>
      <c r="Y14" s="13" t="str">
        <f>IF($G$6=TRUE(),637.8,"")</f>
        <v/>
      </c>
      <c r="Z14" s="13" t="str">
        <f>IF($G$6=TRUE(),660.4,"")</f>
        <v/>
      </c>
      <c r="AA14" s="13" t="str">
        <f>IF($G$6=TRUE(),717.2,"")</f>
        <v/>
      </c>
      <c r="AB14" s="13" t="str">
        <f>IF($G$6=TRUE(),742.2,"")</f>
        <v/>
      </c>
      <c r="AC14" s="13" t="str">
        <f>IF($G$6=TRUE(),769.6,"")</f>
        <v/>
      </c>
      <c r="AD14" s="13" t="str">
        <f>IF($G$6=TRUE(),865.2,"")</f>
        <v/>
      </c>
      <c r="AE14" s="13" t="str">
        <f>IF($G$6=TRUE(),960.6,"")</f>
        <v/>
      </c>
      <c r="AF14" s="13" t="str">
        <f>IF($G$6=TRUE(),970.5,"")</f>
        <v/>
      </c>
      <c r="AG14" s="13" t="str">
        <f>IF($G$6=TRUE(),985.9,"")</f>
        <v/>
      </c>
      <c r="AH14" s="13" t="str">
        <f>IF($G$6=TRUE(),1036,"")</f>
        <v/>
      </c>
      <c r="AI14" s="13" t="str">
        <f>IF($G$6=TRUE(),1100,"")</f>
        <v/>
      </c>
      <c r="AJ14" s="13" t="str">
        <f>IF($G$6=TRUE(),1300.5,"")</f>
        <v/>
      </c>
      <c r="AK14" s="13" t="str">
        <f>IF($G$6=TRUE(),1241.9,"")</f>
        <v/>
      </c>
      <c r="AL14" s="13" t="str">
        <f>IF($G$6=TRUE(),1255.3,"")</f>
        <v/>
      </c>
      <c r="AM14" s="13" t="str">
        <f>IF($G$6=TRUE(),1472.8,"")</f>
        <v/>
      </c>
      <c r="AN14" s="13" t="str">
        <f>IF($G$6=TRUE(),1775.2,"")</f>
        <v/>
      </c>
      <c r="AO14" s="13" t="str">
        <f>IF($G$6=TRUE(),2154.7,"")</f>
        <v/>
      </c>
      <c r="AP14" s="13" t="str">
        <f>IF($G$6=TRUE(),2204.8,"")</f>
        <v/>
      </c>
      <c r="AQ14" s="13" t="str">
        <f>IF($G$6=TRUE(),2299,"")</f>
        <v/>
      </c>
      <c r="AR14" s="13" t="str">
        <f>IF($G$6=TRUE(),2715.8,"")</f>
        <v/>
      </c>
      <c r="AS14" s="13" t="str">
        <f>IF($G$6=TRUE(),2842.6,"")</f>
        <v/>
      </c>
      <c r="AT14" s="13" t="str">
        <f>IF($G$6=TRUE(),3210.6,"")</f>
        <v/>
      </c>
      <c r="AU14" s="13" t="str">
        <f>IF($G$6=TRUE(),3560.6,"")</f>
        <v/>
      </c>
      <c r="AV14" s="13" t="str">
        <f>IF($G$6=TRUE(),3524.1,"")</f>
        <v/>
      </c>
      <c r="AW14" s="13" t="str">
        <f>IF($G$6=TRUE(),3426.5,"")</f>
        <v/>
      </c>
      <c r="AX14" s="13" t="str">
        <f>IF($G$6=TRUE(),3910.3,"")</f>
        <v/>
      </c>
      <c r="AY14" s="13" t="str">
        <f>IF($G$6=TRUE(),3693.9,"")</f>
        <v/>
      </c>
      <c r="AZ14" s="13" t="str">
        <f>IF($G$6=TRUE(),4228.6,"")</f>
        <v/>
      </c>
      <c r="BA14" s="13" t="str">
        <f>IF($G$6=TRUE(),4523,"")</f>
        <v/>
      </c>
      <c r="BB14" s="13" t="str">
        <f>IF($G$6=TRUE(),4664.5,"")</f>
        <v/>
      </c>
      <c r="BC14" s="13" t="str">
        <f>IF($G$6=TRUE(),5200.4,"")</f>
        <v/>
      </c>
      <c r="BD14" s="13" t="str">
        <f>IF($G$6=TRUE(),5574.8,"")</f>
        <v/>
      </c>
      <c r="BE14" s="13" t="str">
        <f>IF($G$6=TRUE(),5413.6,"")</f>
        <v/>
      </c>
      <c r="BF14" s="13" t="str">
        <f>IF($G$6=TRUE(),5209.8,"")</f>
        <v/>
      </c>
      <c r="BG14" s="13" t="str">
        <f>IF($G$6=TRUE(),5578.1,"")</f>
        <v/>
      </c>
      <c r="BH14" s="13" t="str">
        <f>IF($G$6=TRUE(),6044.9,"")</f>
        <v/>
      </c>
      <c r="BI14" s="13" t="str">
        <f>IF($G$6=TRUE(),6090.1,"")</f>
        <v/>
      </c>
      <c r="BJ14" s="13" t="str">
        <f>IF($G$6=TRUE(),6877.8,"")</f>
        <v/>
      </c>
      <c r="BK14" s="13" t="str">
        <f>IF($G$6=TRUE(),7123.2,"")</f>
        <v/>
      </c>
      <c r="BL14" s="13" t="str">
        <f>IF($G$6=TRUE(),7184.6,"")</f>
        <v/>
      </c>
      <c r="BM14" s="13" t="str">
        <f>IF($G$6=TRUE(),7273.8,"")</f>
        <v/>
      </c>
      <c r="BN14" s="14"/>
      <c r="BO14" s="14"/>
    </row>
    <row r="15" spans="1:67" ht="15" customHeight="1">
      <c r="A15" s="9" t="s">
        <v>74</v>
      </c>
      <c r="B15" s="10" t="str">
        <f>IF($H$6=TRUE(),273,"")</f>
        <v/>
      </c>
      <c r="C15" s="10" t="str">
        <f>IF($H$6=TRUE(),289.7,"")</f>
        <v/>
      </c>
      <c r="D15" s="10" t="str">
        <f>IF($H$6=TRUE(),300.2,"")</f>
        <v/>
      </c>
      <c r="E15" s="10" t="str">
        <f>IF($H$6=TRUE(),350.4,"")</f>
        <v/>
      </c>
      <c r="F15" s="10" t="str">
        <f>IF($H$6=TRUE(),406.3,"")</f>
        <v/>
      </c>
      <c r="G15" s="10" t="str">
        <f>IF($H$6=TRUE(),507.2,"")</f>
        <v/>
      </c>
      <c r="H15" s="10" t="str">
        <f>IF($H$6=TRUE(),584.2,"")</f>
        <v/>
      </c>
      <c r="I15" s="10" t="str">
        <f>IF($H$6=TRUE(),583.9,"")</f>
        <v/>
      </c>
      <c r="J15" s="10" t="str">
        <f>IF($H$6=TRUE(),586.7,"")</f>
        <v/>
      </c>
      <c r="K15" s="10" t="str">
        <f>IF($H$6=TRUE(),585.5,"")</f>
        <v/>
      </c>
      <c r="L15" s="10" t="str">
        <f>IF($H$6=TRUE(),576.5,"")</f>
        <v/>
      </c>
      <c r="M15" s="10" t="str">
        <f>IF($H$6=TRUE(),540.1,"")</f>
        <v/>
      </c>
      <c r="N15" s="10" t="str">
        <f>IF($H$6=TRUE(),587.1,"")</f>
        <v/>
      </c>
      <c r="O15" s="10" t="str">
        <f>IF($H$6=TRUE(),569.7,"")</f>
        <v/>
      </c>
      <c r="P15" s="10" t="str">
        <f>IF($H$6=TRUE(),566.7,"")</f>
        <v/>
      </c>
      <c r="Q15" s="10" t="str">
        <f>IF($H$6=TRUE(),523.2,"")</f>
        <v/>
      </c>
      <c r="R15" s="10" t="str">
        <f>IF($H$6=TRUE(),492.1,"")</f>
        <v/>
      </c>
      <c r="S15" s="10" t="str">
        <f>IF($H$6=TRUE(),475.4,"")</f>
        <v/>
      </c>
      <c r="T15" s="10" t="str">
        <f>IF($H$6=TRUE(),450.6,"")</f>
        <v/>
      </c>
      <c r="U15" s="10" t="str">
        <f>IF($H$6=TRUE(),417.8,"")</f>
        <v/>
      </c>
      <c r="V15" s="10" t="str">
        <f>IF($H$6=TRUE(),500.9,"")</f>
        <v/>
      </c>
      <c r="W15" s="10" t="str">
        <f>IF($H$6=TRUE(),499.8,"")</f>
        <v/>
      </c>
      <c r="X15" s="10" t="str">
        <f>IF($H$6=TRUE(),530.2,"")</f>
        <v/>
      </c>
      <c r="Y15" s="10" t="str">
        <f>IF($H$6=TRUE(),519.1,"")</f>
        <v/>
      </c>
      <c r="Z15" s="10" t="str">
        <f>IF($H$6=TRUE(),531.7,"")</f>
        <v/>
      </c>
      <c r="AA15" s="10" t="str">
        <f>IF($H$6=TRUE(),655.3,"")</f>
        <v/>
      </c>
      <c r="AB15" s="10" t="str">
        <f>IF($H$6=TRUE(),681.7,"")</f>
        <v/>
      </c>
      <c r="AC15" s="10" t="str">
        <f>IF($H$6=TRUE(),724.9,"")</f>
        <v/>
      </c>
      <c r="AD15" s="10" t="str">
        <f>IF($H$6=TRUE(),886.3,"")</f>
        <v/>
      </c>
      <c r="AE15" s="10" t="str">
        <f>IF($H$6=TRUE(),1039.3,"")</f>
        <v/>
      </c>
      <c r="AF15" s="10" t="str">
        <f>IF($H$6=TRUE(),1317.2,"")</f>
        <v/>
      </c>
      <c r="AG15" s="10" t="str">
        <f>IF($H$6=TRUE(),1366.6,"")</f>
        <v/>
      </c>
      <c r="AH15" s="10" t="str">
        <f>IF($H$6=TRUE(),1267.2,"")</f>
        <v/>
      </c>
      <c r="AI15" s="10" t="str">
        <f>IF($H$6=TRUE(),1246.5,"")</f>
        <v/>
      </c>
      <c r="AJ15" s="10" t="str">
        <f>IF($H$6=TRUE(),1470.6,"")</f>
        <v/>
      </c>
      <c r="AK15" s="10" t="str">
        <f>IF($H$6=TRUE(),1295.6,"")</f>
        <v/>
      </c>
      <c r="AL15" s="10" t="str">
        <f>IF($H$6=TRUE(),1349.6,"")</f>
        <v/>
      </c>
      <c r="AM15" s="10" t="str">
        <f>IF($H$6=TRUE(),1702.4,"")</f>
        <v/>
      </c>
      <c r="AN15" s="10" t="str">
        <f>IF($H$6=TRUE(),1921.6,"")</f>
        <v/>
      </c>
      <c r="AO15" s="10" t="str">
        <f>IF($H$6=TRUE(),2928.5,"")</f>
        <v/>
      </c>
      <c r="AP15" s="10" t="str">
        <f>IF($H$6=TRUE(),3160.6,"")</f>
        <v/>
      </c>
      <c r="AQ15" s="10" t="str">
        <f>IF($H$6=TRUE(),3346.4,"")</f>
        <v/>
      </c>
      <c r="AR15" s="10" t="str">
        <f>IF($H$6=TRUE(),3533.6,"")</f>
        <v/>
      </c>
      <c r="AS15" s="10" t="str">
        <f>IF($H$6=TRUE(),3750.2,"")</f>
        <v/>
      </c>
      <c r="AT15" s="10" t="str">
        <f>IF($H$6=TRUE(),4141.8,"")</f>
        <v/>
      </c>
      <c r="AU15" s="10" t="str">
        <f>IF($H$6=TRUE(),4817.1,"")</f>
        <v/>
      </c>
      <c r="AV15" s="10" t="str">
        <f>IF($H$6=TRUE(),4670,"")</f>
        <v/>
      </c>
      <c r="AW15" s="10" t="str">
        <f>IF($H$6=TRUE(),4583,"")</f>
        <v/>
      </c>
      <c r="AX15" s="10" t="str">
        <f>IF($H$6=TRUE(),5317,"")</f>
        <v/>
      </c>
      <c r="AY15" s="10" t="str">
        <f>IF($H$6=TRUE(),4865,"")</f>
        <v/>
      </c>
      <c r="AZ15" s="10" t="str">
        <f>IF($H$6=TRUE(),4876,"")</f>
        <v/>
      </c>
      <c r="BA15" s="10" t="str">
        <f>IF($H$6=TRUE(),5788.7,"")</f>
        <v/>
      </c>
      <c r="BB15" s="10" t="str">
        <f>IF($H$6=TRUE(),6480.6,"")</f>
        <v/>
      </c>
      <c r="BC15" s="10" t="str">
        <f>IF($H$6=TRUE(),7637.1,"")</f>
        <v/>
      </c>
      <c r="BD15" s="10" t="str">
        <f>IF($H$6=TRUE(),7689.3,"")</f>
        <v/>
      </c>
      <c r="BE15" s="10" t="str">
        <f>IF($H$6=TRUE(),7289.8,"")</f>
        <v/>
      </c>
      <c r="BF15" s="10" t="str">
        <f>IF($H$6=TRUE(),7008.5,"")</f>
        <v/>
      </c>
      <c r="BG15" s="10" t="str">
        <f>IF($H$6=TRUE(),7339.4,"")</f>
        <v/>
      </c>
      <c r="BH15" s="10" t="str">
        <f>IF($H$6=TRUE(),8204.4,"")</f>
        <v/>
      </c>
      <c r="BI15" s="10" t="str">
        <f>IF($H$6=TRUE(),8600.6,"")</f>
        <v/>
      </c>
      <c r="BJ15" s="10" t="str">
        <f>IF($H$6=TRUE(),8879.4,"")</f>
        <v/>
      </c>
      <c r="BK15" s="10" t="str">
        <f>IF($H$6=TRUE(),9325,"")</f>
        <v/>
      </c>
      <c r="BL15" s="10" t="str">
        <f>IF($H$6=TRUE(),9882.3,"")</f>
        <v/>
      </c>
      <c r="BM15" s="10" t="str">
        <f>IF($H$6=TRUE(),10794.8,"")</f>
        <v/>
      </c>
      <c r="BN15" s="11"/>
      <c r="BO15" s="11"/>
    </row>
    <row r="16" spans="1:67" ht="15" customHeight="1">
      <c r="A16" s="12" t="s">
        <v>75</v>
      </c>
      <c r="B16" s="13" t="str">
        <f>IF($I$6=TRUE(),288.1,"")</f>
        <v/>
      </c>
      <c r="C16" s="13" t="str">
        <f>IF($I$6=TRUE(),306,"")</f>
        <v/>
      </c>
      <c r="D16" s="13" t="str">
        <f>IF($I$6=TRUE(),309.8,"")</f>
        <v/>
      </c>
      <c r="E16" s="13" t="str">
        <f>IF($I$6=TRUE(),326.6,"")</f>
        <v/>
      </c>
      <c r="F16" s="13" t="str">
        <f>IF($I$6=TRUE(),345.8,"")</f>
        <v/>
      </c>
      <c r="G16" s="13" t="str">
        <f>IF($I$6=TRUE(),357.3,"")</f>
        <v/>
      </c>
      <c r="H16" s="13" t="str">
        <f>IF($I$6=TRUE(),398.2,"")</f>
        <v/>
      </c>
      <c r="I16" s="13" t="str">
        <f>IF($I$6=TRUE(),406.7,"")</f>
        <v/>
      </c>
      <c r="J16" s="13" t="str">
        <f>IF($I$6=TRUE(),441.9,"")</f>
        <v/>
      </c>
      <c r="K16" s="13" t="str">
        <f>IF($I$6=TRUE(),459.7,"")</f>
        <v/>
      </c>
      <c r="L16" s="13" t="str">
        <f>IF($I$6=TRUE(),472.5,"")</f>
        <v/>
      </c>
      <c r="M16" s="13" t="str">
        <f>IF($I$6=TRUE(),478.7,"")</f>
        <v/>
      </c>
      <c r="N16" s="13" t="str">
        <f>IF($I$6=TRUE(),511.3,"")</f>
        <v/>
      </c>
      <c r="O16" s="13" t="str">
        <f>IF($I$6=TRUE(),559.2,"")</f>
        <v/>
      </c>
      <c r="P16" s="13" t="str">
        <f>IF($I$6=TRUE(),558.3,"")</f>
        <v/>
      </c>
      <c r="Q16" s="13" t="str">
        <f>IF($I$6=TRUE(),560.5,"")</f>
        <v/>
      </c>
      <c r="R16" s="13" t="str">
        <f>IF($I$6=TRUE(),577.8,"")</f>
        <v/>
      </c>
      <c r="S16" s="13" t="str">
        <f>IF($I$6=TRUE(),580.5,"")</f>
        <v/>
      </c>
      <c r="T16" s="13" t="str">
        <f>IF($I$6=TRUE(),576.8,"")</f>
        <v/>
      </c>
      <c r="U16" s="13" t="str">
        <f>IF($I$6=TRUE(),578.1,"")</f>
        <v/>
      </c>
      <c r="V16" s="13" t="str">
        <f>IF($I$6=TRUE(),595.9,"")</f>
        <v/>
      </c>
      <c r="W16" s="13" t="str">
        <f>IF($I$6=TRUE(),603.7,"")</f>
        <v/>
      </c>
      <c r="X16" s="13" t="str">
        <f>IF($I$6=TRUE(),629.6,"")</f>
        <v/>
      </c>
      <c r="Y16" s="13" t="str">
        <f>IF($I$6=TRUE(),636.9,"")</f>
        <v/>
      </c>
      <c r="Z16" s="13" t="str">
        <f>IF($I$6=TRUE(),685.2,"")</f>
        <v/>
      </c>
      <c r="AA16" s="13" t="str">
        <f>IF($I$6=TRUE(),693.6,"")</f>
        <v/>
      </c>
      <c r="AB16" s="13" t="str">
        <f>IF($I$6=TRUE(),700.4,"")</f>
        <v/>
      </c>
      <c r="AC16" s="13" t="str">
        <f>IF($I$6=TRUE(),705.5,"")</f>
        <v/>
      </c>
      <c r="AD16" s="13" t="str">
        <f>IF($I$6=TRUE(),790.2,"")</f>
        <v/>
      </c>
      <c r="AE16" s="13" t="str">
        <f>IF($I$6=TRUE(),825.4,"")</f>
        <v/>
      </c>
      <c r="AF16" s="13" t="str">
        <f>IF($I$6=TRUE(),868.4,"")</f>
        <v/>
      </c>
      <c r="AG16" s="13" t="str">
        <f>IF($I$6=TRUE(),874.6,"")</f>
        <v/>
      </c>
      <c r="AH16" s="13" t="str">
        <f>IF($I$6=TRUE(),906.6,"")</f>
        <v/>
      </c>
      <c r="AI16" s="13" t="str">
        <f>IF($I$6=TRUE(),925.8,"")</f>
        <v/>
      </c>
      <c r="AJ16" s="13" t="str">
        <f>IF($I$6=TRUE(),1055.5,"")</f>
        <v/>
      </c>
      <c r="AK16" s="13" t="str">
        <f>IF($I$6=TRUE(),1189.6,"")</f>
        <v/>
      </c>
      <c r="AL16" s="13" t="str">
        <f>IF($I$6=TRUE(),1247.8,"")</f>
        <v/>
      </c>
      <c r="AM16" s="13" t="str">
        <f>IF($I$6=TRUE(),1281.7,"")</f>
        <v/>
      </c>
      <c r="AN16" s="13" t="str">
        <f>IF($I$6=TRUE(),1500.5,"")</f>
        <v/>
      </c>
      <c r="AO16" s="13" t="str">
        <f>IF($I$6=TRUE(),1707.2,"")</f>
        <v/>
      </c>
      <c r="AP16" s="13" t="str">
        <f>IF($I$6=TRUE(),1751.4,"")</f>
        <v/>
      </c>
      <c r="AQ16" s="13" t="str">
        <f>IF($I$6=TRUE(),1840.6,"")</f>
        <v/>
      </c>
      <c r="AR16" s="13" t="str">
        <f>IF($I$6=TRUE(),2043.4,"")</f>
        <v/>
      </c>
      <c r="AS16" s="13" t="str">
        <f>IF($I$6=TRUE(),2111.1,"")</f>
        <v/>
      </c>
      <c r="AT16" s="13" t="str">
        <f>IF($I$6=TRUE(),2713.5,"")</f>
        <v/>
      </c>
      <c r="AU16" s="13" t="str">
        <f>IF($I$6=TRUE(),3199.6,"")</f>
        <v/>
      </c>
      <c r="AV16" s="13" t="str">
        <f>IF($I$6=TRUE(),3121.7,"")</f>
        <v/>
      </c>
      <c r="AW16" s="13" t="str">
        <f>IF($I$6=TRUE(),3217.4,"")</f>
        <v/>
      </c>
      <c r="AX16" s="13" t="str">
        <f>IF($I$6=TRUE(),3835.8,"")</f>
        <v/>
      </c>
      <c r="AY16" s="13" t="str">
        <f>IF($I$6=TRUE(),4120.2,"")</f>
        <v/>
      </c>
      <c r="AZ16" s="13" t="str">
        <f>IF($I$6=TRUE(),4353.6,"")</f>
        <v/>
      </c>
      <c r="BA16" s="13" t="str">
        <f>IF($I$6=TRUE(),4547.8,"")</f>
        <v/>
      </c>
      <c r="BB16" s="13" t="str">
        <f>IF($I$6=TRUE(),4569.9,"")</f>
        <v/>
      </c>
      <c r="BC16" s="13" t="str">
        <f>IF($I$6=TRUE(),4914.9,"")</f>
        <v/>
      </c>
      <c r="BD16" s="13" t="str">
        <f>IF($I$6=TRUE(),5709.3,"")</f>
        <v/>
      </c>
      <c r="BE16" s="13" t="str">
        <f>IF($I$6=TRUE(),6115,"")</f>
        <v/>
      </c>
      <c r="BF16" s="13" t="str">
        <f>IF($I$6=TRUE(),6441.6,"")</f>
        <v/>
      </c>
      <c r="BG16" s="13" t="str">
        <f>IF($I$6=TRUE(),6530.6,"")</f>
        <v/>
      </c>
      <c r="BH16" s="13" t="str">
        <f>IF($I$6=TRUE(),7718.9,"")</f>
        <v/>
      </c>
      <c r="BI16" s="13" t="str">
        <f>IF($I$6=TRUE(),8689.4,"")</f>
        <v/>
      </c>
      <c r="BJ16" s="13" t="str">
        <f>IF($I$6=TRUE(),8781.5,"")</f>
        <v/>
      </c>
      <c r="BK16" s="13" t="str">
        <f>IF($I$6=TRUE(),9147.8,"")</f>
        <v/>
      </c>
      <c r="BL16" s="13" t="str">
        <f>IF($I$6=TRUE(),9450.2,"")</f>
        <v/>
      </c>
      <c r="BM16" s="13" t="str">
        <f>IF($I$6=TRUE(),9787.4,"")</f>
        <v/>
      </c>
      <c r="BN16" s="14"/>
      <c r="BO16" s="14"/>
    </row>
    <row r="17" spans="1:67" ht="15" customHeight="1">
      <c r="A17" s="9" t="s">
        <v>76</v>
      </c>
      <c r="B17" s="10">
        <f>IF($J$6=TRUE(),275.2,"")</f>
        <v>275.2</v>
      </c>
      <c r="C17" s="10">
        <f>IF($J$6=TRUE(),302.3,"")</f>
        <v>302.3</v>
      </c>
      <c r="D17" s="10">
        <f>IF($J$6=TRUE(),318.9,"")</f>
        <v>318.89999999999998</v>
      </c>
      <c r="E17" s="10">
        <f>IF($J$6=TRUE(),335.8,"")</f>
        <v>335.8</v>
      </c>
      <c r="F17" s="10">
        <f>IF($J$6=TRUE(),352.4,"")</f>
        <v>352.4</v>
      </c>
      <c r="G17" s="10">
        <f>IF($J$6=TRUE(),404.1,"")</f>
        <v>404.1</v>
      </c>
      <c r="H17" s="10">
        <f>IF($J$6=TRUE(),498.1,"")</f>
        <v>498.1</v>
      </c>
      <c r="I17" s="10">
        <f>IF($J$6=TRUE(),546.8,"")</f>
        <v>546.79999999999995</v>
      </c>
      <c r="J17" s="10">
        <f>IF($J$6=TRUE(),577,"")</f>
        <v>577</v>
      </c>
      <c r="K17" s="10">
        <f>IF($J$6=TRUE(),572.4,"")</f>
        <v>572.4</v>
      </c>
      <c r="L17" s="10">
        <f>IF($J$6=TRUE(),568.3,"")</f>
        <v>568.29999999999995</v>
      </c>
      <c r="M17" s="10">
        <f>IF($J$6=TRUE(),561.7,"")</f>
        <v>561.70000000000005</v>
      </c>
      <c r="N17" s="10">
        <f>IF($J$6=TRUE(),594.8,"")</f>
        <v>594.79999999999995</v>
      </c>
      <c r="O17" s="10">
        <f>IF($J$6=TRUE(),588.4,"")</f>
        <v>588.4</v>
      </c>
      <c r="P17" s="10">
        <f>IF($J$6=TRUE(),588.6,"")</f>
        <v>588.6</v>
      </c>
      <c r="Q17" s="10">
        <f>IF($J$6=TRUE(),580.1,"")</f>
        <v>580.1</v>
      </c>
      <c r="R17" s="10">
        <f>IF($J$6=TRUE(),583.8,"")</f>
        <v>583.79999999999995</v>
      </c>
      <c r="S17" s="10">
        <f>IF($J$6=TRUE(),570,"")</f>
        <v>570</v>
      </c>
      <c r="T17" s="10">
        <f>IF($J$6=TRUE(),550.5,"")</f>
        <v>550.5</v>
      </c>
      <c r="U17" s="10">
        <f>IF($J$6=TRUE(),528.9,"")</f>
        <v>528.9</v>
      </c>
      <c r="V17" s="10">
        <f>IF($J$6=TRUE(),580.7,"")</f>
        <v>580.70000000000005</v>
      </c>
      <c r="W17" s="10">
        <f>IF($J$6=TRUE(),584,"")</f>
        <v>584</v>
      </c>
      <c r="X17" s="10">
        <f>IF($J$6=TRUE(),626.9,"")</f>
        <v>626.9</v>
      </c>
      <c r="Y17" s="10">
        <f>IF($J$6=TRUE(),656,"")</f>
        <v>656</v>
      </c>
      <c r="Z17" s="10">
        <f>IF($J$6=TRUE(),671.3,"")</f>
        <v>671.3</v>
      </c>
      <c r="AA17" s="10">
        <f>IF($J$6=TRUE(),725.8,"")</f>
        <v>725.8</v>
      </c>
      <c r="AB17" s="10">
        <f>IF($J$6=TRUE(),761.7,"")</f>
        <v>761.7</v>
      </c>
      <c r="AC17" s="10">
        <f>IF($J$6=TRUE(),794.1,"")</f>
        <v>794.1</v>
      </c>
      <c r="AD17" s="10">
        <f>IF($J$6=TRUE(),901.1,"")</f>
        <v>901.1</v>
      </c>
      <c r="AE17" s="10">
        <f>IF($J$6=TRUE(),1009.4,"")</f>
        <v>1009.4</v>
      </c>
      <c r="AF17" s="10">
        <f>IF($J$6=TRUE(),1187.4,"")</f>
        <v>1187.4000000000001</v>
      </c>
      <c r="AG17" s="10">
        <f>IF($J$6=TRUE(),1220.4,"")</f>
        <v>1220.4000000000001</v>
      </c>
      <c r="AH17" s="10">
        <f>IF($J$6=TRUE(),1239.2,"")</f>
        <v>1239.2</v>
      </c>
      <c r="AI17" s="10">
        <f>IF($J$6=TRUE(),1309.8,"")</f>
        <v>1309.8</v>
      </c>
      <c r="AJ17" s="10">
        <f>IF($J$6=TRUE(),1578.8,"")</f>
        <v>1578.8</v>
      </c>
      <c r="AK17" s="10">
        <f>IF($J$6=TRUE(),1502.9,"")</f>
        <v>1502.9</v>
      </c>
      <c r="AL17" s="10">
        <f>IF($J$6=TRUE(),1568.6,"")</f>
        <v>1568.6</v>
      </c>
      <c r="AM17" s="10">
        <f>IF($J$6=TRUE(),1994.5,"")</f>
        <v>1994.5</v>
      </c>
      <c r="AN17" s="10">
        <f>IF($J$6=TRUE(),2274.9,"")</f>
        <v>2274.9</v>
      </c>
      <c r="AO17" s="10">
        <f>IF($J$6=TRUE(),3027.9,"")</f>
        <v>3027.9</v>
      </c>
      <c r="AP17" s="10">
        <f>IF($J$6=TRUE(),3328.4,"")</f>
        <v>3328.4</v>
      </c>
      <c r="AQ17" s="10">
        <f>IF($J$6=TRUE(),3443.4,"")</f>
        <v>3443.4</v>
      </c>
      <c r="AR17" s="10">
        <f>IF($J$6=TRUE(),3812.4,"")</f>
        <v>3812.4</v>
      </c>
      <c r="AS17" s="10">
        <f>IF($J$6=TRUE(),4157.5,"")</f>
        <v>4157.5</v>
      </c>
      <c r="AT17" s="10">
        <f>IF($J$6=TRUE(),4941.6,"")</f>
        <v>4941.6000000000004</v>
      </c>
      <c r="AU17" s="10">
        <f>IF($J$6=TRUE(),5521.4,"")</f>
        <v>5521.4</v>
      </c>
      <c r="AV17" s="10">
        <f>IF($J$6=TRUE(),5466,"")</f>
        <v>5466</v>
      </c>
      <c r="AW17" s="10">
        <f>IF($J$6=TRUE(),5272.7,"")</f>
        <v>5272.7</v>
      </c>
      <c r="AX17" s="10">
        <f>IF($J$6=TRUE(),5873.6,"")</f>
        <v>5873.6</v>
      </c>
      <c r="AY17" s="10">
        <f>IF($J$6=TRUE(),5567,"")</f>
        <v>5567</v>
      </c>
      <c r="AZ17" s="10">
        <f>IF($J$6=TRUE(),5780.9,"")</f>
        <v>5780.9</v>
      </c>
      <c r="BA17" s="10">
        <f>IF($J$6=TRUE(),6830.6,"")</f>
        <v>6830.6</v>
      </c>
      <c r="BB17" s="10">
        <f>IF($J$6=TRUE(),7459.1,"")</f>
        <v>7459.1</v>
      </c>
      <c r="BC17" s="10">
        <f>IF($J$6=TRUE(),8307.6,"")</f>
        <v>8307.6</v>
      </c>
      <c r="BD17" s="10">
        <f>IF($J$6=TRUE(),8243.1,"")</f>
        <v>8243.1</v>
      </c>
      <c r="BE17" s="10">
        <f>IF($J$6=TRUE(),7906.6,"")</f>
        <v>7906.6</v>
      </c>
      <c r="BF17" s="10">
        <f>IF($J$6=TRUE(),7044,"")</f>
        <v>7044</v>
      </c>
      <c r="BG17" s="10">
        <f>IF($J$6=TRUE(),8776.9,"")</f>
        <v>8776.9</v>
      </c>
      <c r="BH17" s="10">
        <f>IF($J$6=TRUE(),9495.9,"")</f>
        <v>9495.9</v>
      </c>
      <c r="BI17" s="10">
        <f>IF($J$6=TRUE(),9370.1,"")</f>
        <v>9370.1</v>
      </c>
      <c r="BJ17" s="10">
        <f>IF($J$6=TRUE(),9586.9,"")</f>
        <v>9586.9</v>
      </c>
      <c r="BK17" s="10">
        <f>IF($J$6=TRUE(),10281.4,"")</f>
        <v>10281.4</v>
      </c>
      <c r="BL17" s="10">
        <f>IF($J$6=TRUE(),10873.3,"")</f>
        <v>10873.3</v>
      </c>
      <c r="BM17" s="10">
        <f>IF($J$6=TRUE(),11741.1,"")</f>
        <v>11741.1</v>
      </c>
      <c r="BN17" s="11"/>
      <c r="BO17" s="11"/>
    </row>
    <row r="18" spans="1:67" ht="15" customHeight="1">
      <c r="A18" s="12" t="s">
        <v>77</v>
      </c>
      <c r="B18" s="13" t="str">
        <f>IF($K$6=TRUE(),277.2,"")</f>
        <v/>
      </c>
      <c r="C18" s="13" t="str">
        <f>IF($K$6=TRUE(),289.6,"")</f>
        <v/>
      </c>
      <c r="D18" s="13" t="str">
        <f>IF($K$6=TRUE(),293.3,"")</f>
        <v/>
      </c>
      <c r="E18" s="13" t="str">
        <f>IF($K$6=TRUE(),303.2,"")</f>
        <v/>
      </c>
      <c r="F18" s="13" t="str">
        <f>IF($K$6=TRUE(),323.6,"")</f>
        <v/>
      </c>
      <c r="G18" s="13" t="str">
        <f>IF($K$6=TRUE(),339.7,"")</f>
        <v/>
      </c>
      <c r="H18" s="13" t="str">
        <f>IF($K$6=TRUE(),368.5,"")</f>
        <v/>
      </c>
      <c r="I18" s="13" t="str">
        <f>IF($K$6=TRUE(),376,"")</f>
        <v/>
      </c>
      <c r="J18" s="13" t="str">
        <f>IF($K$6=TRUE(),408.8,"")</f>
        <v/>
      </c>
      <c r="K18" s="13" t="str">
        <f>IF($K$6=TRUE(),420.5,"")</f>
        <v/>
      </c>
      <c r="L18" s="13" t="str">
        <f>IF($K$6=TRUE(),430.7,"")</f>
        <v/>
      </c>
      <c r="M18" s="13" t="str">
        <f>IF($K$6=TRUE(),436.5,"")</f>
        <v/>
      </c>
      <c r="N18" s="13" t="str">
        <f>IF($K$6=TRUE(),474.3,"")</f>
        <v/>
      </c>
      <c r="O18" s="13" t="str">
        <f>IF($K$6=TRUE(),503.2,"")</f>
        <v/>
      </c>
      <c r="P18" s="13" t="str">
        <f>IF($K$6=TRUE(),508.6,"")</f>
        <v/>
      </c>
      <c r="Q18" s="13" t="str">
        <f>IF($K$6=TRUE(),511.9,"")</f>
        <v/>
      </c>
      <c r="R18" s="13" t="str">
        <f>IF($K$6=TRUE(),536.5,"")</f>
        <v/>
      </c>
      <c r="S18" s="13" t="str">
        <f>IF($K$6=TRUE(),539.5,"")</f>
        <v/>
      </c>
      <c r="T18" s="13" t="str">
        <f>IF($K$6=TRUE(),539.6,"")</f>
        <v/>
      </c>
      <c r="U18" s="13" t="str">
        <f>IF($K$6=TRUE(),541.5,"")</f>
        <v/>
      </c>
      <c r="V18" s="13" t="str">
        <f>IF($K$6=TRUE(),565,"")</f>
        <v/>
      </c>
      <c r="W18" s="13" t="str">
        <f>IF($K$6=TRUE(),571,"")</f>
        <v/>
      </c>
      <c r="X18" s="13" t="str">
        <f>IF($K$6=TRUE(),587.4,"")</f>
        <v/>
      </c>
      <c r="Y18" s="13" t="str">
        <f>IF($K$6=TRUE(),593,"")</f>
        <v/>
      </c>
      <c r="Z18" s="13" t="str">
        <f>IF($K$6=TRUE(),639.5,"")</f>
        <v/>
      </c>
      <c r="AA18" s="13" t="str">
        <f>IF($K$6=TRUE(),646,"")</f>
        <v/>
      </c>
      <c r="AB18" s="13" t="str">
        <f>IF($K$6=TRUE(),652.6,"")</f>
        <v/>
      </c>
      <c r="AC18" s="13" t="str">
        <f>IF($K$6=TRUE(),657,"")</f>
        <v/>
      </c>
      <c r="AD18" s="13" t="str">
        <f>IF($K$6=TRUE(),743.3,"")</f>
        <v/>
      </c>
      <c r="AE18" s="13" t="str">
        <f>IF($K$6=TRUE(),782.1,"")</f>
        <v/>
      </c>
      <c r="AF18" s="13" t="str">
        <f>IF($K$6=TRUE(),813.6,"")</f>
        <v/>
      </c>
      <c r="AG18" s="13" t="str">
        <f>IF($K$6=TRUE(),822.6,"")</f>
        <v/>
      </c>
      <c r="AH18" s="13" t="str">
        <f>IF($K$6=TRUE(),845,"")</f>
        <v/>
      </c>
      <c r="AI18" s="13" t="str">
        <f>IF($K$6=TRUE(),862.4,"")</f>
        <v/>
      </c>
      <c r="AJ18" s="13" t="str">
        <f>IF($K$6=TRUE(),999.7,"")</f>
        <v/>
      </c>
      <c r="AK18" s="13" t="str">
        <f>IF($K$6=TRUE(),1096.8,"")</f>
        <v/>
      </c>
      <c r="AL18" s="13" t="str">
        <f>IF($K$6=TRUE(),1140.4,"")</f>
        <v/>
      </c>
      <c r="AM18" s="13" t="str">
        <f>IF($K$6=TRUE(),1174.2,"")</f>
        <v/>
      </c>
      <c r="AN18" s="13" t="str">
        <f>IF($K$6=TRUE(),1399.4,"")</f>
        <v/>
      </c>
      <c r="AO18" s="13" t="str">
        <f>IF($K$6=TRUE(),1578.7,"")</f>
        <v/>
      </c>
      <c r="AP18" s="13" t="str">
        <f>IF($K$6=TRUE(),1609,"")</f>
        <v/>
      </c>
      <c r="AQ18" s="13" t="str">
        <f>IF($K$6=TRUE(),1669.5,"")</f>
        <v/>
      </c>
      <c r="AR18" s="13" t="str">
        <f>IF($K$6=TRUE(),1895.4,"")</f>
        <v/>
      </c>
      <c r="AS18" s="13" t="str">
        <f>IF($K$6=TRUE(),1967.9,"")</f>
        <v/>
      </c>
      <c r="AT18" s="13" t="str">
        <f>IF($K$6=TRUE(),2526.2,"")</f>
        <v/>
      </c>
      <c r="AU18" s="13" t="str">
        <f>IF($K$6=TRUE(),2868.5,"")</f>
        <v/>
      </c>
      <c r="AV18" s="13" t="str">
        <f>IF($K$6=TRUE(),2867.9,"")</f>
        <v/>
      </c>
      <c r="AW18" s="13" t="str">
        <f>IF($K$6=TRUE(),2935.7,"")</f>
        <v/>
      </c>
      <c r="AX18" s="13" t="str">
        <f>IF($K$6=TRUE(),3555.8,"")</f>
        <v/>
      </c>
      <c r="AY18" s="13" t="str">
        <f>IF($K$6=TRUE(),3744.8,"")</f>
        <v/>
      </c>
      <c r="AZ18" s="13" t="str">
        <f>IF($K$6=TRUE(),4020.7,"")</f>
        <v/>
      </c>
      <c r="BA18" s="13" t="str">
        <f>IF($K$6=TRUE(),4225.5,"")</f>
        <v/>
      </c>
      <c r="BB18" s="13" t="str">
        <f>IF($K$6=TRUE(),4241.2,"")</f>
        <v/>
      </c>
      <c r="BC18" s="13" t="str">
        <f>IF($K$6=TRUE(),4464,"")</f>
        <v/>
      </c>
      <c r="BD18" s="13" t="str">
        <f>IF($K$6=TRUE(),5217.3,"")</f>
        <v/>
      </c>
      <c r="BE18" s="13" t="str">
        <f>IF($K$6=TRUE(),5516.6,"")</f>
        <v/>
      </c>
      <c r="BF18" s="13" t="str">
        <f>IF($K$6=TRUE(),5764,"")</f>
        <v/>
      </c>
      <c r="BG18" s="13" t="str">
        <f>IF($K$6=TRUE(),5851.4,"")</f>
        <v/>
      </c>
      <c r="BH18" s="13" t="str">
        <f>IF($K$6=TRUE(),6978.2,"")</f>
        <v/>
      </c>
      <c r="BI18" s="13" t="str">
        <f>IF($K$6=TRUE(),7610.3,"")</f>
        <v/>
      </c>
      <c r="BJ18" s="13" t="str">
        <f>IF($K$6=TRUE(),7704.5,"")</f>
        <v/>
      </c>
      <c r="BK18" s="13" t="str">
        <f>IF($K$6=TRUE(),8050.7,"")</f>
        <v/>
      </c>
      <c r="BL18" s="13" t="str">
        <f>IF($K$6=TRUE(),8282,"")</f>
        <v/>
      </c>
      <c r="BM18" s="13" t="str">
        <f>IF($K$6=TRUE(),8507.9,"")</f>
        <v/>
      </c>
      <c r="BN18" s="14"/>
      <c r="BO18" s="14"/>
    </row>
    <row r="19" spans="1:67" ht="15" customHeight="1">
      <c r="A19" s="9" t="s">
        <v>78</v>
      </c>
      <c r="B19" s="10" t="str">
        <f>IF($L$6=TRUE(),410.6,"")</f>
        <v/>
      </c>
      <c r="C19" s="10" t="str">
        <f>IF($L$6=TRUE(),425.3,"")</f>
        <v/>
      </c>
      <c r="D19" s="10" t="str">
        <f>IF($L$6=TRUE(),418.7,"")</f>
        <v/>
      </c>
      <c r="E19" s="10" t="str">
        <f>IF($L$6=TRUE(),426.3,"")</f>
        <v/>
      </c>
      <c r="F19" s="10" t="str">
        <f>IF($L$6=TRUE(),451.8,"")</f>
        <v/>
      </c>
      <c r="G19" s="10" t="str">
        <f>IF($L$6=TRUE(),479.8,"")</f>
        <v/>
      </c>
      <c r="H19" s="10" t="str">
        <f>IF($L$6=TRUE(),510.5,"")</f>
        <v/>
      </c>
      <c r="I19" s="10" t="str">
        <f>IF($L$6=TRUE(),525.5,"")</f>
        <v/>
      </c>
      <c r="J19" s="10" t="str">
        <f>IF($L$6=TRUE(),571.2,"")</f>
        <v/>
      </c>
      <c r="K19" s="10" t="str">
        <f>IF($L$6=TRUE(),578.3,"")</f>
        <v/>
      </c>
      <c r="L19" s="10" t="str">
        <f>IF($L$6=TRUE(),580,"")</f>
        <v/>
      </c>
      <c r="M19" s="10" t="str">
        <f>IF($L$6=TRUE(),587.6,"")</f>
        <v/>
      </c>
      <c r="N19" s="10" t="str">
        <f>IF($L$6=TRUE(),640.4,"")</f>
        <v/>
      </c>
      <c r="O19" s="10" t="str">
        <f>IF($L$6=TRUE(),658.9,"")</f>
        <v/>
      </c>
      <c r="P19" s="10" t="str">
        <f>IF($L$6=TRUE(),661.8,"")</f>
        <v/>
      </c>
      <c r="Q19" s="10" t="str">
        <f>IF($L$6=TRUE(),663.2,"")</f>
        <v/>
      </c>
      <c r="R19" s="10" t="str">
        <f>IF($L$6=TRUE(),682.7,"")</f>
        <v/>
      </c>
      <c r="S19" s="10" t="str">
        <f>IF($L$6=TRUE(),688.1,"")</f>
        <v/>
      </c>
      <c r="T19" s="10" t="str">
        <f>IF($L$6=TRUE(),695.3,"")</f>
        <v/>
      </c>
      <c r="U19" s="10" t="str">
        <f>IF($L$6=TRUE(),696.9,"")</f>
        <v/>
      </c>
      <c r="V19" s="10" t="str">
        <f>IF($L$6=TRUE(),723.3,"")</f>
        <v/>
      </c>
      <c r="W19" s="10" t="str">
        <f>IF($L$6=TRUE(),729,"")</f>
        <v/>
      </c>
      <c r="X19" s="10" t="str">
        <f>IF($L$6=TRUE(),736.1,"")</f>
        <v/>
      </c>
      <c r="Y19" s="10" t="str">
        <f>IF($L$6=TRUE(),738.6,"")</f>
        <v/>
      </c>
      <c r="Z19" s="10" t="str">
        <f>IF($L$6=TRUE(),783.3,"")</f>
        <v/>
      </c>
      <c r="AA19" s="10" t="str">
        <f>IF($L$6=TRUE(),793,"")</f>
        <v/>
      </c>
      <c r="AB19" s="10" t="str">
        <f>IF($L$6=TRUE(),797.3,"")</f>
        <v/>
      </c>
      <c r="AC19" s="10" t="str">
        <f>IF($L$6=TRUE(),801,"")</f>
        <v/>
      </c>
      <c r="AD19" s="10" t="str">
        <f>IF($L$6=TRUE(),898.8,"")</f>
        <v/>
      </c>
      <c r="AE19" s="10" t="str">
        <f>IF($L$6=TRUE(),949.7,"")</f>
        <v/>
      </c>
      <c r="AF19" s="10" t="str">
        <f>IF($L$6=TRUE(),964,"")</f>
        <v/>
      </c>
      <c r="AG19" s="10" t="str">
        <f>IF($L$6=TRUE(),969.9,"")</f>
        <v/>
      </c>
      <c r="AH19" s="10" t="str">
        <f>IF($L$6=TRUE(),1007.3,"")</f>
        <v/>
      </c>
      <c r="AI19" s="10" t="str">
        <f>IF($L$6=TRUE(),1033.9,"")</f>
        <v/>
      </c>
      <c r="AJ19" s="10" t="str">
        <f>IF($L$6=TRUE(),1201.1,"")</f>
        <v/>
      </c>
      <c r="AK19" s="10" t="str">
        <f>IF($L$6=TRUE(),1288.7,"")</f>
        <v/>
      </c>
      <c r="AL19" s="10" t="str">
        <f>IF($L$6=TRUE(),1403.4,"")</f>
        <v/>
      </c>
      <c r="AM19" s="10" t="str">
        <f>IF($L$6=TRUE(),1446.4,"")</f>
        <v/>
      </c>
      <c r="AN19" s="10" t="str">
        <f>IF($L$6=TRUE(),1763.3,"")</f>
        <v/>
      </c>
      <c r="AO19" s="10" t="str">
        <f>IF($L$6=TRUE(),2001.9,"")</f>
        <v/>
      </c>
      <c r="AP19" s="10" t="str">
        <f>IF($L$6=TRUE(),2028,"")</f>
        <v/>
      </c>
      <c r="AQ19" s="10" t="str">
        <f>IF($L$6=TRUE(),2123,"")</f>
        <v/>
      </c>
      <c r="AR19" s="10" t="str">
        <f>IF($L$6=TRUE(),2429.5,"")</f>
        <v/>
      </c>
      <c r="AS19" s="10" t="str">
        <f>IF($L$6=TRUE(),2522.8,"")</f>
        <v/>
      </c>
      <c r="AT19" s="10" t="str">
        <f>IF($L$6=TRUE(),3177.4,"")</f>
        <v/>
      </c>
      <c r="AU19" s="10" t="str">
        <f>IF($L$6=TRUE(),3434.5,"")</f>
        <v/>
      </c>
      <c r="AV19" s="10" t="str">
        <f>IF($L$6=TRUE(),3549.9,"")</f>
        <v/>
      </c>
      <c r="AW19" s="10" t="str">
        <f>IF($L$6=TRUE(),3655.8,"")</f>
        <v/>
      </c>
      <c r="AX19" s="10" t="str">
        <f>IF($L$6=TRUE(),4492.2,"")</f>
        <v/>
      </c>
      <c r="AY19" s="10" t="str">
        <f>IF($L$6=TRUE(),4651.3,"")</f>
        <v/>
      </c>
      <c r="AZ19" s="10" t="str">
        <f>IF($L$6=TRUE(),5166.4,"")</f>
        <v/>
      </c>
      <c r="BA19" s="10" t="str">
        <f>IF($L$6=TRUE(),5416.6,"")</f>
        <v/>
      </c>
      <c r="BB19" s="10" t="str">
        <f>IF($L$6=TRUE(),5426.7,"")</f>
        <v/>
      </c>
      <c r="BC19" s="10" t="str">
        <f>IF($L$6=TRUE(),5666.3,"")</f>
        <v/>
      </c>
      <c r="BD19" s="10" t="str">
        <f>IF($L$6=TRUE(),6528,"")</f>
        <v/>
      </c>
      <c r="BE19" s="10" t="str">
        <f>IF($L$6=TRUE(),6852.2,"")</f>
        <v/>
      </c>
      <c r="BF19" s="10" t="str">
        <f>IF($L$6=TRUE(),7413.1,"")</f>
        <v/>
      </c>
      <c r="BG19" s="10" t="str">
        <f>IF($L$6=TRUE(),7482.3,"")</f>
        <v/>
      </c>
      <c r="BH19" s="10" t="str">
        <f>IF($L$6=TRUE(),8858.4,"")</f>
        <v/>
      </c>
      <c r="BI19" s="10" t="str">
        <f>IF($L$6=TRUE(),9323.5,"")</f>
        <v/>
      </c>
      <c r="BJ19" s="10" t="str">
        <f>IF($L$6=TRUE(),9644,"")</f>
        <v/>
      </c>
      <c r="BK19" s="10" t="str">
        <f>IF($L$6=TRUE(),9919.4,"")</f>
        <v/>
      </c>
      <c r="BL19" s="10" t="str">
        <f>IF($L$6=TRUE(),10224.5,"")</f>
        <v/>
      </c>
      <c r="BM19" s="10" t="str">
        <f>IF($L$6=TRUE(),10350.4,"")</f>
        <v/>
      </c>
      <c r="BN19" s="11"/>
      <c r="BO19" s="11"/>
    </row>
    <row r="20" spans="1:67" ht="15" customHeight="1">
      <c r="A20" s="12" t="s">
        <v>79</v>
      </c>
      <c r="B20" s="13" t="str">
        <f>IF($M$6=TRUE(),339.7,"")</f>
        <v/>
      </c>
      <c r="C20" s="13" t="str">
        <f>IF($M$6=TRUE(),346.3,"")</f>
        <v/>
      </c>
      <c r="D20" s="13" t="str">
        <f>IF($M$6=TRUE(),350.8,"")</f>
        <v/>
      </c>
      <c r="E20" s="13" t="str">
        <f>IF($M$6=TRUE(),364.4,"")</f>
        <v/>
      </c>
      <c r="F20" s="13" t="str">
        <f>IF($M$6=TRUE(),381.9,"")</f>
        <v/>
      </c>
      <c r="G20" s="13" t="str">
        <f>IF($M$6=TRUE(),400.4,"")</f>
        <v/>
      </c>
      <c r="H20" s="13" t="str">
        <f>IF($M$6=TRUE(),444.7,"")</f>
        <v/>
      </c>
      <c r="I20" s="13" t="str">
        <f>IF($M$6=TRUE(),458.7,"")</f>
        <v/>
      </c>
      <c r="J20" s="13" t="str">
        <f>IF($M$6=TRUE(),514.4,"")</f>
        <v/>
      </c>
      <c r="K20" s="13" t="str">
        <f>IF($M$6=TRUE(),522,"")</f>
        <v/>
      </c>
      <c r="L20" s="13" t="str">
        <f>IF($M$6=TRUE(),531.7,"")</f>
        <v/>
      </c>
      <c r="M20" s="13" t="str">
        <f>IF($M$6=TRUE(),537,"")</f>
        <v/>
      </c>
      <c r="N20" s="13" t="str">
        <f>IF($M$6=TRUE(),601.1,"")</f>
        <v/>
      </c>
      <c r="O20" s="13" t="str">
        <f>IF($M$6=TRUE(),615.8,"")</f>
        <v/>
      </c>
      <c r="P20" s="13" t="str">
        <f>IF($M$6=TRUE(),620.2,"")</f>
        <v/>
      </c>
      <c r="Q20" s="13" t="str">
        <f>IF($M$6=TRUE(),623.2,"")</f>
        <v/>
      </c>
      <c r="R20" s="13" t="str">
        <f>IF($M$6=TRUE(),646.2,"")</f>
        <v/>
      </c>
      <c r="S20" s="13" t="str">
        <f>IF($M$6=TRUE(),649.4,"")</f>
        <v/>
      </c>
      <c r="T20" s="13" t="str">
        <f>IF($M$6=TRUE(),651.3,"")</f>
        <v/>
      </c>
      <c r="U20" s="13" t="str">
        <f>IF($M$6=TRUE(),653.1,"")</f>
        <v/>
      </c>
      <c r="V20" s="13" t="str">
        <f>IF($M$6=TRUE(),676.3,"")</f>
        <v/>
      </c>
      <c r="W20" s="13" t="str">
        <f>IF($M$6=TRUE(),680.9,"")</f>
        <v/>
      </c>
      <c r="X20" s="13" t="str">
        <f>IF($M$6=TRUE(),702.1,"")</f>
        <v/>
      </c>
      <c r="Y20" s="13" t="str">
        <f>IF($M$6=TRUE(),705.7,"")</f>
        <v/>
      </c>
      <c r="Z20" s="13" t="str">
        <f>IF($M$6=TRUE(),759.3,"")</f>
        <v/>
      </c>
      <c r="AA20" s="13" t="str">
        <f>IF($M$6=TRUE(),766.8,"")</f>
        <v/>
      </c>
      <c r="AB20" s="13" t="str">
        <f>IF($M$6=TRUE(),783.7,"")</f>
        <v/>
      </c>
      <c r="AC20" s="13" t="str">
        <f>IF($M$6=TRUE(),791.8,"")</f>
        <v/>
      </c>
      <c r="AD20" s="13" t="str">
        <f>IF($M$6=TRUE(),884.2,"")</f>
        <v/>
      </c>
      <c r="AE20" s="13" t="str">
        <f>IF($M$6=TRUE(),951.4,"")</f>
        <v/>
      </c>
      <c r="AF20" s="13" t="str">
        <f>IF($M$6=TRUE(),971.6,"")</f>
        <v/>
      </c>
      <c r="AG20" s="13" t="str">
        <f>IF($M$6=TRUE(),984.8,"")</f>
        <v/>
      </c>
      <c r="AH20" s="13" t="str">
        <f>IF($M$6=TRUE(),1012,"")</f>
        <v/>
      </c>
      <c r="AI20" s="13" t="str">
        <f>IF($M$6=TRUE(),1031.2,"")</f>
        <v/>
      </c>
      <c r="AJ20" s="13" t="str">
        <f>IF($M$6=TRUE(),1170.2,"")</f>
        <v/>
      </c>
      <c r="AK20" s="13" t="str">
        <f>IF($M$6=TRUE(),1276.5,"")</f>
        <v/>
      </c>
      <c r="AL20" s="13" t="str">
        <f>IF($M$6=TRUE(),1315.1,"")</f>
        <v/>
      </c>
      <c r="AM20" s="13" t="str">
        <f>IF($M$6=TRUE(),1345.6,"")</f>
        <v/>
      </c>
      <c r="AN20" s="13" t="str">
        <f>IF($M$6=TRUE(),1574.1,"")</f>
        <v/>
      </c>
      <c r="AO20" s="13" t="str">
        <f>IF($M$6=TRUE(),1770.9,"")</f>
        <v/>
      </c>
      <c r="AP20" s="13" t="str">
        <f>IF($M$6=TRUE(),1800.4,"")</f>
        <v/>
      </c>
      <c r="AQ20" s="13" t="str">
        <f>IF($M$6=TRUE(),1923.8,"")</f>
        <v/>
      </c>
      <c r="AR20" s="13" t="str">
        <f>IF($M$6=TRUE(),2160.3,"")</f>
        <v/>
      </c>
      <c r="AS20" s="13" t="str">
        <f>IF($M$6=TRUE(),2240.2,"")</f>
        <v/>
      </c>
      <c r="AT20" s="13" t="str">
        <f>IF($M$6=TRUE(),2896.7,"")</f>
        <v/>
      </c>
      <c r="AU20" s="13" t="str">
        <f>IF($M$6=TRUE(),3119.3,"")</f>
        <v/>
      </c>
      <c r="AV20" s="13" t="str">
        <f>IF($M$6=TRUE(),3265.7,"")</f>
        <v/>
      </c>
      <c r="AW20" s="13" t="str">
        <f>IF($M$6=TRUE(),3346.9,"")</f>
        <v/>
      </c>
      <c r="AX20" s="13" t="str">
        <f>IF($M$6=TRUE(),4140.1,"")</f>
        <v/>
      </c>
      <c r="AY20" s="13" t="str">
        <f>IF($M$6=TRUE(),4327.9,"")</f>
        <v/>
      </c>
      <c r="AZ20" s="13" t="str">
        <f>IF($M$6=TRUE(),4587.3,"")</f>
        <v/>
      </c>
      <c r="BA20" s="13" t="str">
        <f>IF($M$6=TRUE(),4804.7,"")</f>
        <v/>
      </c>
      <c r="BB20" s="13" t="str">
        <f>IF($M$6=TRUE(),4821.4,"")</f>
        <v/>
      </c>
      <c r="BC20" s="13" t="str">
        <f>IF($M$6=TRUE(),5036,"")</f>
        <v/>
      </c>
      <c r="BD20" s="13" t="str">
        <f>IF($M$6=TRUE(),5941.9,"")</f>
        <v/>
      </c>
      <c r="BE20" s="13" t="str">
        <f>IF($M$6=TRUE(),6245.4,"")</f>
        <v/>
      </c>
      <c r="BF20" s="13" t="str">
        <f>IF($M$6=TRUE(),6552.5,"")</f>
        <v/>
      </c>
      <c r="BG20" s="13" t="str">
        <f>IF($M$6=TRUE(),6645.8,"")</f>
        <v/>
      </c>
      <c r="BH20" s="13" t="str">
        <f>IF($M$6=TRUE(),8035.6,"")</f>
        <v/>
      </c>
      <c r="BI20" s="13" t="str">
        <f>IF($M$6=TRUE(),8777.4,"")</f>
        <v/>
      </c>
      <c r="BJ20" s="13" t="str">
        <f>IF($M$6=TRUE(),8835.7,"")</f>
        <v/>
      </c>
      <c r="BK20" s="13" t="str">
        <f>IF($M$6=TRUE(),9066.4,"")</f>
        <v/>
      </c>
      <c r="BL20" s="13" t="str">
        <f>IF($M$6=TRUE(),9198.9,"")</f>
        <v/>
      </c>
      <c r="BM20" s="13" t="str">
        <f>IF($M$6=TRUE(),9314.7,"")</f>
        <v/>
      </c>
      <c r="BN20" s="14"/>
      <c r="BO20" s="14"/>
    </row>
    <row r="21" spans="1:67" ht="15" customHeight="1">
      <c r="A21" s="9" t="s">
        <v>80</v>
      </c>
      <c r="B21" s="10" t="str">
        <f>IF($N$6=TRUE(),332.8,"")</f>
        <v/>
      </c>
      <c r="C21" s="10" t="str">
        <f>IF($N$6=TRUE(),347,"")</f>
        <v/>
      </c>
      <c r="D21" s="10" t="str">
        <f>IF($N$6=TRUE(),363.7,"")</f>
        <v/>
      </c>
      <c r="E21" s="10" t="str">
        <f>IF($N$6=TRUE(),377.6,"")</f>
        <v/>
      </c>
      <c r="F21" s="10" t="str">
        <f>IF($N$6=TRUE(),423.6,"")</f>
        <v/>
      </c>
      <c r="G21" s="10" t="str">
        <f>IF($N$6=TRUE(),443.8,"")</f>
        <v/>
      </c>
      <c r="H21" s="10" t="str">
        <f>IF($N$6=TRUE(),482.6,"")</f>
        <v/>
      </c>
      <c r="I21" s="10" t="str">
        <f>IF($N$6=TRUE(),622.7,"")</f>
        <v/>
      </c>
      <c r="J21" s="10" t="str">
        <f>IF($N$6=TRUE(),675.9,"")</f>
        <v/>
      </c>
      <c r="K21" s="10" t="str">
        <f>IF($N$6=TRUE(),676.7,"")</f>
        <v/>
      </c>
      <c r="L21" s="10" t="str">
        <f>IF($N$6=TRUE(),693.4,"")</f>
        <v/>
      </c>
      <c r="M21" s="10" t="str">
        <f>IF($N$6=TRUE(),691.2,"")</f>
        <v/>
      </c>
      <c r="N21" s="10" t="str">
        <f>IF($N$6=TRUE(),735.8,"")</f>
        <v/>
      </c>
      <c r="O21" s="10" t="str">
        <f>IF($N$6=TRUE(),744.9,"")</f>
        <v/>
      </c>
      <c r="P21" s="10" t="str">
        <f>IF($N$6=TRUE(),714.2,"")</f>
        <v/>
      </c>
      <c r="Q21" s="10" t="str">
        <f>IF($N$6=TRUE(),685.2,"")</f>
        <v/>
      </c>
      <c r="R21" s="10" t="str">
        <f>IF($N$6=TRUE(),700.3,"")</f>
        <v/>
      </c>
      <c r="S21" s="10" t="str">
        <f>IF($N$6=TRUE(),698.4,"")</f>
        <v/>
      </c>
      <c r="T21" s="10" t="str">
        <f>IF($N$6=TRUE(),661.2,"")</f>
        <v/>
      </c>
      <c r="U21" s="10" t="str">
        <f>IF($N$6=TRUE(),619.5,"")</f>
        <v/>
      </c>
      <c r="V21" s="10" t="str">
        <f>IF($N$6=TRUE(),637.6,"")</f>
        <v/>
      </c>
      <c r="W21" s="10" t="str">
        <f>IF($N$6=TRUE(),651.2,"")</f>
        <v/>
      </c>
      <c r="X21" s="10" t="str">
        <f>IF($N$6=TRUE(),690.2,"")</f>
        <v/>
      </c>
      <c r="Y21" s="10" t="str">
        <f>IF($N$6=TRUE(),715.7,"")</f>
        <v/>
      </c>
      <c r="Z21" s="10" t="str">
        <f>IF($N$6=TRUE(),729.3,"")</f>
        <v/>
      </c>
      <c r="AA21" s="10" t="str">
        <f>IF($N$6=TRUE(),732.4,"")</f>
        <v/>
      </c>
      <c r="AB21" s="10" t="str">
        <f>IF($N$6=TRUE(),763.7,"")</f>
        <v/>
      </c>
      <c r="AC21" s="10" t="str">
        <f>IF($N$6=TRUE(),811.3,"")</f>
        <v/>
      </c>
      <c r="AD21" s="10" t="str">
        <f>IF($N$6=TRUE(),939.3,"")</f>
        <v/>
      </c>
      <c r="AE21" s="10" t="str">
        <f>IF($N$6=TRUE(),1144.3,"")</f>
        <v/>
      </c>
      <c r="AF21" s="10" t="str">
        <f>IF($N$6=TRUE(),1182.7,"")</f>
        <v/>
      </c>
      <c r="AG21" s="10" t="str">
        <f>IF($N$6=TRUE(),1358.7,"")</f>
        <v/>
      </c>
      <c r="AH21" s="10" t="str">
        <f>IF($N$6=TRUE(),1390.4,"")</f>
        <v/>
      </c>
      <c r="AI21" s="10" t="str">
        <f>IF($N$6=TRUE(),1302.4,"")</f>
        <v/>
      </c>
      <c r="AJ21" s="10" t="str">
        <f>IF($N$6=TRUE(),1474.3,"")</f>
        <v/>
      </c>
      <c r="AK21" s="10" t="str">
        <f>IF($N$6=TRUE(),1367,"")</f>
        <v/>
      </c>
      <c r="AL21" s="10" t="str">
        <f>IF($N$6=TRUE(),1346.3,"")</f>
        <v/>
      </c>
      <c r="AM21" s="10" t="str">
        <f>IF($N$6=TRUE(),1372,"")</f>
        <v/>
      </c>
      <c r="AN21" s="10" t="str">
        <f>IF($N$6=TRUE(),1486.7,"")</f>
        <v/>
      </c>
      <c r="AO21" s="10" t="str">
        <f>IF($N$6=TRUE(),1747.4,"")</f>
        <v/>
      </c>
      <c r="AP21" s="10" t="str">
        <f>IF($N$6=TRUE(),1810.7,"")</f>
        <v/>
      </c>
      <c r="AQ21" s="10" t="str">
        <f>IF($N$6=TRUE(),1937.4,"")</f>
        <v/>
      </c>
      <c r="AR21" s="10" t="str">
        <f>IF($N$6=TRUE(),2185.3,"")</f>
        <v/>
      </c>
      <c r="AS21" s="10" t="str">
        <f>IF($N$6=TRUE(),2516.3,"")</f>
        <v/>
      </c>
      <c r="AT21" s="10" t="str">
        <f>IF($N$6=TRUE(),2835.9,"")</f>
        <v/>
      </c>
      <c r="AU21" s="10" t="str">
        <f>IF($N$6=TRUE(),2994.8,"")</f>
        <v/>
      </c>
      <c r="AV21" s="10" t="str">
        <f>IF($N$6=TRUE(),3338.4,"")</f>
        <v/>
      </c>
      <c r="AW21" s="10" t="str">
        <f>IF($N$6=TRUE(),3614.1,"")</f>
        <v/>
      </c>
      <c r="AX21" s="10" t="str">
        <f>IF($N$6=TRUE(),4303.1,"")</f>
        <v/>
      </c>
      <c r="AY21" s="10" t="str">
        <f>IF($N$6=TRUE(),4154.6,"")</f>
        <v/>
      </c>
      <c r="AZ21" s="10" t="str">
        <f>IF($N$6=TRUE(),4412.5,"")</f>
        <v/>
      </c>
      <c r="BA21" s="10" t="str">
        <f>IF($N$6=TRUE(),4830,"")</f>
        <v/>
      </c>
      <c r="BB21" s="10" t="str">
        <f>IF($N$6=TRUE(),5068.6,"")</f>
        <v/>
      </c>
      <c r="BC21" s="10" t="str">
        <f>IF($N$6=TRUE(),5599.4,"")</f>
        <v/>
      </c>
      <c r="BD21" s="10" t="str">
        <f>IF($N$6=TRUE(),6280,"")</f>
        <v/>
      </c>
      <c r="BE21" s="10" t="str">
        <f>IF($N$6=TRUE(),6379.2,"")</f>
        <v/>
      </c>
      <c r="BF21" s="10" t="str">
        <f>IF($N$6=TRUE(),6265.9,"")</f>
        <v/>
      </c>
      <c r="BG21" s="10" t="str">
        <f>IF($N$6=TRUE(),6154.8,"")</f>
        <v/>
      </c>
      <c r="BH21" s="10" t="str">
        <f>IF($N$6=TRUE(),7080.2,"")</f>
        <v/>
      </c>
      <c r="BI21" s="10" t="str">
        <f>IF($N$6=TRUE(),7431.4,"")</f>
        <v/>
      </c>
      <c r="BJ21" s="10" t="str">
        <f>IF($N$6=TRUE(),8252.9,"")</f>
        <v/>
      </c>
      <c r="BK21" s="10" t="str">
        <f>IF($N$6=TRUE(),8896.3,"")</f>
        <v/>
      </c>
      <c r="BL21" s="10" t="str">
        <f>IF($N$6=TRUE(),9417.4,"")</f>
        <v/>
      </c>
      <c r="BM21" s="10" t="str">
        <f>IF($N$6=TRUE(),9686.7,"")</f>
        <v/>
      </c>
      <c r="BN21" s="11"/>
      <c r="BO21" s="11"/>
    </row>
    <row r="22" spans="1:67" ht="15" customHeight="1">
      <c r="A22" s="12" t="s">
        <v>81</v>
      </c>
      <c r="B22" s="13" t="str">
        <f>IF($O$6=TRUE(),199.5,"")</f>
        <v/>
      </c>
      <c r="C22" s="13" t="str">
        <f>IF($O$6=TRUE(),200.1,"")</f>
        <v/>
      </c>
      <c r="D22" s="13" t="str">
        <f>IF($O$6=TRUE(),208.3,"")</f>
        <v/>
      </c>
      <c r="E22" s="13" t="str">
        <f>IF($O$6=TRUE(),225.1,"")</f>
        <v/>
      </c>
      <c r="F22" s="13" t="str">
        <f>IF($O$6=TRUE(),243.4,"")</f>
        <v/>
      </c>
      <c r="G22" s="13" t="str">
        <f>IF($O$6=TRUE(),258.6,"")</f>
        <v/>
      </c>
      <c r="H22" s="13" t="str">
        <f>IF($O$6=TRUE(),299.8,"")</f>
        <v/>
      </c>
      <c r="I22" s="13" t="str">
        <f>IF($O$6=TRUE(),305.8,"")</f>
        <v/>
      </c>
      <c r="J22" s="13" t="str">
        <f>IF($O$6=TRUE(),311.6,"")</f>
        <v/>
      </c>
      <c r="K22" s="13" t="str">
        <f>IF($O$6=TRUE(),312.6,"")</f>
        <v/>
      </c>
      <c r="L22" s="13" t="str">
        <f>IF($O$6=TRUE(),317.4,"")</f>
        <v/>
      </c>
      <c r="M22" s="13" t="str">
        <f>IF($O$6=TRUE(),318.5,"")</f>
        <v/>
      </c>
      <c r="N22" s="13" t="str">
        <f>IF($O$6=TRUE(),328.4,"")</f>
        <v/>
      </c>
      <c r="O22" s="13" t="str">
        <f>IF($O$6=TRUE(),329.7,"")</f>
        <v/>
      </c>
      <c r="P22" s="13" t="str">
        <f>IF($O$6=TRUE(),333.8,"")</f>
        <v/>
      </c>
      <c r="Q22" s="13" t="str">
        <f>IF($O$6=TRUE(),334.4,"")</f>
        <v/>
      </c>
      <c r="R22" s="13" t="str">
        <f>IF($O$6=TRUE(),335.8,"")</f>
        <v/>
      </c>
      <c r="S22" s="13" t="str">
        <f>IF($O$6=TRUE(),336.7,"")</f>
        <v/>
      </c>
      <c r="T22" s="13" t="str">
        <f>IF($O$6=TRUE(),343.3,"")</f>
        <v/>
      </c>
      <c r="U22" s="13" t="str">
        <f>IF($O$6=TRUE(),343.8,"")</f>
        <v/>
      </c>
      <c r="V22" s="13" t="str">
        <f>IF($O$6=TRUE(),349,"")</f>
        <v/>
      </c>
      <c r="W22" s="13" t="str">
        <f>IF($O$6=TRUE(),349.9,"")</f>
        <v/>
      </c>
      <c r="X22" s="13" t="str">
        <f>IF($O$6=TRUE(),368.4,"")</f>
        <v/>
      </c>
      <c r="Y22" s="13" t="str">
        <f>IF($O$6=TRUE(),368.9,"")</f>
        <v/>
      </c>
      <c r="Z22" s="13" t="str">
        <f>IF($O$6=TRUE(),383.6,"")</f>
        <v/>
      </c>
      <c r="AA22" s="13" t="str">
        <f>IF($O$6=TRUE(),384.9,"")</f>
        <v/>
      </c>
      <c r="AB22" s="13" t="str">
        <f>IF($O$6=TRUE(),398.1,"")</f>
        <v/>
      </c>
      <c r="AC22" s="13" t="str">
        <f>IF($O$6=TRUE(),398.9,"")</f>
        <v/>
      </c>
      <c r="AD22" s="13" t="str">
        <f>IF($O$6=TRUE(),432.8,"")</f>
        <v/>
      </c>
      <c r="AE22" s="13" t="str">
        <f>IF($O$6=TRUE(),478.9,"")</f>
        <v/>
      </c>
      <c r="AF22" s="13" t="str">
        <f>IF($O$6=TRUE(),572.3,"")</f>
        <v/>
      </c>
      <c r="AG22" s="13" t="str">
        <f>IF($O$6=TRUE(),580.6,"")</f>
        <v/>
      </c>
      <c r="AH22" s="13" t="str">
        <f>IF($O$6=TRUE(),623.7,"")</f>
        <v/>
      </c>
      <c r="AI22" s="13" t="str">
        <f>IF($O$6=TRUE(),636.4,"")</f>
        <v/>
      </c>
      <c r="AJ22" s="13" t="str">
        <f>IF($O$6=TRUE(),738.2,"")</f>
        <v/>
      </c>
      <c r="AK22" s="13" t="str">
        <f>IF($O$6=TRUE(),818.3,"")</f>
        <v/>
      </c>
      <c r="AL22" s="13" t="str">
        <f>IF($O$6=TRUE(),841.8,"")</f>
        <v/>
      </c>
      <c r="AM22" s="13" t="str">
        <f>IF($O$6=TRUE(),848.5,"")</f>
        <v/>
      </c>
      <c r="AN22" s="13" t="str">
        <f>IF($O$6=TRUE(),908.5,"")</f>
        <v/>
      </c>
      <c r="AO22" s="13" t="str">
        <f>IF($O$6=TRUE(),1062.8,"")</f>
        <v/>
      </c>
      <c r="AP22" s="13" t="str">
        <f>IF($O$6=TRUE(),1098.4,"")</f>
        <v/>
      </c>
      <c r="AQ22" s="13" t="str">
        <f>IF($O$6=TRUE(),1191.9,"")</f>
        <v/>
      </c>
      <c r="AR22" s="13" t="str">
        <f>IF($O$6=TRUE(),1416.1,"")</f>
        <v/>
      </c>
      <c r="AS22" s="13" t="str">
        <f>IF($O$6=TRUE(),1521.3,"")</f>
        <v/>
      </c>
      <c r="AT22" s="13" t="str">
        <f>IF($O$6=TRUE(),1897.7,"")</f>
        <v/>
      </c>
      <c r="AU22" s="13" t="str">
        <f>IF($O$6=TRUE(),2001.7,"")</f>
        <v/>
      </c>
      <c r="AV22" s="13" t="str">
        <f>IF($O$6=TRUE(),2160.2,"")</f>
        <v/>
      </c>
      <c r="AW22" s="13" t="str">
        <f>IF($O$6=TRUE(),2199.1,"")</f>
        <v/>
      </c>
      <c r="AX22" s="13" t="str">
        <f>IF($O$6=TRUE(),2706.8,"")</f>
        <v/>
      </c>
      <c r="AY22" s="13" t="str">
        <f>IF($O$6=TRUE(),2864.4,"")</f>
        <v/>
      </c>
      <c r="AZ22" s="13" t="str">
        <f>IF($O$6=TRUE(),3482.9,"")</f>
        <v/>
      </c>
      <c r="BA22" s="13" t="str">
        <f>IF($O$6=TRUE(),3506.5,"")</f>
        <v/>
      </c>
      <c r="BB22" s="13" t="str">
        <f>IF($O$6=TRUE(),3537.3,"")</f>
        <v/>
      </c>
      <c r="BC22" s="13" t="str">
        <f>IF($O$6=TRUE(),4242,"")</f>
        <v/>
      </c>
      <c r="BD22" s="13" t="str">
        <f>IF($O$6=TRUE(),4553.4,"")</f>
        <v/>
      </c>
      <c r="BE22" s="13" t="str">
        <f>IF($O$6=TRUE(),4628.1,"")</f>
        <v/>
      </c>
      <c r="BF22" s="13" t="str">
        <f>IF($O$6=TRUE(),5377.5,"")</f>
        <v/>
      </c>
      <c r="BG22" s="13" t="str">
        <f>IF($O$6=TRUE(),5514.2,"")</f>
        <v/>
      </c>
      <c r="BH22" s="13" t="str">
        <f>IF($O$6=TRUE(),5975.1,"")</f>
        <v/>
      </c>
      <c r="BI22" s="13" t="str">
        <f>IF($O$6=TRUE(),6121.4,"")</f>
        <v/>
      </c>
      <c r="BJ22" s="13" t="str">
        <f>IF($O$6=TRUE(),6696.6,"")</f>
        <v/>
      </c>
      <c r="BK22" s="13" t="str">
        <f>IF($O$6=TRUE(),7037.3,"")</f>
        <v/>
      </c>
      <c r="BL22" s="13" t="str">
        <f>IF($O$6=TRUE(),7168.3,"")</f>
        <v/>
      </c>
      <c r="BM22" s="13" t="str">
        <f>IF($O$6=TRUE(),7304.2,"")</f>
        <v/>
      </c>
      <c r="BN22" s="14"/>
      <c r="BO22" s="14"/>
    </row>
    <row r="23" spans="1:67" ht="15" customHeight="1">
      <c r="A23" s="9" t="s">
        <v>82</v>
      </c>
      <c r="B23" s="10" t="str">
        <f>IF($P$6=TRUE(),268.4,"")</f>
        <v/>
      </c>
      <c r="C23" s="10" t="str">
        <f>IF($P$6=TRUE(),269,"")</f>
        <v/>
      </c>
      <c r="D23" s="10" t="str">
        <f>IF($P$6=TRUE(),270,"")</f>
        <v/>
      </c>
      <c r="E23" s="10" t="str">
        <f>IF($P$6=TRUE(),271,"")</f>
        <v/>
      </c>
      <c r="F23" s="10" t="str">
        <f>IF($P$6=TRUE(),277.7,"")</f>
        <v/>
      </c>
      <c r="G23" s="10" t="str">
        <f>IF($P$6=TRUE(),282.6,"")</f>
        <v/>
      </c>
      <c r="H23" s="10" t="str">
        <f>IF($P$6=TRUE(),286.2,"")</f>
        <v/>
      </c>
      <c r="I23" s="10" t="str">
        <f>IF($P$6=TRUE(),288.2,"")</f>
        <v/>
      </c>
      <c r="J23" s="10" t="str">
        <f>IF($P$6=TRUE(),298.5,"")</f>
        <v/>
      </c>
      <c r="K23" s="10" t="str">
        <f>IF($P$6=TRUE(),300.2,"")</f>
        <v/>
      </c>
      <c r="L23" s="10" t="str">
        <f>IF($P$6=TRUE(),302.1,"")</f>
        <v/>
      </c>
      <c r="M23" s="10" t="str">
        <f>IF($P$6=TRUE(),304.3,"")</f>
        <v/>
      </c>
      <c r="N23" s="10" t="str">
        <f>IF($P$6=TRUE(),318.8,"")</f>
        <v/>
      </c>
      <c r="O23" s="10" t="str">
        <f>IF($P$6=TRUE(),320.8,"")</f>
        <v/>
      </c>
      <c r="P23" s="10" t="str">
        <f>IF($P$6=TRUE(),322,"")</f>
        <v/>
      </c>
      <c r="Q23" s="10" t="str">
        <f>IF($P$6=TRUE(),323,"")</f>
        <v/>
      </c>
      <c r="R23" s="10" t="str">
        <f>IF($P$6=TRUE(),324,"")</f>
        <v/>
      </c>
      <c r="S23" s="10" t="str">
        <f>IF($P$6=TRUE(),325,"")</f>
        <v/>
      </c>
      <c r="T23" s="10" t="str">
        <f>IF($P$6=TRUE(),326,"")</f>
        <v/>
      </c>
      <c r="U23" s="10" t="str">
        <f>IF($P$6=TRUE(),327,"")</f>
        <v/>
      </c>
      <c r="V23" s="10" t="str">
        <f>IF($P$6=TRUE(),328,"")</f>
        <v/>
      </c>
      <c r="W23" s="10" t="str">
        <f>IF($P$6=TRUE(),329,"")</f>
        <v/>
      </c>
      <c r="X23" s="10" t="str">
        <f>IF($P$6=TRUE(),330,"")</f>
        <v/>
      </c>
      <c r="Y23" s="10" t="str">
        <f>IF($P$6=TRUE(),331,"")</f>
        <v/>
      </c>
      <c r="Z23" s="10" t="str">
        <f>IF($P$6=TRUE(),332,"")</f>
        <v/>
      </c>
      <c r="AA23" s="10" t="str">
        <f>IF($P$6=TRUE(),333,"")</f>
        <v/>
      </c>
      <c r="AB23" s="10" t="str">
        <f>IF($P$6=TRUE(),334,"")</f>
        <v/>
      </c>
      <c r="AC23" s="10" t="str">
        <f>IF($P$6=TRUE(),335,"")</f>
        <v/>
      </c>
      <c r="AD23" s="10" t="str">
        <f>IF($P$6=TRUE(),336,"")</f>
        <v/>
      </c>
      <c r="AE23" s="10" t="str">
        <f>IF($P$6=TRUE(),337,"")</f>
        <v/>
      </c>
      <c r="AF23" s="10" t="str">
        <f>IF($P$6=TRUE(),338,"")</f>
        <v/>
      </c>
      <c r="AG23" s="10" t="str">
        <f>IF($P$6=TRUE(),339,"")</f>
        <v/>
      </c>
      <c r="AH23" s="10" t="str">
        <f>IF($P$6=TRUE(),339,"")</f>
        <v/>
      </c>
      <c r="AI23" s="10" t="str">
        <f>IF($P$6=TRUE(),340,"")</f>
        <v/>
      </c>
      <c r="AJ23" s="10" t="str">
        <f>IF($P$6=TRUE(),341,"")</f>
        <v/>
      </c>
      <c r="AK23" s="10" t="str">
        <f>IF($P$6=TRUE(),342,"")</f>
        <v/>
      </c>
      <c r="AL23" s="10" t="str">
        <f>IF($P$6=TRUE(),343,"")</f>
        <v/>
      </c>
      <c r="AM23" s="10" t="str">
        <f>IF($P$6=TRUE(),344,"")</f>
        <v/>
      </c>
      <c r="AN23" s="10" t="str">
        <f>IF($P$6=TRUE(),345,"")</f>
        <v/>
      </c>
      <c r="AO23" s="10" t="str">
        <f>IF($P$6=TRUE(),346,"")</f>
        <v/>
      </c>
      <c r="AP23" s="10" t="str">
        <f>IF($P$6=TRUE(),347,"")</f>
        <v/>
      </c>
      <c r="AQ23" s="10" t="str">
        <f>IF($P$6=TRUE(),348,"")</f>
        <v/>
      </c>
      <c r="AR23" s="10" t="str">
        <f>IF($P$6=TRUE(),349,"")</f>
        <v/>
      </c>
      <c r="AS23" s="10" t="str">
        <f>IF($P$6=TRUE(),350,"")</f>
        <v/>
      </c>
      <c r="AT23" s="10" t="str">
        <f>IF($P$6=TRUE(),351,"")</f>
        <v/>
      </c>
      <c r="AU23" s="10" t="str">
        <f>IF($P$6=TRUE(),352,"")</f>
        <v/>
      </c>
      <c r="AV23" s="10" t="str">
        <f>IF($P$6=TRUE(),353,"")</f>
        <v/>
      </c>
      <c r="AW23" s="10" t="str">
        <f>IF($P$6=TRUE(),354,"")</f>
        <v/>
      </c>
      <c r="AX23" s="10" t="str">
        <f>IF($P$6=TRUE(),355,"")</f>
        <v/>
      </c>
      <c r="AY23" s="10" t="str">
        <f>IF($P$6=TRUE(),356,"")</f>
        <v/>
      </c>
      <c r="AZ23" s="10" t="str">
        <f>IF($P$6=TRUE(),357,"")</f>
        <v/>
      </c>
      <c r="BA23" s="10" t="str">
        <f>IF($P$6=TRUE(),358,"")</f>
        <v/>
      </c>
      <c r="BB23" s="10" t="str">
        <f>IF($P$6=TRUE(),358,"")</f>
        <v/>
      </c>
      <c r="BC23" s="10" t="str">
        <f>IF($P$6=TRUE(),358,"")</f>
        <v/>
      </c>
      <c r="BD23" s="10" t="str">
        <f>IF($P$6=TRUE(),359,"")</f>
        <v/>
      </c>
      <c r="BE23" s="10" t="str">
        <f>IF($P$6=TRUE(),360,"")</f>
        <v/>
      </c>
      <c r="BF23" s="10" t="str">
        <f>IF($P$6=TRUE(),361,"")</f>
        <v/>
      </c>
      <c r="BG23" s="10" t="str">
        <f>IF($P$6=TRUE(),362,"")</f>
        <v/>
      </c>
      <c r="BH23" s="10" t="str">
        <f>IF($P$6=TRUE(),363,"")</f>
        <v/>
      </c>
      <c r="BI23" s="10" t="str">
        <f>IF($P$6=TRUE(),364,"")</f>
        <v/>
      </c>
      <c r="BJ23" s="10" t="str">
        <f>IF($P$6=TRUE(),365,"")</f>
        <v/>
      </c>
      <c r="BK23" s="10" t="str">
        <f>IF($P$6=TRUE(),366,"")</f>
        <v/>
      </c>
      <c r="BL23" s="10" t="str">
        <f>IF($P$6=TRUE(),366,"")</f>
        <v/>
      </c>
      <c r="BM23" s="10" t="str">
        <f>IF($P$6=TRUE(),366,"")</f>
        <v/>
      </c>
      <c r="BN23" s="11"/>
      <c r="BO23" s="11"/>
    </row>
    <row r="24" spans="1:67" ht="15" customHeight="1">
      <c r="A24" s="12" t="s">
        <v>83</v>
      </c>
      <c r="B24" s="13" t="str">
        <f>IF($Q$6=TRUE(),272.5,"")</f>
        <v/>
      </c>
      <c r="C24" s="13" t="str">
        <f>IF($Q$6=TRUE(),289.2,"")</f>
        <v/>
      </c>
      <c r="D24" s="13" t="str">
        <f>IF($Q$6=TRUE(),296.2,"")</f>
        <v/>
      </c>
      <c r="E24" s="13" t="str">
        <f>IF($Q$6=TRUE(),318.3,"")</f>
        <v/>
      </c>
      <c r="F24" s="13" t="str">
        <f>IF($Q$6=TRUE(),345.1,"")</f>
        <v/>
      </c>
      <c r="G24" s="13" t="str">
        <f>IF($Q$6=TRUE(),407.8,"")</f>
        <v/>
      </c>
      <c r="H24" s="13" t="str">
        <f>IF($Q$6=TRUE(),486.6,"")</f>
        <v/>
      </c>
      <c r="I24" s="13" t="str">
        <f>IF($Q$6=TRUE(),507.7,"")</f>
        <v/>
      </c>
      <c r="J24" s="13" t="str">
        <f>IF($Q$6=TRUE(),533.3,"")</f>
        <v/>
      </c>
      <c r="K24" s="13" t="str">
        <f>IF($Q$6=TRUE(),521.3,"")</f>
        <v/>
      </c>
      <c r="L24" s="13" t="str">
        <f>IF($Q$6=TRUE(),510.7,"")</f>
        <v/>
      </c>
      <c r="M24" s="13" t="str">
        <f>IF($Q$6=TRUE(),503.7,"")</f>
        <v/>
      </c>
      <c r="N24" s="13" t="str">
        <f>IF($Q$6=TRUE(),549.8,"")</f>
        <v/>
      </c>
      <c r="O24" s="13" t="str">
        <f>IF($Q$6=TRUE(),541,"")</f>
        <v/>
      </c>
      <c r="P24" s="13" t="str">
        <f>IF($Q$6=TRUE(),547.6,"")</f>
        <v/>
      </c>
      <c r="Q24" s="13" t="str">
        <f>IF($Q$6=TRUE(),523.8,"")</f>
        <v/>
      </c>
      <c r="R24" s="13" t="str">
        <f>IF($Q$6=TRUE(),504.7,"")</f>
        <v/>
      </c>
      <c r="S24" s="13" t="str">
        <f>IF($Q$6=TRUE(),490.9,"")</f>
        <v/>
      </c>
      <c r="T24" s="13" t="str">
        <f>IF($Q$6=TRUE(),478.8,"")</f>
        <v/>
      </c>
      <c r="U24" s="13" t="str">
        <f>IF($Q$6=TRUE(),456.9,"")</f>
        <v/>
      </c>
      <c r="V24" s="13" t="str">
        <f>IF($Q$6=TRUE(),520.7,"")</f>
        <v/>
      </c>
      <c r="W24" s="13" t="str">
        <f>IF($Q$6=TRUE(),515.5,"")</f>
        <v/>
      </c>
      <c r="X24" s="13" t="str">
        <f>IF($Q$6=TRUE(),551.4,"")</f>
        <v/>
      </c>
      <c r="Y24" s="13" t="str">
        <f>IF($Q$6=TRUE(),560.7,"")</f>
        <v/>
      </c>
      <c r="Z24" s="13" t="str">
        <f>IF($Q$6=TRUE(),573.4,"")</f>
        <v/>
      </c>
      <c r="AA24" s="13" t="str">
        <f>IF($Q$6=TRUE(),638.4,"")</f>
        <v/>
      </c>
      <c r="AB24" s="13" t="str">
        <f>IF($Q$6=TRUE(),671.9,"")</f>
        <v/>
      </c>
      <c r="AC24" s="13" t="str">
        <f>IF($Q$6=TRUE(),699.2,"")</f>
        <v/>
      </c>
      <c r="AD24" s="13" t="str">
        <f>IF($Q$6=TRUE(),808.3,"")</f>
        <v/>
      </c>
      <c r="AE24" s="13" t="str">
        <f>IF($Q$6=TRUE(),929.1,"")</f>
        <v/>
      </c>
      <c r="AF24" s="13" t="str">
        <f>IF($Q$6=TRUE(),1155.1,"")</f>
        <v/>
      </c>
      <c r="AG24" s="13" t="str">
        <f>IF($Q$6=TRUE(),1207.1,"")</f>
        <v/>
      </c>
      <c r="AH24" s="13" t="str">
        <f>IF($Q$6=TRUE(),1233.5,"")</f>
        <v/>
      </c>
      <c r="AI24" s="13" t="str">
        <f>IF($Q$6=TRUE(),1214.4,"")</f>
        <v/>
      </c>
      <c r="AJ24" s="13" t="str">
        <f>IF($Q$6=TRUE(),1405.4,"")</f>
        <v/>
      </c>
      <c r="AK24" s="13" t="str">
        <f>IF($Q$6=TRUE(),1337.3,"")</f>
        <v/>
      </c>
      <c r="AL24" s="13" t="str">
        <f>IF($Q$6=TRUE(),1355.5,"")</f>
        <v/>
      </c>
      <c r="AM24" s="13" t="str">
        <f>IF($Q$6=TRUE(),1628.5,"")</f>
        <v/>
      </c>
      <c r="AN24" s="13" t="str">
        <f>IF($Q$6=TRUE(),1913.7,"")</f>
        <v/>
      </c>
      <c r="AO24" s="13" t="str">
        <f>IF($Q$6=TRUE(),2617.3,"")</f>
        <v/>
      </c>
      <c r="AP24" s="13" t="str">
        <f>IF($Q$6=TRUE(),2820.1,"")</f>
        <v/>
      </c>
      <c r="AQ24" s="13" t="str">
        <f>IF($Q$6=TRUE(),2932.9,"")</f>
        <v/>
      </c>
      <c r="AR24" s="13" t="str">
        <f>IF($Q$6=TRUE(),3192.8,"")</f>
        <v/>
      </c>
      <c r="AS24" s="13" t="str">
        <f>IF($Q$6=TRUE(),3450.5,"")</f>
        <v/>
      </c>
      <c r="AT24" s="13" t="str">
        <f>IF($Q$6=TRUE(),3937.1,"")</f>
        <v/>
      </c>
      <c r="AU24" s="13" t="str">
        <f>IF($Q$6=TRUE(),4343.6,"")</f>
        <v/>
      </c>
      <c r="AV24" s="13" t="str">
        <f>IF($Q$6=TRUE(),4358.3,"")</f>
        <v/>
      </c>
      <c r="AW24" s="13" t="str">
        <f>IF($Q$6=TRUE(),4262.7,"")</f>
        <v/>
      </c>
      <c r="AX24" s="13" t="str">
        <f>IF($Q$6=TRUE(),4774.9,"")</f>
        <v/>
      </c>
      <c r="AY24" s="13" t="str">
        <f>IF($Q$6=TRUE(),4517.1,"")</f>
        <v/>
      </c>
      <c r="AZ24" s="13" t="str">
        <f>IF($Q$6=TRUE(),4710.9,"")</f>
        <v/>
      </c>
      <c r="BA24" s="13" t="str">
        <f>IF($Q$6=TRUE(),5394.9,"")</f>
        <v/>
      </c>
      <c r="BB24" s="13" t="str">
        <f>IF($Q$6=TRUE(),6056.1,"")</f>
        <v/>
      </c>
      <c r="BC24" s="13" t="str">
        <f>IF($Q$6=TRUE(),6783.9,"")</f>
        <v/>
      </c>
      <c r="BD24" s="13" t="str">
        <f>IF($Q$6=TRUE(),6849.6,"")</f>
        <v/>
      </c>
      <c r="BE24" s="13" t="str">
        <f>IF($Q$6=TRUE(),6567.8,"")</f>
        <v/>
      </c>
      <c r="BF24" s="13" t="str">
        <f>IF($Q$6=TRUE(),6612.8,"")</f>
        <v/>
      </c>
      <c r="BG24" s="13" t="str">
        <f>IF($Q$6=TRUE(),6989.6,"")</f>
        <v/>
      </c>
      <c r="BH24" s="13" t="str">
        <f>IF($Q$6=TRUE(),7656.8,"")</f>
        <v/>
      </c>
      <c r="BI24" s="13" t="str">
        <f>IF($Q$6=TRUE(),7848.6,"")</f>
        <v/>
      </c>
      <c r="BJ24" s="13" t="str">
        <f>IF($Q$6=TRUE(),8261.6,"")</f>
        <v/>
      </c>
      <c r="BK24" s="13" t="str">
        <f>IF($Q$6=TRUE(),8666.9,"")</f>
        <v/>
      </c>
      <c r="BL24" s="13" t="str">
        <f>IF($Q$6=TRUE(),8915.1,"")</f>
        <v/>
      </c>
      <c r="BM24" s="13" t="str">
        <f>IF($Q$6=TRUE(),9344.2,"")</f>
        <v/>
      </c>
      <c r="BN24" s="14"/>
      <c r="BO24" s="14"/>
    </row>
    <row r="25" spans="1:67" ht="15" customHeight="1">
      <c r="A25" s="9" t="s">
        <v>84</v>
      </c>
      <c r="B25" s="10" t="str">
        <f>IF($R$6=TRUE(),227.8,"")</f>
        <v/>
      </c>
      <c r="C25" s="10" t="str">
        <f>IF($R$6=TRUE(),227.4,"")</f>
        <v/>
      </c>
      <c r="D25" s="10" t="str">
        <f>IF($R$6=TRUE(),234.9,"")</f>
        <v/>
      </c>
      <c r="E25" s="10" t="str">
        <f>IF($R$6=TRUE(),235.3,"")</f>
        <v/>
      </c>
      <c r="F25" s="10" t="str">
        <f>IF($R$6=TRUE(),241.3,"")</f>
        <v/>
      </c>
      <c r="G25" s="10" t="str">
        <f>IF($R$6=TRUE(),276.3,"")</f>
        <v/>
      </c>
      <c r="H25" s="10" t="str">
        <f>IF($R$6=TRUE(),332.2,"")</f>
        <v/>
      </c>
      <c r="I25" s="10" t="str">
        <f>IF($R$6=TRUE(),349.6,"")</f>
        <v/>
      </c>
      <c r="J25" s="10" t="str">
        <f>IF($R$6=TRUE(),354.8,"")</f>
        <v/>
      </c>
      <c r="K25" s="10" t="str">
        <f>IF($R$6=TRUE(),355.1,"")</f>
        <v/>
      </c>
      <c r="L25" s="10" t="str">
        <f>IF($R$6=TRUE(),341.9,"")</f>
        <v/>
      </c>
      <c r="M25" s="10" t="str">
        <f>IF($R$6=TRUE(),342.5,"")</f>
        <v/>
      </c>
      <c r="N25" s="10" t="str">
        <f>IF($R$6=TRUE(),353.4,"")</f>
        <v/>
      </c>
      <c r="O25" s="10" t="str">
        <f>IF($R$6=TRUE(),361.3,"")</f>
        <v/>
      </c>
      <c r="P25" s="10" t="str">
        <f>IF($R$6=TRUE(),375.8,"")</f>
        <v/>
      </c>
      <c r="Q25" s="10" t="str">
        <f>IF($R$6=TRUE(),376.2,"")</f>
        <v/>
      </c>
      <c r="R25" s="10" t="str">
        <f>IF($R$6=TRUE(),368.6,"")</f>
        <v/>
      </c>
      <c r="S25" s="10" t="str">
        <f>IF($R$6=TRUE(),390.9,"")</f>
        <v/>
      </c>
      <c r="T25" s="10" t="str">
        <f>IF($R$6=TRUE(),339.7,"")</f>
        <v/>
      </c>
      <c r="U25" s="10" t="str">
        <f>IF($R$6=TRUE(),339.9,"")</f>
        <v/>
      </c>
      <c r="V25" s="10" t="str">
        <f>IF($R$6=TRUE(),349.7,"")</f>
        <v/>
      </c>
      <c r="W25" s="10" t="str">
        <f>IF($R$6=TRUE(),350.2,"")</f>
        <v/>
      </c>
      <c r="X25" s="10" t="str">
        <f>IF($R$6=TRUE(),367.9,"")</f>
        <v/>
      </c>
      <c r="Y25" s="10" t="str">
        <f>IF($R$6=TRUE(),368.3,"")</f>
        <v/>
      </c>
      <c r="Z25" s="10" t="str">
        <f>IF($R$6=TRUE(),391.5,"")</f>
        <v/>
      </c>
      <c r="AA25" s="10" t="str">
        <f>IF($R$6=TRUE(),393.9,"")</f>
        <v/>
      </c>
      <c r="AB25" s="10" t="str">
        <f>IF($R$6=TRUE(),399.1,"")</f>
        <v/>
      </c>
      <c r="AC25" s="10" t="str">
        <f>IF($R$6=TRUE(),410.2,"")</f>
        <v/>
      </c>
      <c r="AD25" s="10" t="str">
        <f>IF($R$6=TRUE(),455.9,"")</f>
        <v/>
      </c>
      <c r="AE25" s="10" t="str">
        <f>IF($R$6=TRUE(),528.6,"")</f>
        <v/>
      </c>
      <c r="AF25" s="10" t="str">
        <f>IF($R$6=TRUE(),765.7,"")</f>
        <v/>
      </c>
      <c r="AG25" s="10" t="str">
        <f>IF($R$6=TRUE(),819.1,"")</f>
        <v/>
      </c>
      <c r="AH25" s="10" t="str">
        <f>IF($R$6=TRUE(),774.2,"")</f>
        <v/>
      </c>
      <c r="AI25" s="10" t="str">
        <f>IF($R$6=TRUE(),775.3,"")</f>
        <v/>
      </c>
      <c r="AJ25" s="10" t="str">
        <f>IF($R$6=TRUE(),864.9,"")</f>
        <v/>
      </c>
      <c r="AK25" s="10" t="str">
        <f>IF($R$6=TRUE(),866.8,"")</f>
        <v/>
      </c>
      <c r="AL25" s="10" t="str">
        <f>IF($R$6=TRUE(),873.2,"")</f>
        <v/>
      </c>
      <c r="AM25" s="10" t="str">
        <f>IF($R$6=TRUE(),884.8,"")</f>
        <v/>
      </c>
      <c r="AN25" s="10" t="str">
        <f>IF($R$6=TRUE(),1055.5,"")</f>
        <v/>
      </c>
      <c r="AO25" s="10" t="str">
        <f>IF($R$6=TRUE(),1277,"")</f>
        <v/>
      </c>
      <c r="AP25" s="10" t="str">
        <f>IF($R$6=TRUE(),1366.2,"")</f>
        <v/>
      </c>
      <c r="AQ25" s="10" t="str">
        <f>IF($R$6=TRUE(),1521.1,"")</f>
        <v/>
      </c>
      <c r="AR25" s="10" t="str">
        <f>IF($R$6=TRUE(),1662.2,"")</f>
        <v/>
      </c>
      <c r="AS25" s="10" t="str">
        <f>IF($R$6=TRUE(),1724.6,"")</f>
        <v/>
      </c>
      <c r="AT25" s="10" t="str">
        <f>IF($R$6=TRUE(),1987.7,"")</f>
        <v/>
      </c>
      <c r="AU25" s="10" t="str">
        <f>IF($R$6=TRUE(),2238.1,"")</f>
        <v/>
      </c>
      <c r="AV25" s="10" t="str">
        <f>IF($R$6=TRUE(),2375.5,"")</f>
        <v/>
      </c>
      <c r="AW25" s="10" t="str">
        <f>IF($R$6=TRUE(),2398.7,"")</f>
        <v/>
      </c>
      <c r="AX25" s="10" t="str">
        <f>IF($R$6=TRUE(),2888.3,"")</f>
        <v/>
      </c>
      <c r="AY25" s="10" t="str">
        <f>IF($R$6=TRUE(),2973.5,"")</f>
        <v/>
      </c>
      <c r="AZ25" s="10" t="str">
        <f>IF($R$6=TRUE(),3006,"")</f>
        <v/>
      </c>
      <c r="BA25" s="10" t="str">
        <f>IF($R$6=TRUE(),3239.5,"")</f>
        <v/>
      </c>
      <c r="BB25" s="10" t="str">
        <f>IF($R$6=TRUE(),3431.3,"")</f>
        <v/>
      </c>
      <c r="BC25" s="10" t="str">
        <f>IF($R$6=TRUE(),3817.7,"")</f>
        <v/>
      </c>
      <c r="BD25" s="10" t="str">
        <f>IF($R$6=TRUE(),3948.3,"")</f>
        <v/>
      </c>
      <c r="BE25" s="10" t="str">
        <f>IF($R$6=TRUE(),3942.3,"")</f>
        <v/>
      </c>
      <c r="BF25" s="10" t="str">
        <f>IF($R$6=TRUE(),4312.5,"")</f>
        <v/>
      </c>
      <c r="BG25" s="10" t="str">
        <f>IF($R$6=TRUE(),4322.7,"")</f>
        <v/>
      </c>
      <c r="BH25" s="10" t="str">
        <f>IF($R$6=TRUE(),4942,"")</f>
        <v/>
      </c>
      <c r="BI25" s="10" t="str">
        <f>IF($R$6=TRUE(),5148.4,"")</f>
        <v/>
      </c>
      <c r="BJ25" s="10" t="str">
        <f>IF($R$6=TRUE(),5340.6,"")</f>
        <v/>
      </c>
      <c r="BK25" s="10" t="str">
        <f>IF($R$6=TRUE(),5623.5,"")</f>
        <v/>
      </c>
      <c r="BL25" s="10" t="str">
        <f>IF($R$6=TRUE(),5780.1,"")</f>
        <v/>
      </c>
      <c r="BM25" s="10" t="str">
        <f>IF($R$6=TRUE(),5854.5,"")</f>
        <v/>
      </c>
      <c r="BN25" s="11"/>
      <c r="BO25" s="11"/>
    </row>
    <row r="26" spans="1:67" ht="15" customHeight="1">
      <c r="A26" s="12" t="s">
        <v>85</v>
      </c>
      <c r="B26" s="13" t="str">
        <f>IF($S$6=TRUE(),285.7,"")</f>
        <v/>
      </c>
      <c r="C26" s="13" t="str">
        <f>IF($S$6=TRUE(),292.2,"")</f>
        <v/>
      </c>
      <c r="D26" s="13" t="str">
        <f>IF($S$6=TRUE(),297.3,"")</f>
        <v/>
      </c>
      <c r="E26" s="13" t="str">
        <f>IF($S$6=TRUE(),304.1,"")</f>
        <v/>
      </c>
      <c r="F26" s="13" t="str">
        <f>IF($S$6=TRUE(),332.7,"")</f>
        <v/>
      </c>
      <c r="G26" s="13" t="str">
        <f>IF($S$6=TRUE(),348.2,"")</f>
        <v/>
      </c>
      <c r="H26" s="13" t="str">
        <f>IF($S$6=TRUE(),373.1,"")</f>
        <v/>
      </c>
      <c r="I26" s="13" t="str">
        <f>IF($S$6=TRUE(),381.5,"")</f>
        <v/>
      </c>
      <c r="J26" s="13" t="str">
        <f>IF($S$6=TRUE(),428.7,"")</f>
        <v/>
      </c>
      <c r="K26" s="13" t="str">
        <f>IF($S$6=TRUE(),438,"")</f>
        <v/>
      </c>
      <c r="L26" s="13" t="str">
        <f>IF($S$6=TRUE(),447.6,"")</f>
        <v/>
      </c>
      <c r="M26" s="13" t="str">
        <f>IF($S$6=TRUE(),456.9,"")</f>
        <v/>
      </c>
      <c r="N26" s="13" t="str">
        <f>IF($S$6=TRUE(),520.1,"")</f>
        <v/>
      </c>
      <c r="O26" s="13" t="str">
        <f>IF($S$6=TRUE(),538.4,"")</f>
        <v/>
      </c>
      <c r="P26" s="13" t="str">
        <f>IF($S$6=TRUE(),545.5,"")</f>
        <v/>
      </c>
      <c r="Q26" s="13" t="str">
        <f>IF($S$6=TRUE(),552.3,"")</f>
        <v/>
      </c>
      <c r="R26" s="13" t="str">
        <f>IF($S$6=TRUE(),598.8,"")</f>
        <v/>
      </c>
      <c r="S26" s="13" t="str">
        <f>IF($S$6=TRUE(),603.3,"")</f>
        <v/>
      </c>
      <c r="T26" s="13" t="str">
        <f>IF($S$6=TRUE(),606.7,"")</f>
        <v/>
      </c>
      <c r="U26" s="13" t="str">
        <f>IF($S$6=TRUE(),610.7,"")</f>
        <v/>
      </c>
      <c r="V26" s="13" t="str">
        <f>IF($S$6=TRUE(),654,"")</f>
        <v/>
      </c>
      <c r="W26" s="13" t="str">
        <f>IF($S$6=TRUE(),660.2,"")</f>
        <v/>
      </c>
      <c r="X26" s="13" t="str">
        <f>IF($S$6=TRUE(),670.1,"")</f>
        <v/>
      </c>
      <c r="Y26" s="13" t="str">
        <f>IF($S$6=TRUE(),676.1,"")</f>
        <v/>
      </c>
      <c r="Z26" s="13" t="str">
        <f>IF($S$6=TRUE(),733.5,"")</f>
        <v/>
      </c>
      <c r="AA26" s="13" t="str">
        <f>IF($S$6=TRUE(),740.8,"")</f>
        <v/>
      </c>
      <c r="AB26" s="13" t="str">
        <f>IF($S$6=TRUE(),747.9,"")</f>
        <v/>
      </c>
      <c r="AC26" s="13" t="str">
        <f>IF($S$6=TRUE(),753.8,"")</f>
        <v/>
      </c>
      <c r="AD26" s="13" t="str">
        <f>IF($S$6=TRUE(),863.8,"")</f>
        <v/>
      </c>
      <c r="AE26" s="13" t="str">
        <f>IF($S$6=TRUE(),896,"")</f>
        <v/>
      </c>
      <c r="AF26" s="13" t="str">
        <f>IF($S$6=TRUE(),908.8,"")</f>
        <v/>
      </c>
      <c r="AG26" s="13" t="str">
        <f>IF($S$6=TRUE(),913,"")</f>
        <v/>
      </c>
      <c r="AH26" s="13" t="str">
        <f>IF($S$6=TRUE(),941.1,"")</f>
        <v/>
      </c>
      <c r="AI26" s="13" t="str">
        <f>IF($S$6=TRUE(),959.1,"")</f>
        <v/>
      </c>
      <c r="AJ26" s="13" t="str">
        <f>IF($S$6=TRUE(),1151.9,"")</f>
        <v/>
      </c>
      <c r="AK26" s="13" t="str">
        <f>IF($S$6=TRUE(),1225.2,"")</f>
        <v/>
      </c>
      <c r="AL26" s="13" t="str">
        <f>IF($S$6=TRUE(),1249.8,"")</f>
        <v/>
      </c>
      <c r="AM26" s="13" t="str">
        <f>IF($S$6=TRUE(),1274.9,"")</f>
        <v/>
      </c>
      <c r="AN26" s="13" t="str">
        <f>IF($S$6=TRUE(),1530.2,"")</f>
        <v/>
      </c>
      <c r="AO26" s="13" t="str">
        <f>IF($S$6=TRUE(),1676.6,"")</f>
        <v/>
      </c>
      <c r="AP26" s="13" t="str">
        <f>IF($S$6=TRUE(),1688.6,"")</f>
        <v/>
      </c>
      <c r="AQ26" s="13" t="str">
        <f>IF($S$6=TRUE(),1722.4,"")</f>
        <v/>
      </c>
      <c r="AR26" s="13" t="str">
        <f>IF($S$6=TRUE(),1902.7,"")</f>
        <v/>
      </c>
      <c r="AS26" s="13" t="str">
        <f>IF($S$6=TRUE(),1987.4,"")</f>
        <v/>
      </c>
      <c r="AT26" s="13" t="str">
        <f>IF($S$6=TRUE(),2593.5,"")</f>
        <v/>
      </c>
      <c r="AU26" s="13" t="str">
        <f>IF($S$6=TRUE(),2796,"")</f>
        <v/>
      </c>
      <c r="AV26" s="13" t="str">
        <f>IF($S$6=TRUE(),2797.8,"")</f>
        <v/>
      </c>
      <c r="AW26" s="13" t="str">
        <f>IF($S$6=TRUE(),2830.1,"")</f>
        <v/>
      </c>
      <c r="AX26" s="13" t="str">
        <f>IF($S$6=TRUE(),3635.7,"")</f>
        <v/>
      </c>
      <c r="AY26" s="13" t="str">
        <f>IF($S$6=TRUE(),3754.1,"")</f>
        <v/>
      </c>
      <c r="AZ26" s="13" t="str">
        <f>IF($S$6=TRUE(),3856.7,"")</f>
        <v/>
      </c>
      <c r="BA26" s="13" t="str">
        <f>IF($S$6=TRUE(),4054.6,"")</f>
        <v/>
      </c>
      <c r="BB26" s="13" t="str">
        <f>IF($S$6=TRUE(),4060,"")</f>
        <v/>
      </c>
      <c r="BC26" s="13" t="str">
        <f>IF($S$6=TRUE(),4147.6,"")</f>
        <v/>
      </c>
      <c r="BD26" s="13" t="str">
        <f>IF($S$6=TRUE(),5033.7,"")</f>
        <v/>
      </c>
      <c r="BE26" s="13" t="str">
        <f>IF($S$6=TRUE(),5260.4,"")</f>
        <v/>
      </c>
      <c r="BF26" s="13" t="str">
        <f>IF($S$6=TRUE(),5451.7,"")</f>
        <v/>
      </c>
      <c r="BG26" s="13" t="str">
        <f>IF($S$6=TRUE(),5571.6,"")</f>
        <v/>
      </c>
      <c r="BH26" s="13" t="str">
        <f>IF($S$6=TRUE(),6845.1,"")</f>
        <v/>
      </c>
      <c r="BI26" s="13" t="str">
        <f>IF($S$6=TRUE(),7271,"")</f>
        <v/>
      </c>
      <c r="BJ26" s="13" t="str">
        <f>IF($S$6=TRUE(),7325.7,"")</f>
        <v/>
      </c>
      <c r="BK26" s="13" t="str">
        <f>IF($S$6=TRUE(),7608.4,"")</f>
        <v/>
      </c>
      <c r="BL26" s="13" t="str">
        <f>IF($S$6=TRUE(),7717,"")</f>
        <v/>
      </c>
      <c r="BM26" s="13" t="str">
        <f>IF($S$6=TRUE(),7841.5,"")</f>
        <v/>
      </c>
      <c r="BN26" s="14"/>
      <c r="BO26" s="14"/>
    </row>
    <row r="27" spans="1:67" ht="15" customHeight="1">
      <c r="A27" s="9" t="s">
        <v>86</v>
      </c>
      <c r="B27" s="10" t="str">
        <f>IF($T$6=TRUE(),236,"")</f>
        <v/>
      </c>
      <c r="C27" s="10" t="str">
        <f>IF($T$6=TRUE(),236.8,"")</f>
        <v/>
      </c>
      <c r="D27" s="10" t="str">
        <f>IF($T$6=TRUE(),250.1,"")</f>
        <v/>
      </c>
      <c r="E27" s="10" t="str">
        <f>IF($T$6=TRUE(),279.3,"")</f>
        <v/>
      </c>
      <c r="F27" s="10" t="str">
        <f>IF($T$6=TRUE(),293,"")</f>
        <v/>
      </c>
      <c r="G27" s="10" t="str">
        <f>IF($T$6=TRUE(),316.1,"")</f>
        <v/>
      </c>
      <c r="H27" s="10" t="str">
        <f>IF($T$6=TRUE(),383.6,"")</f>
        <v/>
      </c>
      <c r="I27" s="10" t="str">
        <f>IF($T$6=TRUE(),378.4,"")</f>
        <v/>
      </c>
      <c r="J27" s="10" t="str">
        <f>IF($T$6=TRUE(),401.3,"")</f>
        <v/>
      </c>
      <c r="K27" s="10" t="str">
        <f>IF($T$6=TRUE(),403,"")</f>
        <v/>
      </c>
      <c r="L27" s="10" t="str">
        <f>IF($T$6=TRUE(),397.2,"")</f>
        <v/>
      </c>
      <c r="M27" s="10" t="str">
        <f>IF($T$6=TRUE(),399.5,"")</f>
        <v/>
      </c>
      <c r="N27" s="10" t="str">
        <f>IF($T$6=TRUE(),425.9,"")</f>
        <v/>
      </c>
      <c r="O27" s="10" t="str">
        <f>IF($T$6=TRUE(),428,"")</f>
        <v/>
      </c>
      <c r="P27" s="10" t="str">
        <f>IF($T$6=TRUE(),433.2,"")</f>
        <v/>
      </c>
      <c r="Q27" s="10" t="str">
        <f>IF($T$6=TRUE(),435,"")</f>
        <v/>
      </c>
      <c r="R27" s="10" t="str">
        <f>IF($T$6=TRUE(),447,"")</f>
        <v/>
      </c>
      <c r="S27" s="10" t="str">
        <f>IF($T$6=TRUE(),448.2,"")</f>
        <v/>
      </c>
      <c r="T27" s="10" t="str">
        <f>IF($T$6=TRUE(),463.7,"")</f>
        <v/>
      </c>
      <c r="U27" s="10" t="str">
        <f>IF($T$6=TRUE(),464.8,"")</f>
        <v/>
      </c>
      <c r="V27" s="10" t="str">
        <f>IF($T$6=TRUE(),481.9,"")</f>
        <v/>
      </c>
      <c r="W27" s="10" t="str">
        <f>IF($T$6=TRUE(),483.3,"")</f>
        <v/>
      </c>
      <c r="X27" s="10" t="str">
        <f>IF($T$6=TRUE(),499.7,"")</f>
        <v/>
      </c>
      <c r="Y27" s="10" t="str">
        <f>IF($T$6=TRUE(),511,"")</f>
        <v/>
      </c>
      <c r="Z27" s="10" t="str">
        <f>IF($T$6=TRUE(),542.2,"")</f>
        <v/>
      </c>
      <c r="AA27" s="10" t="str">
        <f>IF($T$6=TRUE(),543.7,"")</f>
        <v/>
      </c>
      <c r="AB27" s="10" t="str">
        <f>IF($T$6=TRUE(),552.5,"")</f>
        <v/>
      </c>
      <c r="AC27" s="10" t="str">
        <f>IF($T$6=TRUE(),555.3,"")</f>
        <v/>
      </c>
      <c r="AD27" s="10" t="str">
        <f>IF($T$6=TRUE(),638.6,"")</f>
        <v/>
      </c>
      <c r="AE27" s="10" t="str">
        <f>IF($T$6=TRUE(),802.9,"")</f>
        <v/>
      </c>
      <c r="AF27" s="10" t="str">
        <f>IF($T$6=TRUE(),884.2,"")</f>
        <v/>
      </c>
      <c r="AG27" s="10" t="str">
        <f>IF($T$6=TRUE(),930,"")</f>
        <v/>
      </c>
      <c r="AH27" s="10" t="str">
        <f>IF($T$6=TRUE(),932.2,"")</f>
        <v/>
      </c>
      <c r="AI27" s="10" t="str">
        <f>IF($T$6=TRUE(),935.9,"")</f>
        <v/>
      </c>
      <c r="AJ27" s="10" t="str">
        <f>IF($T$6=TRUE(),983.4,"")</f>
        <v/>
      </c>
      <c r="AK27" s="10" t="str">
        <f>IF($T$6=TRUE(),994.2,"")</f>
        <v/>
      </c>
      <c r="AL27" s="10" t="str">
        <f>IF($T$6=TRUE(),999.2,"")</f>
        <v/>
      </c>
      <c r="AM27" s="10" t="str">
        <f>IF($T$6=TRUE(),1051.1,"")</f>
        <v/>
      </c>
      <c r="AN27" s="10" t="str">
        <f>IF($T$6=TRUE(),1274.6,"")</f>
        <v/>
      </c>
      <c r="AO27" s="10" t="str">
        <f>IF($T$6=TRUE(),1487.1,"")</f>
        <v/>
      </c>
      <c r="AP27" s="10" t="str">
        <f>IF($T$6=TRUE(),1488.7,"")</f>
        <v/>
      </c>
      <c r="AQ27" s="10" t="str">
        <f>IF($T$6=TRUE(),1569.7,"")</f>
        <v/>
      </c>
      <c r="AR27" s="10" t="str">
        <f>IF($T$6=TRUE(),1794.3,"")</f>
        <v/>
      </c>
      <c r="AS27" s="10" t="str">
        <f>IF($T$6=TRUE(),1834.6,"")</f>
        <v/>
      </c>
      <c r="AT27" s="10" t="str">
        <f>IF($T$6=TRUE(),2305.1,"")</f>
        <v/>
      </c>
      <c r="AU27" s="10" t="str">
        <f>IF($T$6=TRUE(),2490.7,"")</f>
        <v/>
      </c>
      <c r="AV27" s="10" t="str">
        <f>IF($T$6=TRUE(),2471,"")</f>
        <v/>
      </c>
      <c r="AW27" s="10" t="str">
        <f>IF($T$6=TRUE(),2491.5,"")</f>
        <v/>
      </c>
      <c r="AX27" s="10" t="str">
        <f>IF($T$6=TRUE(),2930.9,"")</f>
        <v/>
      </c>
      <c r="AY27" s="10" t="str">
        <f>IF($T$6=TRUE(),3018.2,"")</f>
        <v/>
      </c>
      <c r="AZ27" s="10" t="str">
        <f>IF($T$6=TRUE(),3233.3,"")</f>
        <v/>
      </c>
      <c r="BA27" s="10" t="str">
        <f>IF($T$6=TRUE(),3472.5,"")</f>
        <v/>
      </c>
      <c r="BB27" s="10" t="str">
        <f>IF($T$6=TRUE(),3473,"")</f>
        <v/>
      </c>
      <c r="BC27" s="10" t="str">
        <f>IF($T$6=TRUE(),3727.2,"")</f>
        <v/>
      </c>
      <c r="BD27" s="10" t="str">
        <f>IF($T$6=TRUE(),3982.9,"")</f>
        <v/>
      </c>
      <c r="BE27" s="10" t="str">
        <f>IF($T$6=TRUE(),4055.9,"")</f>
        <v/>
      </c>
      <c r="BF27" s="10" t="str">
        <f>IF($T$6=TRUE(),4079.7,"")</f>
        <v/>
      </c>
      <c r="BG27" s="10" t="str">
        <f>IF($T$6=TRUE(),4110.1,"")</f>
        <v/>
      </c>
      <c r="BH27" s="10" t="str">
        <f>IF($T$6=TRUE(),4607.8,"")</f>
        <v/>
      </c>
      <c r="BI27" s="10" t="str">
        <f>IF($T$6=TRUE(),4755.1,"")</f>
        <v/>
      </c>
      <c r="BJ27" s="10" t="str">
        <f>IF($T$6=TRUE(),5039.3,"")</f>
        <v/>
      </c>
      <c r="BK27" s="10" t="str">
        <f>IF($T$6=TRUE(),5270.2,"")</f>
        <v/>
      </c>
      <c r="BL27" s="10" t="str">
        <f>IF($T$6=TRUE(),5453.9,"")</f>
        <v/>
      </c>
      <c r="BM27" s="10" t="str">
        <f>IF($T$6=TRUE(),5661.7,"")</f>
        <v/>
      </c>
      <c r="BN27" s="11"/>
      <c r="BO27" s="11"/>
    </row>
    <row r="28" spans="1:67" ht="15" customHeight="1">
      <c r="A28" s="12" t="s">
        <v>87</v>
      </c>
      <c r="B28" s="13" t="str">
        <f>IF($U$6=TRUE(),200,"")</f>
        <v/>
      </c>
      <c r="C28" s="13" t="str">
        <f>IF($U$6=TRUE(),201.7,"")</f>
        <v/>
      </c>
      <c r="D28" s="13" t="str">
        <f>IF($U$6=TRUE(),202.9,"")</f>
        <v/>
      </c>
      <c r="E28" s="13" t="str">
        <f>IF($U$6=TRUE(),210.6,"")</f>
        <v/>
      </c>
      <c r="F28" s="13" t="str">
        <f>IF($U$6=TRUE(),225.2,"")</f>
        <v/>
      </c>
      <c r="G28" s="13" t="str">
        <f>IF($U$6=TRUE(),241.2,"")</f>
        <v/>
      </c>
      <c r="H28" s="13" t="str">
        <f>IF($U$6=TRUE(),279.2,"")</f>
        <v/>
      </c>
      <c r="I28" s="13" t="str">
        <f>IF($U$6=TRUE(),287.3,"")</f>
        <v/>
      </c>
      <c r="J28" s="13" t="str">
        <f>IF($U$6=TRUE(),330.3,"")</f>
        <v/>
      </c>
      <c r="K28" s="13" t="str">
        <f>IF($U$6=TRUE(),332.9,"")</f>
        <v/>
      </c>
      <c r="L28" s="13" t="str">
        <f>IF($U$6=TRUE(),337,"")</f>
        <v/>
      </c>
      <c r="M28" s="13" t="str">
        <f>IF($U$6=TRUE(),339.7,"")</f>
        <v/>
      </c>
      <c r="N28" s="13" t="str">
        <f>IF($U$6=TRUE(),380.6,"")</f>
        <v/>
      </c>
      <c r="O28" s="13" t="str">
        <f>IF($U$6=TRUE(),389.6,"")</f>
        <v/>
      </c>
      <c r="P28" s="13" t="str">
        <f>IF($U$6=TRUE(),393.1,"")</f>
        <v/>
      </c>
      <c r="Q28" s="13" t="str">
        <f>IF($U$6=TRUE(),395,"")</f>
        <v/>
      </c>
      <c r="R28" s="13" t="str">
        <f>IF($U$6=TRUE(),408.7,"")</f>
        <v/>
      </c>
      <c r="S28" s="13" t="str">
        <f>IF($U$6=TRUE(),410.1,"")</f>
        <v/>
      </c>
      <c r="T28" s="13" t="str">
        <f>IF($U$6=TRUE(),411.1,"")</f>
        <v/>
      </c>
      <c r="U28" s="13" t="str">
        <f>IF($U$6=TRUE(),412.3,"")</f>
        <v/>
      </c>
      <c r="V28" s="13" t="str">
        <f>IF($U$6=TRUE(),425.1,"")</f>
        <v/>
      </c>
      <c r="W28" s="13" t="str">
        <f>IF($U$6=TRUE(),426.9,"")</f>
        <v/>
      </c>
      <c r="X28" s="13" t="str">
        <f>IF($U$6=TRUE(),429.7,"")</f>
        <v/>
      </c>
      <c r="Y28" s="13" t="str">
        <f>IF($U$6=TRUE(),431.4,"")</f>
        <v/>
      </c>
      <c r="Z28" s="13" t="str">
        <f>IF($U$6=TRUE(),457.7,"")</f>
        <v/>
      </c>
      <c r="AA28" s="13" t="str">
        <f>IF($U$6=TRUE(),460.1,"")</f>
        <v/>
      </c>
      <c r="AB28" s="13" t="str">
        <f>IF($U$6=TRUE(),461.8,"")</f>
        <v/>
      </c>
      <c r="AC28" s="13" t="str">
        <f>IF($U$6=TRUE(),463.4,"")</f>
        <v/>
      </c>
      <c r="AD28" s="13" t="str">
        <f>IF($U$6=TRUE(),523.1,"")</f>
        <v/>
      </c>
      <c r="AE28" s="13" t="str">
        <f>IF($U$6=TRUE(),571.8,"")</f>
        <v/>
      </c>
      <c r="AF28" s="13" t="str">
        <f>IF($U$6=TRUE(),574.6,"")</f>
        <v/>
      </c>
      <c r="AG28" s="13" t="str">
        <f>IF($U$6=TRUE(),606.6,"")</f>
        <v/>
      </c>
      <c r="AH28" s="13" t="str">
        <f>IF($U$6=TRUE(),599,"")</f>
        <v/>
      </c>
      <c r="AI28" s="13" t="str">
        <f>IF($U$6=TRUE(),603.3,"")</f>
        <v/>
      </c>
      <c r="AJ28" s="13" t="str">
        <f>IF($U$6=TRUE(),689.2,"")</f>
        <v/>
      </c>
      <c r="AK28" s="13" t="str">
        <f>IF($U$6=TRUE(),724.2,"")</f>
        <v/>
      </c>
      <c r="AL28" s="13" t="str">
        <f>IF($U$6=TRUE(),749.7,"")</f>
        <v/>
      </c>
      <c r="AM28" s="13" t="str">
        <f>IF($U$6=TRUE(),771.7,"")</f>
        <v/>
      </c>
      <c r="AN28" s="13" t="str">
        <f>IF($U$6=TRUE(),907.7,"")</f>
        <v/>
      </c>
      <c r="AO28" s="13" t="str">
        <f>IF($U$6=TRUE(),962.7,"")</f>
        <v/>
      </c>
      <c r="AP28" s="13" t="str">
        <f>IF($U$6=TRUE(),965.4,"")</f>
        <v/>
      </c>
      <c r="AQ28" s="13" t="str">
        <f>IF($U$6=TRUE(),991.9,"")</f>
        <v/>
      </c>
      <c r="AR28" s="13" t="str">
        <f>IF($U$6=TRUE(),1291.5,"")</f>
        <v/>
      </c>
      <c r="AS28" s="13" t="str">
        <f>IF($U$6=TRUE(),1314.3,"")</f>
        <v/>
      </c>
      <c r="AT28" s="13" t="str">
        <f>IF($U$6=TRUE(),1701.2,"")</f>
        <v/>
      </c>
      <c r="AU28" s="13" t="str">
        <f>IF($U$6=TRUE(),1881.8,"")</f>
        <v/>
      </c>
      <c r="AV28" s="13" t="str">
        <f>IF($U$6=TRUE(),1905.9,"")</f>
        <v/>
      </c>
      <c r="AW28" s="13" t="str">
        <f>IF($U$6=TRUE(),1995.8,"")</f>
        <v/>
      </c>
      <c r="AX28" s="13" t="str">
        <f>IF($U$6=TRUE(),2362.3,"")</f>
        <v/>
      </c>
      <c r="AY28" s="13" t="str">
        <f>IF($U$6=TRUE(),2497.1,"")</f>
        <v/>
      </c>
      <c r="AZ28" s="13" t="str">
        <f>IF($U$6=TRUE(),2571.8,"")</f>
        <v/>
      </c>
      <c r="BA28" s="13" t="str">
        <f>IF($U$6=TRUE(),2768.4,"")</f>
        <v/>
      </c>
      <c r="BB28" s="13" t="str">
        <f>IF($U$6=TRUE(),2770.6,"")</f>
        <v/>
      </c>
      <c r="BC28" s="13" t="str">
        <f>IF($U$6=TRUE(),2908,"")</f>
        <v/>
      </c>
      <c r="BD28" s="13" t="str">
        <f>IF($U$6=TRUE(),3486.8,"")</f>
        <v/>
      </c>
      <c r="BE28" s="13" t="str">
        <f>IF($U$6=TRUE(),3671.7,"")</f>
        <v/>
      </c>
      <c r="BF28" s="13" t="str">
        <f>IF($U$6=TRUE(),4032.9,"")</f>
        <v/>
      </c>
      <c r="BG28" s="13" t="str">
        <f>IF($U$6=TRUE(),4146.9,"")</f>
        <v/>
      </c>
      <c r="BH28" s="13" t="str">
        <f>IF($U$6=TRUE(),4810.5,"")</f>
        <v/>
      </c>
      <c r="BI28" s="13" t="str">
        <f>IF($U$6=TRUE(),5010.3,"")</f>
        <v/>
      </c>
      <c r="BJ28" s="13" t="str">
        <f>IF($U$6=TRUE(),5167.2,"")</f>
        <v/>
      </c>
      <c r="BK28" s="13" t="str">
        <f>IF($U$6=TRUE(),5567.7,"")</f>
        <v/>
      </c>
      <c r="BL28" s="13" t="str">
        <f>IF($U$6=TRUE(),5653.2,"")</f>
        <v/>
      </c>
      <c r="BM28" s="13" t="str">
        <f>IF($U$6=TRUE(),5712.5,"")</f>
        <v/>
      </c>
      <c r="BN28" s="14"/>
      <c r="BO28" s="14"/>
    </row>
    <row r="29" spans="1:67" ht="15" customHeight="1">
      <c r="A29" s="9" t="s">
        <v>88</v>
      </c>
      <c r="B29" s="10" t="str">
        <f>IF($V$6=TRUE(),272.2,"")</f>
        <v/>
      </c>
      <c r="C29" s="10" t="str">
        <f>IF($V$6=TRUE(),275.8,"")</f>
        <v/>
      </c>
      <c r="D29" s="10" t="str">
        <f>IF($V$6=TRUE(),284.2,"")</f>
        <v/>
      </c>
      <c r="E29" s="10" t="str">
        <f>IF($V$6=TRUE(),291.2,"")</f>
        <v/>
      </c>
      <c r="F29" s="10" t="str">
        <f>IF($V$6=TRUE(),302.6,"")</f>
        <v/>
      </c>
      <c r="G29" s="10" t="str">
        <f>IF($V$6=TRUE(),309.5,"")</f>
        <v/>
      </c>
      <c r="H29" s="10" t="str">
        <f>IF($V$6=TRUE(),386.2,"")</f>
        <v/>
      </c>
      <c r="I29" s="10" t="str">
        <f>IF($V$6=TRUE(),397.8,"")</f>
        <v/>
      </c>
      <c r="J29" s="10" t="str">
        <f>IF($V$6=TRUE(),466.3,"")</f>
        <v/>
      </c>
      <c r="K29" s="10" t="str">
        <f>IF($V$6=TRUE(),470.3,"")</f>
        <v/>
      </c>
      <c r="L29" s="10" t="str">
        <f>IF($V$6=TRUE(),476.6,"")</f>
        <v/>
      </c>
      <c r="M29" s="10" t="str">
        <f>IF($V$6=TRUE(),479.8,"")</f>
        <v/>
      </c>
      <c r="N29" s="10" t="str">
        <f>IF($V$6=TRUE(),532.3,"")</f>
        <v/>
      </c>
      <c r="O29" s="10" t="str">
        <f>IF($V$6=TRUE(),556.3,"")</f>
        <v/>
      </c>
      <c r="P29" s="10" t="str">
        <f>IF($V$6=TRUE(),560.3,"")</f>
        <v/>
      </c>
      <c r="Q29" s="10" t="str">
        <f>IF($V$6=TRUE(),562,"")</f>
        <v/>
      </c>
      <c r="R29" s="10" t="str">
        <f>IF($V$6=TRUE(),576.4,"")</f>
        <v/>
      </c>
      <c r="S29" s="10" t="str">
        <f>IF($V$6=TRUE(),578.6,"")</f>
        <v/>
      </c>
      <c r="T29" s="10" t="str">
        <f>IF($V$6=TRUE(),598.3,"")</f>
        <v/>
      </c>
      <c r="U29" s="10" t="str">
        <f>IF($V$6=TRUE(),599.5,"")</f>
        <v/>
      </c>
      <c r="V29" s="10" t="str">
        <f>IF($V$6=TRUE(),624.4,"")</f>
        <v/>
      </c>
      <c r="W29" s="10" t="str">
        <f>IF($V$6=TRUE(),630.9,"")</f>
        <v/>
      </c>
      <c r="X29" s="10" t="str">
        <f>IF($V$6=TRUE(),620,"")</f>
        <v/>
      </c>
      <c r="Y29" s="10" t="str">
        <f>IF($V$6=TRUE(),622.1,"")</f>
        <v/>
      </c>
      <c r="Z29" s="10" t="str">
        <f>IF($V$6=TRUE(),643.1,"")</f>
        <v/>
      </c>
      <c r="AA29" s="10" t="str">
        <f>IF($V$6=TRUE(),647.3,"")</f>
        <v/>
      </c>
      <c r="AB29" s="10" t="str">
        <f>IF($V$6=TRUE(),675.8,"")</f>
        <v/>
      </c>
      <c r="AC29" s="10" t="str">
        <f>IF($V$6=TRUE(),677.9,"")</f>
        <v/>
      </c>
      <c r="AD29" s="10" t="str">
        <f>IF($V$6=TRUE(),738.6,"")</f>
        <v/>
      </c>
      <c r="AE29" s="10" t="str">
        <f>IF($V$6=TRUE(),778,"")</f>
        <v/>
      </c>
      <c r="AF29" s="10" t="str">
        <f>IF($V$6=TRUE(),794.7,"")</f>
        <v/>
      </c>
      <c r="AG29" s="10" t="str">
        <f>IF($V$6=TRUE(),832.8,"")</f>
        <v/>
      </c>
      <c r="AH29" s="10" t="str">
        <f>IF($V$6=TRUE(),876.5,"")</f>
        <v/>
      </c>
      <c r="AI29" s="10" t="str">
        <f>IF($V$6=TRUE(),886.4,"")</f>
        <v/>
      </c>
      <c r="AJ29" s="10" t="str">
        <f>IF($V$6=TRUE(),1041.3,"")</f>
        <v/>
      </c>
      <c r="AK29" s="10" t="str">
        <f>IF($V$6=TRUE(),1110.4,"")</f>
        <v/>
      </c>
      <c r="AL29" s="10" t="str">
        <f>IF($V$6=TRUE(),1138.6,"")</f>
        <v/>
      </c>
      <c r="AM29" s="10" t="str">
        <f>IF($V$6=TRUE(),1150.4,"")</f>
        <v/>
      </c>
      <c r="AN29" s="10" t="str">
        <f>IF($V$6=TRUE(),1355.8,"")</f>
        <v/>
      </c>
      <c r="AO29" s="10" t="str">
        <f>IF($V$6=TRUE(),1526.8,"")</f>
        <v/>
      </c>
      <c r="AP29" s="10" t="str">
        <f>IF($V$6=TRUE(),1535.6,"")</f>
        <v/>
      </c>
      <c r="AQ29" s="10" t="str">
        <f>IF($V$6=TRUE(),1583.4,"")</f>
        <v/>
      </c>
      <c r="AR29" s="10" t="str">
        <f>IF($V$6=TRUE(),1854.4,"")</f>
        <v/>
      </c>
      <c r="AS29" s="10" t="str">
        <f>IF($V$6=TRUE(),1943.1,"")</f>
        <v/>
      </c>
      <c r="AT29" s="10" t="str">
        <f>IF($V$6=TRUE(),2525.8,"")</f>
        <v/>
      </c>
      <c r="AU29" s="10" t="str">
        <f>IF($V$6=TRUE(),2734.4,"")</f>
        <v/>
      </c>
      <c r="AV29" s="10" t="str">
        <f>IF($V$6=TRUE(),2774.9,"")</f>
        <v/>
      </c>
      <c r="AW29" s="10" t="str">
        <f>IF($V$6=TRUE(),2842.1,"")</f>
        <v/>
      </c>
      <c r="AX29" s="10" t="str">
        <f>IF($V$6=TRUE(),3528.1,"")</f>
        <v/>
      </c>
      <c r="AY29" s="10" t="str">
        <f>IF($V$6=TRUE(),3681.9,"")</f>
        <v/>
      </c>
      <c r="AZ29" s="10" t="str">
        <f>IF($V$6=TRUE(),3856,"")</f>
        <v/>
      </c>
      <c r="BA29" s="10" t="str">
        <f>IF($V$6=TRUE(),4048.7,"")</f>
        <v/>
      </c>
      <c r="BB29" s="10" t="str">
        <f>IF($V$6=TRUE(),4052.9,"")</f>
        <v/>
      </c>
      <c r="BC29" s="10" t="str">
        <f>IF($V$6=TRUE(),4116.8,"")</f>
        <v/>
      </c>
      <c r="BD29" s="10" t="str">
        <f>IF($V$6=TRUE(),4826.9,"")</f>
        <v/>
      </c>
      <c r="BE29" s="10" t="str">
        <f>IF($V$6=TRUE(),4936.8,"")</f>
        <v/>
      </c>
      <c r="BF29" s="10" t="str">
        <f>IF($V$6=TRUE(),5085.2,"")</f>
        <v/>
      </c>
      <c r="BG29" s="10" t="str">
        <f>IF($V$6=TRUE(),5148.1,"")</f>
        <v/>
      </c>
      <c r="BH29" s="10" t="str">
        <f>IF($V$6=TRUE(),6045.6,"")</f>
        <v/>
      </c>
      <c r="BI29" s="10" t="str">
        <f>IF($V$6=TRUE(),6421.6,"")</f>
        <v/>
      </c>
      <c r="BJ29" s="10" t="str">
        <f>IF($V$6=TRUE(),6603.2,"")</f>
        <v/>
      </c>
      <c r="BK29" s="10" t="str">
        <f>IF($V$6=TRUE(),6936.1,"")</f>
        <v/>
      </c>
      <c r="BL29" s="10" t="str">
        <f>IF($V$6=TRUE(),7055.9,"")</f>
        <v/>
      </c>
      <c r="BM29" s="10" t="str">
        <f>IF($V$6=TRUE(),7237.1,"")</f>
        <v/>
      </c>
      <c r="BN29" s="11"/>
      <c r="BO29" s="11"/>
    </row>
    <row r="30" spans="1:67" ht="15" customHeight="1">
      <c r="A30" s="12" t="s">
        <v>89</v>
      </c>
      <c r="B30" s="13" t="str">
        <f>IF($W$6=TRUE(),219.5,"")</f>
        <v/>
      </c>
      <c r="C30" s="13" t="str">
        <f>IF($W$6=TRUE(),230.3,"")</f>
        <v/>
      </c>
      <c r="D30" s="13" t="str">
        <f>IF($W$6=TRUE(),242.9,"")</f>
        <v/>
      </c>
      <c r="E30" s="13" t="str">
        <f>IF($W$6=TRUE(),248,"")</f>
        <v/>
      </c>
      <c r="F30" s="13" t="str">
        <f>IF($W$6=TRUE(),258.5,"")</f>
        <v/>
      </c>
      <c r="G30" s="13" t="str">
        <f>IF($W$6=TRUE(),264.6,"")</f>
        <v/>
      </c>
      <c r="H30" s="13" t="str">
        <f>IF($W$6=TRUE(),295.2,"")</f>
        <v/>
      </c>
      <c r="I30" s="13" t="str">
        <f>IF($W$6=TRUE(),321.7,"")</f>
        <v/>
      </c>
      <c r="J30" s="13" t="str">
        <f>IF($W$6=TRUE(),352.3,"")</f>
        <v/>
      </c>
      <c r="K30" s="13" t="str">
        <f>IF($W$6=TRUE(),353.9,"")</f>
        <v/>
      </c>
      <c r="L30" s="13" t="str">
        <f>IF($W$6=TRUE(),361.4,"")</f>
        <v/>
      </c>
      <c r="M30" s="13" t="str">
        <f>IF($W$6=TRUE(),367.2,"")</f>
        <v/>
      </c>
      <c r="N30" s="13" t="str">
        <f>IF($W$6=TRUE(),404.2,"")</f>
        <v/>
      </c>
      <c r="O30" s="13" t="str">
        <f>IF($W$6=TRUE(),409.1,"")</f>
        <v/>
      </c>
      <c r="P30" s="13" t="str">
        <f>IF($W$6=TRUE(),420,"")</f>
        <v/>
      </c>
      <c r="Q30" s="13" t="str">
        <f>IF($W$6=TRUE(),420.8,"")</f>
        <v/>
      </c>
      <c r="R30" s="13" t="str">
        <f>IF($W$6=TRUE(),427.5,"")</f>
        <v/>
      </c>
      <c r="S30" s="13" t="str">
        <f>IF($W$6=TRUE(),428.4,"")</f>
        <v/>
      </c>
      <c r="T30" s="13" t="str">
        <f>IF($W$6=TRUE(),429.1,"")</f>
        <v/>
      </c>
      <c r="U30" s="13" t="str">
        <f>IF($W$6=TRUE(),429.5,"")</f>
        <v/>
      </c>
      <c r="V30" s="13" t="str">
        <f>IF($W$6=TRUE(),435.9,"")</f>
        <v/>
      </c>
      <c r="W30" s="13" t="str">
        <f>IF($W$6=TRUE(),437,"")</f>
        <v/>
      </c>
      <c r="X30" s="13" t="str">
        <f>IF($W$6=TRUE(),443,"")</f>
        <v/>
      </c>
      <c r="Y30" s="13" t="str">
        <f>IF($W$6=TRUE(),443.7,"")</f>
        <v/>
      </c>
      <c r="Z30" s="13" t="str">
        <f>IF($W$6=TRUE(),468.8,"")</f>
        <v/>
      </c>
      <c r="AA30" s="13" t="str">
        <f>IF($W$6=TRUE(),470.2,"")</f>
        <v/>
      </c>
      <c r="AB30" s="13" t="str">
        <f>IF($W$6=TRUE(),488.9,"")</f>
        <v/>
      </c>
      <c r="AC30" s="13" t="str">
        <f>IF($W$6=TRUE(),506.7,"")</f>
        <v/>
      </c>
      <c r="AD30" s="13" t="str">
        <f>IF($W$6=TRUE(),573.7,"")</f>
        <v/>
      </c>
      <c r="AE30" s="13" t="str">
        <f>IF($W$6=TRUE(),650.7,"")</f>
        <v/>
      </c>
      <c r="AF30" s="13" t="str">
        <f>IF($W$6=TRUE(),670.1,"")</f>
        <v/>
      </c>
      <c r="AG30" s="13" t="str">
        <f>IF($W$6=TRUE(),677.1,"")</f>
        <v/>
      </c>
      <c r="AH30" s="13" t="str">
        <f>IF($W$6=TRUE(),699.4,"")</f>
        <v/>
      </c>
      <c r="AI30" s="13" t="str">
        <f>IF($W$6=TRUE(),703.4,"")</f>
        <v/>
      </c>
      <c r="AJ30" s="13" t="str">
        <f>IF($W$6=TRUE(),798.5,"")</f>
        <v/>
      </c>
      <c r="AK30" s="13" t="str">
        <f>IF($W$6=TRUE(),845.1,"")</f>
        <v/>
      </c>
      <c r="AL30" s="13" t="str">
        <f>IF($W$6=TRUE(),873,"")</f>
        <v/>
      </c>
      <c r="AM30" s="13" t="str">
        <f>IF($W$6=TRUE(),955.8,"")</f>
        <v/>
      </c>
      <c r="AN30" s="13" t="str">
        <f>IF($W$6=TRUE(),1129.5,"")</f>
        <v/>
      </c>
      <c r="AO30" s="13" t="str">
        <f>IF($W$6=TRUE(),1243.2,"")</f>
        <v/>
      </c>
      <c r="AP30" s="13" t="str">
        <f>IF($W$6=TRUE(),1246.3,"")</f>
        <v/>
      </c>
      <c r="AQ30" s="13" t="str">
        <f>IF($W$6=TRUE(),1340.9,"")</f>
        <v/>
      </c>
      <c r="AR30" s="13" t="str">
        <f>IF($W$6=TRUE(),1513.5,"")</f>
        <v/>
      </c>
      <c r="AS30" s="13" t="str">
        <f>IF($W$6=TRUE(),1600.8,"")</f>
        <v/>
      </c>
      <c r="AT30" s="13" t="str">
        <f>IF($W$6=TRUE(),2016.5,"")</f>
        <v/>
      </c>
      <c r="AU30" s="13" t="str">
        <f>IF($W$6=TRUE(),2148.4,"")</f>
        <v/>
      </c>
      <c r="AV30" s="13" t="str">
        <f>IF($W$6=TRUE(),2262.5,"")</f>
        <v/>
      </c>
      <c r="AW30" s="13" t="str">
        <f>IF($W$6=TRUE(),2305.5,"")</f>
        <v/>
      </c>
      <c r="AX30" s="13" t="str">
        <f>IF($W$6=TRUE(),2686.9,"")</f>
        <v/>
      </c>
      <c r="AY30" s="13" t="str">
        <f>IF($W$6=TRUE(),2835.2,"")</f>
        <v/>
      </c>
      <c r="AZ30" s="13" t="str">
        <f>IF($W$6=TRUE(),3081.5,"")</f>
        <v/>
      </c>
      <c r="BA30" s="13" t="str">
        <f>IF($W$6=TRUE(),3396.2,"")</f>
        <v/>
      </c>
      <c r="BB30" s="13" t="str">
        <f>IF($W$6=TRUE(),3398.7,"")</f>
        <v/>
      </c>
      <c r="BC30" s="13" t="str">
        <f>IF($W$6=TRUE(),3600.5,"")</f>
        <v/>
      </c>
      <c r="BD30" s="13" t="str">
        <f>IF($W$6=TRUE(),4093.2,"")</f>
        <v/>
      </c>
      <c r="BE30" s="13" t="str">
        <f>IF($W$6=TRUE(),4140.4,"")</f>
        <v/>
      </c>
      <c r="BF30" s="13" t="str">
        <f>IF($W$6=TRUE(),4486.9,"")</f>
        <v/>
      </c>
      <c r="BG30" s="13" t="str">
        <f>IF($W$6=TRUE(),4508.3,"")</f>
        <v/>
      </c>
      <c r="BH30" s="13" t="str">
        <f>IF($W$6=TRUE(),5321.4,"")</f>
        <v/>
      </c>
      <c r="BI30" s="13" t="str">
        <f>IF($W$6=TRUE(),5587.1,"")</f>
        <v/>
      </c>
      <c r="BJ30" s="13" t="str">
        <f>IF($W$6=TRUE(),5790.6,"")</f>
        <v/>
      </c>
      <c r="BK30" s="13" t="str">
        <f>IF($W$6=TRUE(),6102.1,"")</f>
        <v/>
      </c>
      <c r="BL30" s="13" t="str">
        <f>IF($W$6=TRUE(),6236.5,"")</f>
        <v/>
      </c>
      <c r="BM30" s="13" t="str">
        <f>IF($W$6=TRUE(),6282.3,"")</f>
        <v/>
      </c>
      <c r="BN30" s="14"/>
      <c r="BO30" s="14"/>
    </row>
    <row r="31" spans="1:67" ht="15" customHeight="1">
      <c r="A31" s="9" t="s">
        <v>90</v>
      </c>
      <c r="B31" s="10" t="str">
        <f>IF($X$6=TRUE(),230.4,"")</f>
        <v/>
      </c>
      <c r="C31" s="10" t="str">
        <f>IF($X$6=TRUE(),233.9,"")</f>
        <v/>
      </c>
      <c r="D31" s="10" t="str">
        <f>IF($X$6=TRUE(),244.7,"")</f>
        <v/>
      </c>
      <c r="E31" s="10" t="str">
        <f>IF($X$6=TRUE(),250.5,"")</f>
        <v/>
      </c>
      <c r="F31" s="10" t="str">
        <f>IF($X$6=TRUE(),278.1,"")</f>
        <v/>
      </c>
      <c r="G31" s="10" t="str">
        <f>IF($X$6=TRUE(),292.8,"")</f>
        <v/>
      </c>
      <c r="H31" s="10" t="str">
        <f>IF($X$6=TRUE(),339.5,"")</f>
        <v/>
      </c>
      <c r="I31" s="10" t="str">
        <f>IF($X$6=TRUE(),341,"")</f>
        <v/>
      </c>
      <c r="J31" s="10" t="str">
        <f>IF($X$6=TRUE(),364.5,"")</f>
        <v/>
      </c>
      <c r="K31" s="10" t="str">
        <f>IF($X$6=TRUE(),361.2,"")</f>
        <v/>
      </c>
      <c r="L31" s="10" t="str">
        <f>IF($X$6=TRUE(),375.5,"")</f>
        <v/>
      </c>
      <c r="M31" s="10" t="str">
        <f>IF($X$6=TRUE(),374.4,"")</f>
        <v/>
      </c>
      <c r="N31" s="10" t="str">
        <f>IF($X$6=TRUE(),419.5,"")</f>
        <v/>
      </c>
      <c r="O31" s="10" t="str">
        <f>IF($X$6=TRUE(),421.3,"")</f>
        <v/>
      </c>
      <c r="P31" s="10" t="str">
        <f>IF($X$6=TRUE(),428.7,"")</f>
        <v/>
      </c>
      <c r="Q31" s="10" t="str">
        <f>IF($X$6=TRUE(),429.7,"")</f>
        <v/>
      </c>
      <c r="R31" s="10" t="str">
        <f>IF($X$6=TRUE(),435.5,"")</f>
        <v/>
      </c>
      <c r="S31" s="10" t="str">
        <f>IF($X$6=TRUE(),432.9,"")</f>
        <v/>
      </c>
      <c r="T31" s="10" t="str">
        <f>IF($X$6=TRUE(),437.8,"")</f>
        <v/>
      </c>
      <c r="U31" s="10" t="str">
        <f>IF($X$6=TRUE(),435.2,"")</f>
        <v/>
      </c>
      <c r="V31" s="10" t="str">
        <f>IF($X$6=TRUE(),454,"")</f>
        <v/>
      </c>
      <c r="W31" s="10" t="str">
        <f>IF($X$6=TRUE(),457,"")</f>
        <v/>
      </c>
      <c r="X31" s="10" t="str">
        <f>IF($X$6=TRUE(),483,"")</f>
        <v/>
      </c>
      <c r="Y31" s="10" t="str">
        <f>IF($X$6=TRUE(),490.1,"")</f>
        <v/>
      </c>
      <c r="Z31" s="10" t="str">
        <f>IF($X$6=TRUE(),512.5,"")</f>
        <v/>
      </c>
      <c r="AA31" s="10" t="str">
        <f>IF($X$6=TRUE(),518.9,"")</f>
        <v/>
      </c>
      <c r="AB31" s="10" t="str">
        <f>IF($X$6=TRUE(),533.8,"")</f>
        <v/>
      </c>
      <c r="AC31" s="10" t="str">
        <f>IF($X$6=TRUE(),546.4,"")</f>
        <v/>
      </c>
      <c r="AD31" s="10" t="str">
        <f>IF($X$6=TRUE(),632.2,"")</f>
        <v/>
      </c>
      <c r="AE31" s="10" t="str">
        <f>IF($X$6=TRUE(),681.9,"")</f>
        <v/>
      </c>
      <c r="AF31" s="10" t="str">
        <f>IF($X$6=TRUE(),751.9,"")</f>
        <v/>
      </c>
      <c r="AG31" s="10" t="str">
        <f>IF($X$6=TRUE(),852.2,"")</f>
        <v/>
      </c>
      <c r="AH31" s="10" t="str">
        <f>IF($X$6=TRUE(),915.2,"")</f>
        <v/>
      </c>
      <c r="AI31" s="10" t="str">
        <f>IF($X$6=TRUE(),918.4,"")</f>
        <v/>
      </c>
      <c r="AJ31" s="10" t="str">
        <f>IF($X$6=TRUE(),1083.2,"")</f>
        <v/>
      </c>
      <c r="AK31" s="10" t="str">
        <f>IF($X$6=TRUE(),1056.8,"")</f>
        <v/>
      </c>
      <c r="AL31" s="10" t="str">
        <f>IF($X$6=TRUE(),1088.6,"")</f>
        <v/>
      </c>
      <c r="AM31" s="10" t="str">
        <f>IF($X$6=TRUE(),1180.1,"")</f>
        <v/>
      </c>
      <c r="AN31" s="10" t="str">
        <f>IF($X$6=TRUE(),1412.9,"")</f>
        <v/>
      </c>
      <c r="AO31" s="10" t="str">
        <f>IF($X$6=TRUE(),1733.5,"")</f>
        <v/>
      </c>
      <c r="AP31" s="10" t="str">
        <f>IF($X$6=TRUE(),1769.4,"")</f>
        <v/>
      </c>
      <c r="AQ31" s="10" t="str">
        <f>IF($X$6=TRUE(),1887.3,"")</f>
        <v/>
      </c>
      <c r="AR31" s="10" t="str">
        <f>IF($X$6=TRUE(),2065.7,"")</f>
        <v/>
      </c>
      <c r="AS31" s="10" t="str">
        <f>IF($X$6=TRUE(),2329.3,"")</f>
        <v/>
      </c>
      <c r="AT31" s="10" t="str">
        <f>IF($X$6=TRUE(),2717.7,"")</f>
        <v/>
      </c>
      <c r="AU31" s="10" t="str">
        <f>IF($X$6=TRUE(),2976.4,"")</f>
        <v/>
      </c>
      <c r="AV31" s="10" t="str">
        <f>IF($X$6=TRUE(),3073.8,"")</f>
        <v/>
      </c>
      <c r="AW31" s="10" t="str">
        <f>IF($X$6=TRUE(),3057.8,"")</f>
        <v/>
      </c>
      <c r="AX31" s="10" t="str">
        <f>IF($X$6=TRUE(),3600.1,"")</f>
        <v/>
      </c>
      <c r="AY31" s="10" t="str">
        <f>IF($X$6=TRUE(),3666.6,"")</f>
        <v/>
      </c>
      <c r="AZ31" s="10" t="str">
        <f>IF($X$6=TRUE(),3915.6,"")</f>
        <v/>
      </c>
      <c r="BA31" s="10" t="str">
        <f>IF($X$6=TRUE(),4341,"")</f>
        <v/>
      </c>
      <c r="BB31" s="10" t="str">
        <f>IF($X$6=TRUE(),4554.2,"")</f>
        <v/>
      </c>
      <c r="BC31" s="10" t="str">
        <f>IF($X$6=TRUE(),4799.6,"")</f>
        <v/>
      </c>
      <c r="BD31" s="10" t="str">
        <f>IF($X$6=TRUE(),5184.5,"")</f>
        <v/>
      </c>
      <c r="BE31" s="10" t="str">
        <f>IF($X$6=TRUE(),5123.7,"")</f>
        <v/>
      </c>
      <c r="BF31" s="10" t="str">
        <f>IF($X$6=TRUE(),5386.3,"")</f>
        <v/>
      </c>
      <c r="BG31" s="10" t="str">
        <f>IF($X$6=TRUE(),5467.6,"")</f>
        <v/>
      </c>
      <c r="BH31" s="10" t="str">
        <f>IF($X$6=TRUE(),6014.1,"")</f>
        <v/>
      </c>
      <c r="BI31" s="10" t="str">
        <f>IF($X$6=TRUE(),6243.1,"")</f>
        <v/>
      </c>
      <c r="BJ31" s="10" t="str">
        <f>IF($X$6=TRUE(),6733,"")</f>
        <v/>
      </c>
      <c r="BK31" s="10" t="str">
        <f>IF($X$6=TRUE(),7084.7,"")</f>
        <v/>
      </c>
      <c r="BL31" s="10" t="str">
        <f>IF($X$6=TRUE(),7233.6,"")</f>
        <v/>
      </c>
      <c r="BM31" s="10" t="str">
        <f>IF($X$6=TRUE(),7368,"")</f>
        <v/>
      </c>
      <c r="BN31" s="11"/>
      <c r="BO31" s="11"/>
    </row>
    <row r="32" spans="1:67" ht="15" customHeight="1">
      <c r="A32" s="12" t="s">
        <v>91</v>
      </c>
      <c r="B32" s="13" t="str">
        <f>IF($Y$6=TRUE(),166.2,"")</f>
        <v/>
      </c>
      <c r="C32" s="13" t="str">
        <f>IF($Y$6=TRUE(),169.5,"")</f>
        <v/>
      </c>
      <c r="D32" s="13" t="str">
        <f>IF($Y$6=TRUE(),180.9,"")</f>
        <v/>
      </c>
      <c r="E32" s="13" t="str">
        <f>IF($Y$6=TRUE(),194.6,"")</f>
        <v/>
      </c>
      <c r="F32" s="13" t="str">
        <f>IF($Y$6=TRUE(),209.7,"")</f>
        <v/>
      </c>
      <c r="G32" s="13" t="str">
        <f>IF($Y$6=TRUE(),218.8,"")</f>
        <v/>
      </c>
      <c r="H32" s="13" t="str">
        <f>IF($Y$6=TRUE(),236.6,"")</f>
        <v/>
      </c>
      <c r="I32" s="13" t="str">
        <f>IF($Y$6=TRUE(),239.3,"")</f>
        <v/>
      </c>
      <c r="J32" s="13" t="str">
        <f>IF($Y$6=TRUE(),263.2,"")</f>
        <v/>
      </c>
      <c r="K32" s="13" t="str">
        <f>IF($Y$6=TRUE(),265.5,"")</f>
        <v/>
      </c>
      <c r="L32" s="13" t="str">
        <f>IF($Y$6=TRUE(),267.8,"")</f>
        <v/>
      </c>
      <c r="M32" s="13" t="str">
        <f>IF($Y$6=TRUE(),271.1,"")</f>
        <v/>
      </c>
      <c r="N32" s="13" t="str">
        <f>IF($Y$6=TRUE(),293.6,"")</f>
        <v/>
      </c>
      <c r="O32" s="13" t="str">
        <f>IF($Y$6=TRUE(),296.5,"")</f>
        <v/>
      </c>
      <c r="P32" s="13" t="str">
        <f>IF($Y$6=TRUE(),304.7,"")</f>
        <v/>
      </c>
      <c r="Q32" s="13" t="str">
        <f>IF($Y$6=TRUE(),307.1,"")</f>
        <v/>
      </c>
      <c r="R32" s="13" t="str">
        <f>IF($Y$6=TRUE(),324.8,"")</f>
        <v/>
      </c>
      <c r="S32" s="13" t="str">
        <f>IF($Y$6=TRUE(),326.7,"")</f>
        <v/>
      </c>
      <c r="T32" s="13" t="str">
        <f>IF($Y$6=TRUE(),328.7,"")</f>
        <v/>
      </c>
      <c r="U32" s="13" t="str">
        <f>IF($Y$6=TRUE(),330.2,"")</f>
        <v/>
      </c>
      <c r="V32" s="13" t="str">
        <f>IF($Y$6=TRUE(),346.9,"")</f>
        <v/>
      </c>
      <c r="W32" s="13" t="str">
        <f>IF($Y$6=TRUE(),348.9,"")</f>
        <v/>
      </c>
      <c r="X32" s="13" t="str">
        <f>IF($Y$6=TRUE(),353,"")</f>
        <v/>
      </c>
      <c r="Y32" s="13" t="str">
        <f>IF($Y$6=TRUE(),354.7,"")</f>
        <v/>
      </c>
      <c r="Z32" s="13" t="str">
        <f>IF($Y$6=TRUE(),381,"")</f>
        <v/>
      </c>
      <c r="AA32" s="13" t="str">
        <f>IF($Y$6=TRUE(),385.7,"")</f>
        <v/>
      </c>
      <c r="AB32" s="13" t="str">
        <f>IF($Y$6=TRUE(),388.1,"")</f>
        <v/>
      </c>
      <c r="AC32" s="13" t="str">
        <f>IF($Y$6=TRUE(),390.2,"")</f>
        <v/>
      </c>
      <c r="AD32" s="13" t="str">
        <f>IF($Y$6=TRUE(),443.8,"")</f>
        <v/>
      </c>
      <c r="AE32" s="13" t="str">
        <f>IF($Y$6=TRUE(),482.7,"")</f>
        <v/>
      </c>
      <c r="AF32" s="13" t="str">
        <f>IF($Y$6=TRUE(),490.3,"")</f>
        <v/>
      </c>
      <c r="AG32" s="13" t="str">
        <f>IF($Y$6=TRUE(),491.9,"")</f>
        <v/>
      </c>
      <c r="AH32" s="13" t="str">
        <f>IF($Y$6=TRUE(),547.9,"")</f>
        <v/>
      </c>
      <c r="AI32" s="13" t="str">
        <f>IF($Y$6=TRUE(),554.7,"")</f>
        <v/>
      </c>
      <c r="AJ32" s="13" t="str">
        <f>IF($Y$6=TRUE(),620.1,"")</f>
        <v/>
      </c>
      <c r="AK32" s="13" t="str">
        <f>IF($Y$6=TRUE(),634.8,"")</f>
        <v/>
      </c>
      <c r="AL32" s="13" t="str">
        <f>IF($Y$6=TRUE(),645.3,"")</f>
        <v/>
      </c>
      <c r="AM32" s="13" t="str">
        <f>IF($Y$6=TRUE(),655.1,"")</f>
        <v/>
      </c>
      <c r="AN32" s="13" t="str">
        <f>IF($Y$6=TRUE(),761.7,"")</f>
        <v/>
      </c>
      <c r="AO32" s="13" t="str">
        <f>IF($Y$6=TRUE(),818.2,"")</f>
        <v/>
      </c>
      <c r="AP32" s="13" t="str">
        <f>IF($Y$6=TRUE(),819.7,"")</f>
        <v/>
      </c>
      <c r="AQ32" s="13" t="str">
        <f>IF($Y$6=TRUE(),829.6,"")</f>
        <v/>
      </c>
      <c r="AR32" s="13" t="str">
        <f>IF($Y$6=TRUE(),1043.1,"")</f>
        <v/>
      </c>
      <c r="AS32" s="13" t="str">
        <f>IF($Y$6=TRUE(),1109.8,"")</f>
        <v/>
      </c>
      <c r="AT32" s="13" t="str">
        <f>IF($Y$6=TRUE(),1472.1,"")</f>
        <v/>
      </c>
      <c r="AU32" s="13" t="str">
        <f>IF($Y$6=TRUE(),1583,"")</f>
        <v/>
      </c>
      <c r="AV32" s="13" t="str">
        <f>IF($Y$6=TRUE(),1611.5,"")</f>
        <v/>
      </c>
      <c r="AW32" s="13" t="str">
        <f>IF($Y$6=TRUE(),1645.7,"")</f>
        <v/>
      </c>
      <c r="AX32" s="13" t="str">
        <f>IF($Y$6=TRUE(),2074.1,"")</f>
        <v/>
      </c>
      <c r="AY32" s="13" t="str">
        <f>IF($Y$6=TRUE(),2140,"")</f>
        <v/>
      </c>
      <c r="AZ32" s="13" t="str">
        <f>IF($Y$6=TRUE(),2225.3,"")</f>
        <v/>
      </c>
      <c r="BA32" s="13" t="str">
        <f>IF($Y$6=TRUE(),2329.1,"")</f>
        <v/>
      </c>
      <c r="BB32" s="13" t="str">
        <f>IF($Y$6=TRUE(),2329.9,"")</f>
        <v/>
      </c>
      <c r="BC32" s="13" t="str">
        <f>IF($Y$6=TRUE(),2436.1,"")</f>
        <v/>
      </c>
      <c r="BD32" s="13" t="str">
        <f>IF($Y$6=TRUE(),2846.6,"")</f>
        <v/>
      </c>
      <c r="BE32" s="13" t="str">
        <f>IF($Y$6=TRUE(),2905.3,"")</f>
        <v/>
      </c>
      <c r="BF32" s="13" t="str">
        <f>IF($Y$6=TRUE(),3177.1,"")</f>
        <v/>
      </c>
      <c r="BG32" s="13" t="str">
        <f>IF($Y$6=TRUE(),3216.3,"")</f>
        <v/>
      </c>
      <c r="BH32" s="13" t="str">
        <f>IF($Y$6=TRUE(),3734.1,"")</f>
        <v/>
      </c>
      <c r="BI32" s="13" t="str">
        <f>IF($Y$6=TRUE(),3854.1,"")</f>
        <v/>
      </c>
      <c r="BJ32" s="13" t="str">
        <f>IF($Y$6=TRUE(),4066.1,"")</f>
        <v/>
      </c>
      <c r="BK32" s="13" t="str">
        <f>IF($Y$6=TRUE(),4224,"")</f>
        <v/>
      </c>
      <c r="BL32" s="13" t="str">
        <f>IF($Y$6=TRUE(),4360.8,"")</f>
        <v/>
      </c>
      <c r="BM32" s="13" t="str">
        <f>IF($Y$6=TRUE(),4407,"")</f>
        <v/>
      </c>
      <c r="BN32" s="14"/>
      <c r="BO32" s="14"/>
    </row>
    <row r="33" spans="1:67" ht="15" customHeight="1">
      <c r="A33" s="9" t="s">
        <v>92</v>
      </c>
      <c r="B33" s="10" t="str">
        <f>IF($Z$6=TRUE(),263.2,"")</f>
        <v/>
      </c>
      <c r="C33" s="10" t="str">
        <f>IF($Z$6=TRUE(),272.5,"")</f>
        <v/>
      </c>
      <c r="D33" s="10" t="str">
        <f>IF($Z$6=TRUE(),281.4,"")</f>
        <v/>
      </c>
      <c r="E33" s="10" t="str">
        <f>IF($Z$6=TRUE(),284.7,"")</f>
        <v/>
      </c>
      <c r="F33" s="10" t="str">
        <f>IF($Z$6=TRUE(),317.5,"")</f>
        <v/>
      </c>
      <c r="G33" s="10" t="str">
        <f>IF($Z$6=TRUE(),336.2,"")</f>
        <v/>
      </c>
      <c r="H33" s="10" t="str">
        <f>IF($Z$6=TRUE(),358.6,"")</f>
        <v/>
      </c>
      <c r="I33" s="10" t="str">
        <f>IF($Z$6=TRUE(),364,"")</f>
        <v/>
      </c>
      <c r="J33" s="10" t="str">
        <f>IF($Z$6=TRUE(),411.7,"")</f>
        <v/>
      </c>
      <c r="K33" s="10" t="str">
        <f>IF($Z$6=TRUE(),416.7,"")</f>
        <v/>
      </c>
      <c r="L33" s="10" t="str">
        <f>IF($Z$6=TRUE(),423.6,"")</f>
        <v/>
      </c>
      <c r="M33" s="10" t="str">
        <f>IF($Z$6=TRUE(),431.4,"")</f>
        <v/>
      </c>
      <c r="N33" s="10" t="str">
        <f>IF($Z$6=TRUE(),471.6,"")</f>
        <v/>
      </c>
      <c r="O33" s="10" t="str">
        <f>IF($Z$6=TRUE(),477.4,"")</f>
        <v/>
      </c>
      <c r="P33" s="10" t="str">
        <f>IF($Z$6=TRUE(),484.1,"")</f>
        <v/>
      </c>
      <c r="Q33" s="10" t="str">
        <f>IF($Z$6=TRUE(),488.9,"")</f>
        <v/>
      </c>
      <c r="R33" s="10" t="str">
        <f>IF($Z$6=TRUE(),521.3,"")</f>
        <v/>
      </c>
      <c r="S33" s="10" t="str">
        <f>IF($Z$6=TRUE(),524.2,"")</f>
        <v/>
      </c>
      <c r="T33" s="10" t="str">
        <f>IF($Z$6=TRUE(),527.3,"")</f>
        <v/>
      </c>
      <c r="U33" s="10" t="str">
        <f>IF($Z$6=TRUE(),529.9,"")</f>
        <v/>
      </c>
      <c r="V33" s="10" t="str">
        <f>IF($Z$6=TRUE(),559.6,"")</f>
        <v/>
      </c>
      <c r="W33" s="10" t="str">
        <f>IF($Z$6=TRUE(),563.3,"")</f>
        <v/>
      </c>
      <c r="X33" s="10" t="str">
        <f>IF($Z$6=TRUE(),570,"")</f>
        <v/>
      </c>
      <c r="Y33" s="10" t="str">
        <f>IF($Z$6=TRUE(),573.8,"")</f>
        <v/>
      </c>
      <c r="Z33" s="10" t="str">
        <f>IF($Z$6=TRUE(),613.9,"")</f>
        <v/>
      </c>
      <c r="AA33" s="10" t="str">
        <f>IF($Z$6=TRUE(),617.8,"")</f>
        <v/>
      </c>
      <c r="AB33" s="10" t="str">
        <f>IF($Z$6=TRUE(),629.1,"")</f>
        <v/>
      </c>
      <c r="AC33" s="10" t="str">
        <f>IF($Z$6=TRUE(),640,"")</f>
        <v/>
      </c>
      <c r="AD33" s="10" t="str">
        <f>IF($Z$6=TRUE(),788.7,"")</f>
        <v/>
      </c>
      <c r="AE33" s="10" t="str">
        <f>IF($Z$6=TRUE(),856,"")</f>
        <v/>
      </c>
      <c r="AF33" s="10" t="str">
        <f>IF($Z$6=TRUE(),893.7,"")</f>
        <v/>
      </c>
      <c r="AG33" s="10" t="str">
        <f>IF($Z$6=TRUE(),904.4,"")</f>
        <v/>
      </c>
      <c r="AH33" s="10" t="str">
        <f>IF($Z$6=TRUE(),922.4,"")</f>
        <v/>
      </c>
      <c r="AI33" s="10" t="str">
        <f>IF($Z$6=TRUE(),938.4,"")</f>
        <v/>
      </c>
      <c r="AJ33" s="10" t="str">
        <f>IF($Z$6=TRUE(),1100.9,"")</f>
        <v/>
      </c>
      <c r="AK33" s="10" t="str">
        <f>IF($Z$6=TRUE(),1135.4,"")</f>
        <v/>
      </c>
      <c r="AL33" s="10" t="str">
        <f>IF($Z$6=TRUE(),1155.1,"")</f>
        <v/>
      </c>
      <c r="AM33" s="10" t="str">
        <f>IF($Z$6=TRUE(),1181.3,"")</f>
        <v/>
      </c>
      <c r="AN33" s="10" t="str">
        <f>IF($Z$6=TRUE(),1374.5,"")</f>
        <v/>
      </c>
      <c r="AO33" s="10" t="str">
        <f>IF($Z$6=TRUE(),1504.8,"")</f>
        <v/>
      </c>
      <c r="AP33" s="10" t="str">
        <f>IF($Z$6=TRUE(),1522.7,"")</f>
        <v/>
      </c>
      <c r="AQ33" s="10" t="str">
        <f>IF($Z$6=TRUE(),1583.4,"")</f>
        <v/>
      </c>
      <c r="AR33" s="10" t="str">
        <f>IF($Z$6=TRUE(),1793.7,"")</f>
        <v/>
      </c>
      <c r="AS33" s="10" t="str">
        <f>IF($Z$6=TRUE(),1897.9,"")</f>
        <v/>
      </c>
      <c r="AT33" s="10" t="str">
        <f>IF($Z$6=TRUE(),2433.4,"")</f>
        <v/>
      </c>
      <c r="AU33" s="10" t="str">
        <f>IF($Z$6=TRUE(),2610.5,"")</f>
        <v/>
      </c>
      <c r="AV33" s="10" t="str">
        <f>IF($Z$6=TRUE(),2674.6,"")</f>
        <v/>
      </c>
      <c r="AW33" s="10" t="str">
        <f>IF($Z$6=TRUE(),2727.9,"")</f>
        <v/>
      </c>
      <c r="AX33" s="10" t="str">
        <f>IF($Z$6=TRUE(),3458,"")</f>
        <v/>
      </c>
      <c r="AY33" s="10" t="str">
        <f>IF($Z$6=TRUE(),3605.4,"")</f>
        <v/>
      </c>
      <c r="AZ33" s="10" t="str">
        <f>IF($Z$6=TRUE(),3735.9,"")</f>
        <v/>
      </c>
      <c r="BA33" s="10" t="str">
        <f>IF($Z$6=TRUE(),3956,"")</f>
        <v/>
      </c>
      <c r="BB33" s="10" t="str">
        <f>IF($Z$6=TRUE(),3957.9,"")</f>
        <v/>
      </c>
      <c r="BC33" s="10" t="str">
        <f>IF($Z$6=TRUE(),3963.7,"")</f>
        <v/>
      </c>
      <c r="BD33" s="10" t="str">
        <f>IF($Z$6=TRUE(),4733.9,"")</f>
        <v/>
      </c>
      <c r="BE33" s="10" t="str">
        <f>IF($Z$6=TRUE(),4883,"")</f>
        <v/>
      </c>
      <c r="BF33" s="10" t="str">
        <f>IF($Z$6=TRUE(),5010.1,"")</f>
        <v/>
      </c>
      <c r="BG33" s="10" t="str">
        <f>IF($Z$6=TRUE(),5134.2,"")</f>
        <v/>
      </c>
      <c r="BH33" s="10" t="str">
        <f>IF($Z$6=TRUE(),6088.7,"")</f>
        <v/>
      </c>
      <c r="BI33" s="10" t="str">
        <f>IF($Z$6=TRUE(),6375.7,"")</f>
        <v/>
      </c>
      <c r="BJ33" s="10" t="str">
        <f>IF($Z$6=TRUE(),6482.2,"")</f>
        <v/>
      </c>
      <c r="BK33" s="10" t="str">
        <f>IF($Z$6=TRUE(),6781.7,"")</f>
        <v/>
      </c>
      <c r="BL33" s="10" t="str">
        <f>IF($Z$6=TRUE(),6900.5,"")</f>
        <v/>
      </c>
      <c r="BM33" s="10" t="str">
        <f>IF($Z$6=TRUE(),6988.5,"")</f>
        <v/>
      </c>
      <c r="BN33" s="11"/>
      <c r="BO33" s="11"/>
    </row>
    <row r="34" spans="1:67" ht="15" customHeight="1">
      <c r="A34" s="12" t="s">
        <v>93</v>
      </c>
      <c r="B34" s="13" t="str">
        <f>IF($AA$6=TRUE(),284.4,"")</f>
        <v/>
      </c>
      <c r="C34" s="13" t="str">
        <f>IF($AA$6=TRUE(),291.4,"")</f>
        <v/>
      </c>
      <c r="D34" s="13" t="str">
        <f>IF($AA$6=TRUE(),293.2,"")</f>
        <v/>
      </c>
      <c r="E34" s="13" t="str">
        <f>IF($AA$6=TRUE(),325.7,"")</f>
        <v/>
      </c>
      <c r="F34" s="13" t="str">
        <f>IF($AA$6=TRUE(),361.4,"")</f>
        <v/>
      </c>
      <c r="G34" s="13" t="str">
        <f>IF($AA$6=TRUE(),383.8,"")</f>
        <v/>
      </c>
      <c r="H34" s="13" t="str">
        <f>IF($AA$6=TRUE(),394.1,"")</f>
        <v/>
      </c>
      <c r="I34" s="13" t="str">
        <f>IF($AA$6=TRUE(),421.5,"")</f>
        <v/>
      </c>
      <c r="J34" s="13" t="str">
        <f>IF($AA$6=TRUE(),429.3,"")</f>
        <v/>
      </c>
      <c r="K34" s="13" t="str">
        <f>IF($AA$6=TRUE(),429.3,"")</f>
        <v/>
      </c>
      <c r="L34" s="13" t="str">
        <f>IF($AA$6=TRUE(),442.2,"")</f>
        <v/>
      </c>
      <c r="M34" s="13" t="str">
        <f>IF($AA$6=TRUE(),470.5,"")</f>
        <v/>
      </c>
      <c r="N34" s="13" t="str">
        <f>IF($AA$6=TRUE(),520.1,"")</f>
        <v/>
      </c>
      <c r="O34" s="13" t="str">
        <f>IF($AA$6=TRUE(),531.9,"")</f>
        <v/>
      </c>
      <c r="P34" s="13" t="str">
        <f>IF($AA$6=TRUE(),558.3,"")</f>
        <v/>
      </c>
      <c r="Q34" s="13" t="str">
        <f>IF($AA$6=TRUE(),556,"")</f>
        <v/>
      </c>
      <c r="R34" s="13" t="str">
        <f>IF($AA$6=TRUE(),559.4,"")</f>
        <v/>
      </c>
      <c r="S34" s="13" t="str">
        <f>IF($AA$6=TRUE(),568,"")</f>
        <v/>
      </c>
      <c r="T34" s="13" t="str">
        <f>IF($AA$6=TRUE(),582.1,"")</f>
        <v/>
      </c>
      <c r="U34" s="13" t="str">
        <f>IF($AA$6=TRUE(),582.1,"")</f>
        <v/>
      </c>
      <c r="V34" s="13" t="str">
        <f>IF($AA$6=TRUE(),600.6,"")</f>
        <v/>
      </c>
      <c r="W34" s="13" t="str">
        <f>IF($AA$6=TRUE(),608,"")</f>
        <v/>
      </c>
      <c r="X34" s="13" t="str">
        <f>IF($AA$6=TRUE(),608,"")</f>
        <v/>
      </c>
      <c r="Y34" s="13" t="str">
        <f>IF($AA$6=TRUE(),608,"")</f>
        <v/>
      </c>
      <c r="Z34" s="13" t="str">
        <f>IF($AA$6=TRUE(),638.9,"")</f>
        <v/>
      </c>
      <c r="AA34" s="13" t="str">
        <f>IF($AA$6=TRUE(),658.7,"")</f>
        <v/>
      </c>
      <c r="AB34" s="13" t="str">
        <f>IF($AA$6=TRUE(),666.7,"")</f>
        <v/>
      </c>
      <c r="AC34" s="13" t="str">
        <f>IF($AA$6=TRUE(),674.6,"")</f>
        <v/>
      </c>
      <c r="AD34" s="13" t="str">
        <f>IF($AA$6=TRUE(),753.4,"")</f>
        <v/>
      </c>
      <c r="AE34" s="13" t="str">
        <f>IF($AA$6=TRUE(),829.4,"")</f>
        <v/>
      </c>
      <c r="AF34" s="13" t="str">
        <f>IF($AA$6=TRUE(),891.6,"")</f>
        <v/>
      </c>
      <c r="AG34" s="13" t="str">
        <f>IF($AA$6=TRUE(),895.9,"")</f>
        <v/>
      </c>
      <c r="AH34" s="13" t="str">
        <f>IF($AA$6=TRUE(),938.1,"")</f>
        <v/>
      </c>
      <c r="AI34" s="13" t="str">
        <f>IF($AA$6=TRUE(),984.6,"")</f>
        <v/>
      </c>
      <c r="AJ34" s="13" t="str">
        <f>IF($AA$6=TRUE(),1121,"")</f>
        <v/>
      </c>
      <c r="AK34" s="13" t="str">
        <f>IF($AA$6=TRUE(),1194.6,"")</f>
        <v/>
      </c>
      <c r="AL34" s="13" t="str">
        <f>IF($AA$6=TRUE(),1385.2,"")</f>
        <v/>
      </c>
      <c r="AM34" s="13" t="str">
        <f>IF($AA$6=TRUE(),1457.4,"")</f>
        <v/>
      </c>
      <c r="AN34" s="13" t="str">
        <f>IF($AA$6=TRUE(),1897.9,"")</f>
        <v/>
      </c>
      <c r="AO34" s="13" t="str">
        <f>IF($AA$6=TRUE(),2231.8,"")</f>
        <v/>
      </c>
      <c r="AP34" s="13" t="str">
        <f>IF($AA$6=TRUE(),2478.5,"")</f>
        <v/>
      </c>
      <c r="AQ34" s="13" t="str">
        <f>IF($AA$6=TRUE(),2713.1,"")</f>
        <v/>
      </c>
      <c r="AR34" s="13" t="str">
        <f>IF($AA$6=TRUE(),2698.9,"")</f>
        <v/>
      </c>
      <c r="AS34" s="13" t="str">
        <f>IF($AA$6=TRUE(),2777.9,"")</f>
        <v/>
      </c>
      <c r="AT34" s="13" t="str">
        <f>IF($AA$6=TRUE(),3490.1,"")</f>
        <v/>
      </c>
      <c r="AU34" s="13" t="str">
        <f>IF($AA$6=TRUE(),3793.8,"")</f>
        <v/>
      </c>
      <c r="AV34" s="13" t="str">
        <f>IF($AA$6=TRUE(),4058.1,"")</f>
        <v/>
      </c>
      <c r="AW34" s="13" t="str">
        <f>IF($AA$6=TRUE(),4198.2,"")</f>
        <v/>
      </c>
      <c r="AX34" s="13" t="str">
        <f>IF($AA$6=TRUE(),4861.3,"")</f>
        <v/>
      </c>
      <c r="AY34" s="13" t="str">
        <f>IF($AA$6=TRUE(),5108.1,"")</f>
        <v/>
      </c>
      <c r="AZ34" s="13" t="str">
        <f>IF($AA$6=TRUE(),5795.7,"")</f>
        <v/>
      </c>
      <c r="BA34" s="13" t="str">
        <f>IF($AA$6=TRUE(),6219.7,"")</f>
        <v/>
      </c>
      <c r="BB34" s="13" t="str">
        <f>IF($AA$6=TRUE(),6239.2,"")</f>
        <v/>
      </c>
      <c r="BC34" s="13" t="str">
        <f>IF($AA$6=TRUE(),6401.7,"")</f>
        <v/>
      </c>
      <c r="BD34" s="13" t="str">
        <f>IF($AA$6=TRUE(),7528.1,"")</f>
        <v/>
      </c>
      <c r="BE34" s="13" t="str">
        <f>IF($AA$6=TRUE(),7898,"")</f>
        <v/>
      </c>
      <c r="BF34" s="13" t="str">
        <f>IF($AA$6=TRUE(),8496.6,"")</f>
        <v/>
      </c>
      <c r="BG34" s="13" t="str">
        <f>IF($AA$6=TRUE(),8619.4,"")</f>
        <v/>
      </c>
      <c r="BH34" s="13" t="str">
        <f>IF($AA$6=TRUE(),10449.9,"")</f>
        <v/>
      </c>
      <c r="BI34" s="13" t="str">
        <f>IF($AA$6=TRUE(),11265.9,"")</f>
        <v/>
      </c>
      <c r="BJ34" s="13" t="str">
        <f>IF($AA$6=TRUE(),11297.5,"")</f>
        <v/>
      </c>
      <c r="BK34" s="13" t="str">
        <f>IF($AA$6=TRUE(),11664.5,"")</f>
        <v/>
      </c>
      <c r="BL34" s="13" t="str">
        <f>IF($AA$6=TRUE(),12000.2,"")</f>
        <v/>
      </c>
      <c r="BM34" s="13" t="str">
        <f>IF($AA$6=TRUE(),12320.6,"")</f>
        <v/>
      </c>
      <c r="BN34" s="14"/>
      <c r="BO34" s="14"/>
    </row>
    <row r="35" spans="1:67" ht="15" customHeight="1">
      <c r="A35" s="9" t="s">
        <v>94</v>
      </c>
      <c r="B35" s="10" t="str">
        <f>IF($AB$6=TRUE(),412.1,"")</f>
        <v/>
      </c>
      <c r="C35" s="10" t="str">
        <f>IF($AB$6=TRUE(),416.2,"")</f>
        <v/>
      </c>
      <c r="D35" s="10" t="str">
        <f>IF($AB$6=TRUE(),495.7,"")</f>
        <v/>
      </c>
      <c r="E35" s="10" t="str">
        <f>IF($AB$6=TRUE(),538.9,"")</f>
        <v/>
      </c>
      <c r="F35" s="10" t="str">
        <f>IF($AB$6=TRUE(),594.9,"")</f>
        <v/>
      </c>
      <c r="G35" s="10" t="str">
        <f>IF($AB$6=TRUE(),640,"")</f>
        <v/>
      </c>
      <c r="H35" s="10" t="str">
        <f>IF($AB$6=TRUE(),668.4,"")</f>
        <v/>
      </c>
      <c r="I35" s="10" t="str">
        <f>IF($AB$6=TRUE(),783.3,"")</f>
        <v/>
      </c>
      <c r="J35" s="10" t="str">
        <f>IF($AB$6=TRUE(),803,"")</f>
        <v/>
      </c>
      <c r="K35" s="10" t="str">
        <f>IF($AB$6=TRUE(),808.5,"")</f>
        <v/>
      </c>
      <c r="L35" s="10" t="str">
        <f>IF($AB$6=TRUE(),846,"")</f>
        <v/>
      </c>
      <c r="M35" s="10" t="str">
        <f>IF($AB$6=TRUE(),848.5,"")</f>
        <v/>
      </c>
      <c r="N35" s="10" t="str">
        <f>IF($AB$6=TRUE(),864.3,"")</f>
        <v/>
      </c>
      <c r="O35" s="10" t="str">
        <f>IF($AB$6=TRUE(),870.5,"")</f>
        <v/>
      </c>
      <c r="P35" s="10" t="str">
        <f>IF($AB$6=TRUE(),825.9,"")</f>
        <v/>
      </c>
      <c r="Q35" s="10" t="str">
        <f>IF($AB$6=TRUE(),814,"")</f>
        <v/>
      </c>
      <c r="R35" s="10" t="str">
        <f>IF($AB$6=TRUE(),821.4,"")</f>
        <v/>
      </c>
      <c r="S35" s="10" t="str">
        <f>IF($AB$6=TRUE(),821.6,"")</f>
        <v/>
      </c>
      <c r="T35" s="10" t="str">
        <f>IF($AB$6=TRUE(),756.4,"")</f>
        <v/>
      </c>
      <c r="U35" s="10" t="str">
        <f>IF($AB$6=TRUE(),589.4,"")</f>
        <v/>
      </c>
      <c r="V35" s="10" t="str">
        <f>IF($AB$6=TRUE(),609,"")</f>
        <v/>
      </c>
      <c r="W35" s="10" t="str">
        <f>IF($AB$6=TRUE(),656.1,"")</f>
        <v/>
      </c>
      <c r="X35" s="10" t="str">
        <f>IF($AB$6=TRUE(),708.7,"")</f>
        <v/>
      </c>
      <c r="Y35" s="10" t="str">
        <f>IF($AB$6=TRUE(),800.7,"")</f>
        <v/>
      </c>
      <c r="Z35" s="10" t="str">
        <f>IF($AB$6=TRUE(),839.1,"")</f>
        <v/>
      </c>
      <c r="AA35" s="10" t="str">
        <f>IF($AB$6=TRUE(),841.8,"")</f>
        <v/>
      </c>
      <c r="AB35" s="10" t="str">
        <f>IF($AB$6=TRUE(),869,"")</f>
        <v/>
      </c>
      <c r="AC35" s="10" t="str">
        <f>IF($AB$6=TRUE(),964.2,"")</f>
        <v/>
      </c>
      <c r="AD35" s="10" t="str">
        <f>IF($AB$6=TRUE(),1061.5,"")</f>
        <v/>
      </c>
      <c r="AE35" s="10" t="str">
        <f>IF($AB$6=TRUE(),1172.5,"")</f>
        <v/>
      </c>
      <c r="AF35" s="10" t="str">
        <f>IF($AB$6=TRUE(),1283.8,"")</f>
        <v/>
      </c>
      <c r="AG35" s="10" t="str">
        <f>IF($AB$6=TRUE(),1808.5,"")</f>
        <v/>
      </c>
      <c r="AH35" s="10" t="str">
        <f>IF($AB$6=TRUE(),1688.6,"")</f>
        <v/>
      </c>
      <c r="AI35" s="10" t="str">
        <f>IF($AB$6=TRUE(),1681.8,"")</f>
        <v/>
      </c>
      <c r="AJ35" s="10" t="str">
        <f>IF($AB$6=TRUE(),1876.6,"")</f>
        <v/>
      </c>
      <c r="AK35" s="10" t="str">
        <f>IF($AB$6=TRUE(),1901.7,"")</f>
        <v/>
      </c>
      <c r="AL35" s="10" t="str">
        <f>IF($AB$6=TRUE(),1902.5,"")</f>
        <v/>
      </c>
      <c r="AM35" s="10" t="str">
        <f>IF($AB$6=TRUE(),1914.8,"")</f>
        <v/>
      </c>
      <c r="AN35" s="10" t="str">
        <f>IF($AB$6=TRUE(),2163.3,"")</f>
        <v/>
      </c>
      <c r="AO35" s="10" t="str">
        <f>IF($AB$6=TRUE(),2502.5,"")</f>
        <v/>
      </c>
      <c r="AP35" s="10" t="str">
        <f>IF($AB$6=TRUE(),2530.6,"")</f>
        <v/>
      </c>
      <c r="AQ35" s="10" t="str">
        <f>IF($AB$6=TRUE(),2690.3,"")</f>
        <v/>
      </c>
      <c r="AR35" s="10" t="str">
        <f>IF($AB$6=TRUE(),3013.6,"")</f>
        <v/>
      </c>
      <c r="AS35" s="10" t="str">
        <f>IF($AB$6=TRUE(),3149.1,"")</f>
        <v/>
      </c>
      <c r="AT35" s="10" t="str">
        <f>IF($AB$6=TRUE(),3742.4,"")</f>
        <v/>
      </c>
      <c r="AU35" s="10" t="str">
        <f>IF($AB$6=TRUE(),4106.1,"")</f>
        <v/>
      </c>
      <c r="AV35" s="10" t="str">
        <f>IF($AB$6=TRUE(),4458.6,"")</f>
        <v/>
      </c>
      <c r="AW35" s="10" t="str">
        <f>IF($AB$6=TRUE(),4597.4,"")</f>
        <v/>
      </c>
      <c r="AX35" s="10" t="str">
        <f>IF($AB$6=TRUE(),5375.5,"")</f>
        <v/>
      </c>
      <c r="AY35" s="10" t="str">
        <f>IF($AB$6=TRUE(),5302.1,"")</f>
        <v/>
      </c>
      <c r="AZ35" s="10" t="str">
        <f>IF($AB$6=TRUE(),5493.8,"")</f>
        <v/>
      </c>
      <c r="BA35" s="10" t="str">
        <f>IF($AB$6=TRUE(),5886.2,"")</f>
        <v/>
      </c>
      <c r="BB35" s="10" t="str">
        <f>IF($AB$6=TRUE(),6178.2,"")</f>
        <v/>
      </c>
      <c r="BC35" s="10" t="str">
        <f>IF($AB$6=TRUE(),6978.4,"")</f>
        <v/>
      </c>
      <c r="BD35" s="10" t="str">
        <f>IF($AB$6=TRUE(),7531.4,"")</f>
        <v/>
      </c>
      <c r="BE35" s="10" t="str">
        <f>IF($AB$6=TRUE(),7636.9,"")</f>
        <v/>
      </c>
      <c r="BF35" s="10" t="str">
        <f>IF($AB$6=TRUE(),7887.5,"")</f>
        <v/>
      </c>
      <c r="BG35" s="10" t="str">
        <f>IF($AB$6=TRUE(),8115.2,"")</f>
        <v/>
      </c>
      <c r="BH35" s="10" t="str">
        <f>IF($AB$6=TRUE(),9840,"")</f>
        <v/>
      </c>
      <c r="BI35" s="10" t="str">
        <f>IF($AB$6=TRUE(),10278.2,"")</f>
        <v/>
      </c>
      <c r="BJ35" s="10" t="str">
        <f>IF($AB$6=TRUE(),10419.3,"")</f>
        <v/>
      </c>
      <c r="BK35" s="10" t="str">
        <f>IF($AB$6=TRUE(),10789,"")</f>
        <v/>
      </c>
      <c r="BL35" s="10" t="str">
        <f>IF($AB$6=TRUE(),12026,"")</f>
        <v/>
      </c>
      <c r="BM35" s="10" t="str">
        <f>IF($AB$6=TRUE(),12358.2,"")</f>
        <v/>
      </c>
      <c r="BN35" s="11"/>
      <c r="BO35" s="11"/>
    </row>
    <row r="36" spans="1:67" ht="15" customHeight="1">
      <c r="A36" s="12" t="s">
        <v>95</v>
      </c>
      <c r="B36" s="13" t="str">
        <f>IF($AC$6=TRUE(),297,"")</f>
        <v/>
      </c>
      <c r="C36" s="13" t="str">
        <f>IF($AC$6=TRUE(),307.4,"")</f>
        <v/>
      </c>
      <c r="D36" s="13" t="str">
        <f>IF($AC$6=TRUE(),315.4,"")</f>
        <v/>
      </c>
      <c r="E36" s="13" t="str">
        <f>IF($AC$6=TRUE(),335.3,"")</f>
        <v/>
      </c>
      <c r="F36" s="13" t="str">
        <f>IF($AC$6=TRUE(),373.1,"")</f>
        <v/>
      </c>
      <c r="G36" s="13" t="str">
        <f>IF($AC$6=TRUE(),396.1,"")</f>
        <v/>
      </c>
      <c r="H36" s="13" t="str">
        <f>IF($AC$6=TRUE(),402.4,"")</f>
        <v/>
      </c>
      <c r="I36" s="13" t="str">
        <f>IF($AC$6=TRUE(),419.1,"")</f>
        <v/>
      </c>
      <c r="J36" s="13" t="str">
        <f>IF($AC$6=TRUE(),474.3,"")</f>
        <v/>
      </c>
      <c r="K36" s="13" t="str">
        <f>IF($AC$6=TRUE(),491.3,"")</f>
        <v/>
      </c>
      <c r="L36" s="13" t="str">
        <f>IF($AC$6=TRUE(),499.9,"")</f>
        <v/>
      </c>
      <c r="M36" s="13" t="str">
        <f>IF($AC$6=TRUE(),505.6,"")</f>
        <v/>
      </c>
      <c r="N36" s="13" t="str">
        <f>IF($AC$6=TRUE(),559.7,"")</f>
        <v/>
      </c>
      <c r="O36" s="13" t="str">
        <f>IF($AC$6=TRUE(),573.9,"")</f>
        <v/>
      </c>
      <c r="P36" s="13" t="str">
        <f>IF($AC$6=TRUE(),587,"")</f>
        <v/>
      </c>
      <c r="Q36" s="13" t="str">
        <f>IF($AC$6=TRUE(),584,"")</f>
        <v/>
      </c>
      <c r="R36" s="13" t="str">
        <f>IF($AC$6=TRUE(),594,"")</f>
        <v/>
      </c>
      <c r="S36" s="13" t="str">
        <f>IF($AC$6=TRUE(),608.6,"")</f>
        <v/>
      </c>
      <c r="T36" s="13" t="str">
        <f>IF($AC$6=TRUE(),628.4,"")</f>
        <v/>
      </c>
      <c r="U36" s="13" t="str">
        <f>IF($AC$6=TRUE(),628.4,"")</f>
        <v/>
      </c>
      <c r="V36" s="13" t="str">
        <f>IF($AC$6=TRUE(),640.5,"")</f>
        <v/>
      </c>
      <c r="W36" s="13" t="str">
        <f>IF($AC$6=TRUE(),661,"")</f>
        <v/>
      </c>
      <c r="X36" s="13" t="str">
        <f>IF($AC$6=TRUE(),669.2,"")</f>
        <v/>
      </c>
      <c r="Y36" s="13" t="str">
        <f>IF($AC$6=TRUE(),671.5,"")</f>
        <v/>
      </c>
      <c r="Z36" s="13" t="str">
        <f>IF($AC$6=TRUE(),700.8,"")</f>
        <v/>
      </c>
      <c r="AA36" s="13" t="str">
        <f>IF($AC$6=TRUE(),725.2,"")</f>
        <v/>
      </c>
      <c r="AB36" s="13" t="str">
        <f>IF($AC$6=TRUE(),731.9,"")</f>
        <v/>
      </c>
      <c r="AC36" s="13" t="str">
        <f>IF($AC$6=TRUE(),738.7,"")</f>
        <v/>
      </c>
      <c r="AD36" s="13" t="str">
        <f>IF($AC$6=TRUE(),824.6,"")</f>
        <v/>
      </c>
      <c r="AE36" s="13" t="str">
        <f>IF($AC$6=TRUE(),901.2,"")</f>
        <v/>
      </c>
      <c r="AF36" s="13" t="str">
        <f>IF($AC$6=TRUE(),992.6,"")</f>
        <v/>
      </c>
      <c r="AG36" s="13" t="str">
        <f>IF($AC$6=TRUE(),1006.7,"")</f>
        <v/>
      </c>
      <c r="AH36" s="13" t="str">
        <f>IF($AC$6=TRUE(),1055.1,"")</f>
        <v/>
      </c>
      <c r="AI36" s="13" t="str">
        <f>IF($AC$6=TRUE(),1148.6,"")</f>
        <v/>
      </c>
      <c r="AJ36" s="13" t="str">
        <f>IF($AC$6=TRUE(),1295.3,"")</f>
        <v/>
      </c>
      <c r="AK36" s="13" t="str">
        <f>IF($AC$6=TRUE(),1363.1,"")</f>
        <v/>
      </c>
      <c r="AL36" s="13" t="str">
        <f>IF($AC$6=TRUE(),1592.1,"")</f>
        <v/>
      </c>
      <c r="AM36" s="13" t="str">
        <f>IF($AC$6=TRUE(),1658,"")</f>
        <v/>
      </c>
      <c r="AN36" s="13" t="str">
        <f>IF($AC$6=TRUE(),2094.1,"")</f>
        <v/>
      </c>
      <c r="AO36" s="13" t="str">
        <f>IF($AC$6=TRUE(),2553.4,"")</f>
        <v/>
      </c>
      <c r="AP36" s="13" t="str">
        <f>IF($AC$6=TRUE(),2619.7,"")</f>
        <v/>
      </c>
      <c r="AQ36" s="13" t="str">
        <f>IF($AC$6=TRUE(),2818.7,"")</f>
        <v/>
      </c>
      <c r="AR36" s="13" t="str">
        <f>IF($AC$6=TRUE(),2984.5,"")</f>
        <v/>
      </c>
      <c r="AS36" s="13" t="str">
        <f>IF($AC$6=TRUE(),3110.6,"")</f>
        <v/>
      </c>
      <c r="AT36" s="13" t="str">
        <f>IF($AC$6=TRUE(),3909.7,"")</f>
        <v/>
      </c>
      <c r="AU36" s="13" t="str">
        <f>IF($AC$6=TRUE(),4321.1,"")</f>
        <v/>
      </c>
      <c r="AV36" s="13" t="str">
        <f>IF($AC$6=TRUE(),4459.7,"")</f>
        <v/>
      </c>
      <c r="AW36" s="13" t="str">
        <f>IF($AC$6=TRUE(),4663.7,"")</f>
        <v/>
      </c>
      <c r="AX36" s="13" t="str">
        <f>IF($AC$6=TRUE(),5735.3,"")</f>
        <v/>
      </c>
      <c r="AY36" s="13" t="str">
        <f>IF($AC$6=TRUE(),5984.1,"")</f>
        <v/>
      </c>
      <c r="AZ36" s="13" t="str">
        <f>IF($AC$6=TRUE(),6492.7,"")</f>
        <v/>
      </c>
      <c r="BA36" s="13" t="str">
        <f>IF($AC$6=TRUE(),6795,"")</f>
        <v/>
      </c>
      <c r="BB36" s="13" t="str">
        <f>IF($AC$6=TRUE(),6858.7,"")</f>
        <v/>
      </c>
      <c r="BC36" s="13" t="str">
        <f>IF($AC$6=TRUE(),6919.5,"")</f>
        <v/>
      </c>
      <c r="BD36" s="13" t="str">
        <f>IF($AC$6=TRUE(),8205,"")</f>
        <v/>
      </c>
      <c r="BE36" s="13" t="str">
        <f>IF($AC$6=TRUE(),8779.8,"")</f>
        <v/>
      </c>
      <c r="BF36" s="13" t="str">
        <f>IF($AC$6=TRUE(),9333.7,"")</f>
        <v/>
      </c>
      <c r="BG36" s="13" t="str">
        <f>IF($AC$6=TRUE(),9459.4,"")</f>
        <v/>
      </c>
      <c r="BH36" s="13" t="str">
        <f>IF($AC$6=TRUE(),11527.7,"")</f>
        <v/>
      </c>
      <c r="BI36" s="13" t="str">
        <f>IF($AC$6=TRUE(),12116.5,"")</f>
        <v/>
      </c>
      <c r="BJ36" s="13" t="str">
        <f>IF($AC$6=TRUE(),12373.2,"")</f>
        <v/>
      </c>
      <c r="BK36" s="13" t="str">
        <f>IF($AC$6=TRUE(),12655.3,"")</f>
        <v/>
      </c>
      <c r="BL36" s="13" t="str">
        <f>IF($AC$6=TRUE(),13031.5,"")</f>
        <v/>
      </c>
      <c r="BM36" s="13" t="str">
        <f>IF($AC$6=TRUE(),13243.1,"")</f>
        <v/>
      </c>
      <c r="BN36" s="14"/>
      <c r="BO36" s="14"/>
    </row>
    <row r="37" spans="1:67" ht="15" customHeight="1">
      <c r="A37" s="9" t="s">
        <v>96</v>
      </c>
      <c r="B37" s="10" t="str">
        <f>IF($AD$6=TRUE(),323.1,"")</f>
        <v/>
      </c>
      <c r="C37" s="10" t="str">
        <f>IF($AD$6=TRUE(),329.7,"")</f>
        <v/>
      </c>
      <c r="D37" s="10" t="str">
        <f>IF($AD$6=TRUE(),337.1,"")</f>
        <v/>
      </c>
      <c r="E37" s="10" t="str">
        <f>IF($AD$6=TRUE(),342.6,"")</f>
        <v/>
      </c>
      <c r="F37" s="10" t="str">
        <f>IF($AD$6=TRUE(),380.3,"")</f>
        <v/>
      </c>
      <c r="G37" s="10" t="str">
        <f>IF($AD$6=TRUE(),399.9,"")</f>
        <v/>
      </c>
      <c r="H37" s="10" t="str">
        <f>IF($AD$6=TRUE(),420.3,"")</f>
        <v/>
      </c>
      <c r="I37" s="10" t="str">
        <f>IF($AD$6=TRUE(),429.7,"")</f>
        <v/>
      </c>
      <c r="J37" s="10" t="str">
        <f>IF($AD$6=TRUE(),486.1,"")</f>
        <v/>
      </c>
      <c r="K37" s="10" t="str">
        <f>IF($AD$6=TRUE(),495.3,"")</f>
        <v/>
      </c>
      <c r="L37" s="10" t="str">
        <f>IF($AD$6=TRUE(),505.7,"")</f>
        <v/>
      </c>
      <c r="M37" s="10" t="str">
        <f>IF($AD$6=TRUE(),517,"")</f>
        <v/>
      </c>
      <c r="N37" s="10" t="str">
        <f>IF($AD$6=TRUE(),599.7,"")</f>
        <v/>
      </c>
      <c r="O37" s="10" t="str">
        <f>IF($AD$6=TRUE(),610.2,"")</f>
        <v/>
      </c>
      <c r="P37" s="10" t="str">
        <f>IF($AD$6=TRUE(),619.6,"")</f>
        <v/>
      </c>
      <c r="Q37" s="10" t="str">
        <f>IF($AD$6=TRUE(),629.2,"")</f>
        <v/>
      </c>
      <c r="R37" s="10" t="str">
        <f>IF($AD$6=TRUE(),693.4,"")</f>
        <v/>
      </c>
      <c r="S37" s="10" t="str">
        <f>IF($AD$6=TRUE(),700.2,"")</f>
        <v/>
      </c>
      <c r="T37" s="10" t="str">
        <f>IF($AD$6=TRUE(),705.3,"")</f>
        <v/>
      </c>
      <c r="U37" s="10" t="str">
        <f>IF($AD$6=TRUE(),710.7,"")</f>
        <v/>
      </c>
      <c r="V37" s="10" t="str">
        <f>IF($AD$6=TRUE(),768.3,"")</f>
        <v/>
      </c>
      <c r="W37" s="10" t="str">
        <f>IF($AD$6=TRUE(),775.4,"")</f>
        <v/>
      </c>
      <c r="X37" s="10" t="str">
        <f>IF($AD$6=TRUE(),782.5,"")</f>
        <v/>
      </c>
      <c r="Y37" s="10" t="str">
        <f>IF($AD$6=TRUE(),789.6,"")</f>
        <v/>
      </c>
      <c r="Z37" s="10" t="str">
        <f>IF($AD$6=TRUE(),859.5,"")</f>
        <v/>
      </c>
      <c r="AA37" s="10" t="str">
        <f>IF($AD$6=TRUE(),863.8,"")</f>
        <v/>
      </c>
      <c r="AB37" s="10" t="str">
        <f>IF($AD$6=TRUE(),876.4,"")</f>
        <v/>
      </c>
      <c r="AC37" s="10" t="str">
        <f>IF($AD$6=TRUE(),884.3,"")</f>
        <v/>
      </c>
      <c r="AD37" s="10" t="str">
        <f>IF($AD$6=TRUE(),1015.2,"")</f>
        <v/>
      </c>
      <c r="AE37" s="10" t="str">
        <f>IF($AD$6=TRUE(),1061.2,"")</f>
        <v/>
      </c>
      <c r="AF37" s="10" t="str">
        <f>IF($AD$6=TRUE(),1070.9,"")</f>
        <v/>
      </c>
      <c r="AG37" s="10" t="str">
        <f>IF($AD$6=TRUE(),1080.2,"")</f>
        <v/>
      </c>
      <c r="AH37" s="10" t="str">
        <f>IF($AD$6=TRUE(),1097.3,"")</f>
        <v/>
      </c>
      <c r="AI37" s="10" t="str">
        <f>IF($AD$6=TRUE(),1125.6,"")</f>
        <v/>
      </c>
      <c r="AJ37" s="10" t="str">
        <f>IF($AD$6=TRUE(),1371.5,"")</f>
        <v/>
      </c>
      <c r="AK37" s="10" t="str">
        <f>IF($AD$6=TRUE(),1432.8,"")</f>
        <v/>
      </c>
      <c r="AL37" s="10" t="str">
        <f>IF($AD$6=TRUE(),1459.2,"")</f>
        <v/>
      </c>
      <c r="AM37" s="10" t="str">
        <f>IF($AD$6=TRUE(),1493.5,"")</f>
        <v/>
      </c>
      <c r="AN37" s="10" t="str">
        <f>IF($AD$6=TRUE(),1823.6,"")</f>
        <v/>
      </c>
      <c r="AO37" s="10" t="str">
        <f>IF($AD$6=TRUE(),1992.3,"")</f>
        <v/>
      </c>
      <c r="AP37" s="10" t="str">
        <f>IF($AD$6=TRUE(),2005.8,"")</f>
        <v/>
      </c>
      <c r="AQ37" s="10" t="str">
        <f>IF($AD$6=TRUE(),2035.6,"")</f>
        <v/>
      </c>
      <c r="AR37" s="10" t="str">
        <f>IF($AD$6=TRUE(),2235.8,"")</f>
        <v/>
      </c>
      <c r="AS37" s="10" t="str">
        <f>IF($AD$6=TRUE(),2347.8,"")</f>
        <v/>
      </c>
      <c r="AT37" s="10" t="str">
        <f>IF($AD$6=TRUE(),3082.7,"")</f>
        <v/>
      </c>
      <c r="AU37" s="10" t="str">
        <f>IF($AD$6=TRUE(),3228.2,"")</f>
        <v/>
      </c>
      <c r="AV37" s="10" t="str">
        <f>IF($AD$6=TRUE(),3235.3,"")</f>
        <v/>
      </c>
      <c r="AW37" s="10" t="str">
        <f>IF($AD$6=TRUE(),3251.7,"")</f>
        <v/>
      </c>
      <c r="AX37" s="10" t="str">
        <f>IF($AD$6=TRUE(),4227.2,"")</f>
        <v/>
      </c>
      <c r="AY37" s="10" t="str">
        <f>IF($AD$6=TRUE(),4308.5,"")</f>
        <v/>
      </c>
      <c r="AZ37" s="10" t="str">
        <f>IF($AD$6=TRUE(),4578.4,"")</f>
        <v/>
      </c>
      <c r="BA37" s="10" t="str">
        <f>IF($AD$6=TRUE(),4747.5,"")</f>
        <v/>
      </c>
      <c r="BB37" s="10" t="str">
        <f>IF($AD$6=TRUE(),4747.5,"")</f>
        <v/>
      </c>
      <c r="BC37" s="10" t="str">
        <f>IF($AD$6=TRUE(),4747.5,"")</f>
        <v/>
      </c>
      <c r="BD37" s="10" t="str">
        <f>IF($AD$6=TRUE(),5867.9,"")</f>
        <v/>
      </c>
      <c r="BE37" s="10" t="str">
        <f>IF($AD$6=TRUE(),6067.3,"")</f>
        <v/>
      </c>
      <c r="BF37" s="10" t="str">
        <f>IF($AD$6=TRUE(),6224,"")</f>
        <v/>
      </c>
      <c r="BG37" s="10" t="str">
        <f>IF($AD$6=TRUE(),6385.4,"")</f>
        <v/>
      </c>
      <c r="BH37" s="10" t="str">
        <f>IF($AD$6=TRUE(),7949.8,"")</f>
        <v/>
      </c>
      <c r="BI37" s="10" t="str">
        <f>IF($AD$6=TRUE(),8262.7,"")</f>
        <v/>
      </c>
      <c r="BJ37" s="10" t="str">
        <f>IF($AD$6=TRUE(),8275.5,"")</f>
        <v/>
      </c>
      <c r="BK37" s="10" t="str">
        <f>IF($AD$6=TRUE(),8620.3,"")</f>
        <v/>
      </c>
      <c r="BL37" s="10" t="str">
        <f>IF($AD$6=TRUE(),8696.9,"")</f>
        <v/>
      </c>
      <c r="BM37" s="10" t="str">
        <f>IF($AD$6=TRUE(),8773.5,"")</f>
        <v/>
      </c>
      <c r="BN37" s="11"/>
      <c r="BO37" s="11"/>
    </row>
  </sheetData>
  <mergeCells count="1">
    <mergeCell ref="A1:BO1"/>
  </mergeCells>
  <dataValidations count="1">
    <dataValidation type="list" sqref="B6:AD6" xr:uid="{00000000-0002-0000-02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43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6" sqref="G6"/>
    </sheetView>
  </sheetViews>
  <sheetFormatPr defaultColWidth="8.6640625" defaultRowHeight="14.25"/>
  <cols>
    <col min="1" max="1" width="25" customWidth="1"/>
    <col min="2" max="36" width="8" customWidth="1"/>
  </cols>
  <sheetData>
    <row r="1" spans="1:67" ht="30" customHeight="1">
      <c r="A1" s="85" t="s">
        <v>352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98</v>
      </c>
      <c r="C5" s="4" t="s">
        <v>99</v>
      </c>
      <c r="D5" s="4" t="s">
        <v>100</v>
      </c>
      <c r="E5" s="4" t="s">
        <v>101</v>
      </c>
      <c r="F5" s="4" t="s">
        <v>102</v>
      </c>
      <c r="G5" s="4" t="s">
        <v>103</v>
      </c>
      <c r="H5" s="4" t="s">
        <v>104</v>
      </c>
      <c r="I5" s="4" t="s">
        <v>105</v>
      </c>
      <c r="J5" s="4" t="s">
        <v>106</v>
      </c>
      <c r="K5" s="4" t="s">
        <v>353</v>
      </c>
      <c r="L5" s="4" t="s">
        <v>107</v>
      </c>
      <c r="M5" s="4" t="s">
        <v>108</v>
      </c>
      <c r="N5" s="4" t="s">
        <v>109</v>
      </c>
      <c r="O5" s="4" t="s">
        <v>110</v>
      </c>
      <c r="P5" s="4" t="s">
        <v>111</v>
      </c>
      <c r="Q5" s="4" t="s">
        <v>112</v>
      </c>
      <c r="R5" s="4" t="s">
        <v>113</v>
      </c>
      <c r="S5" s="4" t="s">
        <v>114</v>
      </c>
      <c r="T5" s="4" t="s">
        <v>115</v>
      </c>
      <c r="U5" s="4" t="s">
        <v>116</v>
      </c>
      <c r="V5" s="4" t="s">
        <v>117</v>
      </c>
      <c r="W5" s="4" t="s">
        <v>118</v>
      </c>
      <c r="X5" s="4" t="s">
        <v>119</v>
      </c>
      <c r="Y5" s="4" t="s">
        <v>120</v>
      </c>
      <c r="Z5" s="4" t="s">
        <v>121</v>
      </c>
      <c r="AA5" s="4" t="s">
        <v>353</v>
      </c>
      <c r="AB5" s="4" t="s">
        <v>122</v>
      </c>
      <c r="AC5" s="4" t="s">
        <v>123</v>
      </c>
      <c r="AD5" s="4" t="s">
        <v>124</v>
      </c>
      <c r="AE5" s="4" t="s">
        <v>125</v>
      </c>
      <c r="AF5" s="4" t="s">
        <v>126</v>
      </c>
      <c r="AG5" s="4" t="s">
        <v>128</v>
      </c>
      <c r="AH5" s="4" t="s">
        <v>129</v>
      </c>
      <c r="AI5" s="4" t="s">
        <v>130</v>
      </c>
      <c r="AJ5" s="4" t="s">
        <v>96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v>1</v>
      </c>
      <c r="H6" s="6" t="b">
        <v>1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 t="b">
        <f>FALSE()</f>
        <v>0</v>
      </c>
      <c r="AF6" s="6" t="b">
        <f>FALSE()</f>
        <v>0</v>
      </c>
      <c r="AG6" s="6" t="b">
        <f>FALSE()</f>
        <v>0</v>
      </c>
      <c r="AH6" s="6" t="b">
        <f>FALSE()</f>
        <v>0</v>
      </c>
      <c r="AI6" s="6" t="b">
        <f>FALSE()</f>
        <v>0</v>
      </c>
      <c r="AJ6" s="6" t="b">
        <f>FALSE()</f>
        <v>0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98</v>
      </c>
      <c r="B9" s="10">
        <f>IF($B$6=TRUE(),269.9,"")</f>
        <v>269.89999999999998</v>
      </c>
      <c r="C9" s="10">
        <f>IF($B$6=TRUE(),283.3,"")</f>
        <v>283.3</v>
      </c>
      <c r="D9" s="10">
        <f>IF($B$6=TRUE(),296.5,"")</f>
        <v>296.5</v>
      </c>
      <c r="E9" s="10">
        <f>IF($B$6=TRUE(),305.2,"")</f>
        <v>305.2</v>
      </c>
      <c r="F9" s="10">
        <f>IF($B$6=TRUE(),339.7,"")</f>
        <v>339.7</v>
      </c>
      <c r="G9" s="10">
        <f>IF($B$6=TRUE(),379.3,"")</f>
        <v>379.3</v>
      </c>
      <c r="H9" s="10">
        <f>IF($B$6=TRUE(),424.9,"")</f>
        <v>424.9</v>
      </c>
      <c r="I9" s="10">
        <f>IF($B$6=TRUE(),533.7,"")</f>
        <v>533.70000000000005</v>
      </c>
      <c r="J9" s="10">
        <f>IF($B$6=TRUE(),543.3,"")</f>
        <v>543.29999999999995</v>
      </c>
      <c r="K9" s="10">
        <f>IF($B$6=TRUE(),532.9,"")</f>
        <v>532.9</v>
      </c>
      <c r="L9" s="10">
        <f>IF($B$6=TRUE(),533.4,"")</f>
        <v>533.4</v>
      </c>
      <c r="M9" s="10">
        <f>IF($B$6=TRUE(),537.2,"")</f>
        <v>537.20000000000005</v>
      </c>
      <c r="N9" s="10">
        <f>IF($B$6=TRUE(),584.3,"")</f>
        <v>584.29999999999995</v>
      </c>
      <c r="O9" s="10">
        <f>IF($B$6=TRUE(),588.9,"")</f>
        <v>588.9</v>
      </c>
      <c r="P9" s="10">
        <f>IF($B$6=TRUE(),592.2,"")</f>
        <v>592.20000000000005</v>
      </c>
      <c r="Q9" s="10">
        <f>IF($B$6=TRUE(),594.8,"")</f>
        <v>594.79999999999995</v>
      </c>
      <c r="R9" s="10">
        <f>IF($B$6=TRUE(),598.4,"")</f>
        <v>598.4</v>
      </c>
      <c r="S9" s="10">
        <f>IF($B$6=TRUE(),597.8,"")</f>
        <v>597.79999999999995</v>
      </c>
      <c r="T9" s="10">
        <f>IF($B$6=TRUE(),586.1,"")</f>
        <v>586.1</v>
      </c>
      <c r="U9" s="10">
        <f>IF($B$6=TRUE(),586.1,"")</f>
        <v>586.1</v>
      </c>
      <c r="V9" s="10">
        <f>IF($B$6=TRUE(),626.5,"")</f>
        <v>626.5</v>
      </c>
      <c r="W9" s="10">
        <f>IF($B$6=TRUE(),631.7,"")</f>
        <v>631.70000000000005</v>
      </c>
      <c r="X9" s="10">
        <f>IF($B$6=TRUE(),669.9,"")</f>
        <v>669.9</v>
      </c>
      <c r="Y9" s="10">
        <f>IF($B$6=TRUE(),692.7,"")</f>
        <v>692.7</v>
      </c>
      <c r="Z9" s="10">
        <f>IF($B$6=TRUE(),724.9,"")</f>
        <v>724.9</v>
      </c>
      <c r="AA9" s="10">
        <f>IF($B$6=TRUE(),780.5,"")</f>
        <v>780.5</v>
      </c>
      <c r="AB9" s="10">
        <f>IF($B$6=TRUE(),833.4,"")</f>
        <v>833.4</v>
      </c>
      <c r="AC9" s="10">
        <f>IF($B$6=TRUE(),850.3,"")</f>
        <v>850.3</v>
      </c>
      <c r="AD9" s="10">
        <f>IF($B$6=TRUE(),973.3,"")</f>
        <v>973.3</v>
      </c>
      <c r="AE9" s="10">
        <f>IF($B$6=TRUE(),1058.4,"")</f>
        <v>1058.4000000000001</v>
      </c>
      <c r="AF9" s="10">
        <f>IF($B$6=TRUE(),1208.2,"")</f>
        <v>1208.2</v>
      </c>
      <c r="AG9" s="10">
        <f>IF($B$6=TRUE(),1331.9,"")</f>
        <v>1331.9</v>
      </c>
      <c r="AH9" s="10">
        <f>IF($B$6=TRUE(),1532.1,"")</f>
        <v>1532.1</v>
      </c>
      <c r="AI9" s="10">
        <f>IF($B$6=TRUE(),1520.4,"")</f>
        <v>1520.4</v>
      </c>
      <c r="AJ9" s="10">
        <f>IF($B$6=TRUE(),1784.6,"")</f>
        <v>1784.6</v>
      </c>
      <c r="AK9" s="10">
        <f>IF($B$6=TRUE(),1730.5,"")</f>
        <v>1730.5</v>
      </c>
      <c r="AL9" s="10">
        <f>IF($B$6=TRUE(),1740.3,"")</f>
        <v>1740.3</v>
      </c>
      <c r="AM9" s="10">
        <f>IF($B$6=TRUE(),1982,"")</f>
        <v>1982</v>
      </c>
      <c r="AN9" s="10">
        <f>IF($B$6=TRUE(),2307.8,"")</f>
        <v>2307.8000000000002</v>
      </c>
      <c r="AO9" s="10">
        <f>IF($B$6=TRUE(),2791.7,"")</f>
        <v>2791.7</v>
      </c>
      <c r="AP9" s="10">
        <f>IF($B$6=TRUE(),3093.4,"")</f>
        <v>3093.4</v>
      </c>
      <c r="AQ9" s="10">
        <f>IF($B$6=TRUE(),3356.8,"")</f>
        <v>3356.8</v>
      </c>
      <c r="AR9" s="10">
        <f>IF($B$6=TRUE(),3582.4,"")</f>
        <v>3582.4</v>
      </c>
      <c r="AS9" s="10">
        <f>IF($B$6=TRUE(),3757,"")</f>
        <v>3757</v>
      </c>
      <c r="AT9" s="10">
        <f>IF($B$6=TRUE(),4306.3,"")</f>
        <v>4306.3</v>
      </c>
      <c r="AU9" s="10">
        <f>IF($B$6=TRUE(),4535,"")</f>
        <v>4535</v>
      </c>
      <c r="AV9" s="10">
        <f>IF($B$6=TRUE(),4424.1,"")</f>
        <v>4424.1000000000004</v>
      </c>
      <c r="AW9" s="10">
        <f>IF($B$6=TRUE(),4321.9,"")</f>
        <v>4321.8999999999996</v>
      </c>
      <c r="AX9" s="10">
        <f>IF($B$6=TRUE(),4896.4,"")</f>
        <v>4896.3999999999996</v>
      </c>
      <c r="AY9" s="10">
        <f>IF($B$6=TRUE(),4813.9,"")</f>
        <v>4813.8999999999996</v>
      </c>
      <c r="AZ9" s="10">
        <f>IF($B$6=TRUE(),4990.6,"")</f>
        <v>4990.6000000000004</v>
      </c>
      <c r="BA9" s="10">
        <f>IF($B$6=TRUE(),5527.3,"")</f>
        <v>5527.3</v>
      </c>
      <c r="BB9" s="10">
        <f>IF($B$6=TRUE(),5727,"")</f>
        <v>5727</v>
      </c>
      <c r="BC9" s="10">
        <f>IF($B$6=TRUE(),6041.1,"")</f>
        <v>6041.1</v>
      </c>
      <c r="BD9" s="10">
        <f>IF($B$6=TRUE(),6652.6,"")</f>
        <v>6652.6</v>
      </c>
      <c r="BE9" s="10">
        <f>IF($B$6=TRUE(),6598.7,"")</f>
        <v>6598.7</v>
      </c>
      <c r="BF9" s="10">
        <f>IF($B$6=TRUE(),6906.1,"")</f>
        <v>6906.1</v>
      </c>
      <c r="BG9" s="10">
        <f>IF($B$6=TRUE(),7274.2,"")</f>
        <v>7274.2</v>
      </c>
      <c r="BH9" s="10">
        <f>IF($B$6=TRUE(),7962,"")</f>
        <v>7962</v>
      </c>
      <c r="BI9" s="10">
        <f>IF($B$6=TRUE(),7906.2,"")</f>
        <v>7906.2</v>
      </c>
      <c r="BJ9" s="10">
        <f>IF($B$6=TRUE(),7930.2,"")</f>
        <v>7930.2</v>
      </c>
      <c r="BK9" s="10">
        <f>IF($B$6=TRUE(),8238.5,"")</f>
        <v>8238.5</v>
      </c>
      <c r="BL9" s="10">
        <f>IF($B$6=TRUE(),8621.6,"")</f>
        <v>8621.6</v>
      </c>
      <c r="BM9" s="10">
        <f>IF($B$6=TRUE(),8957.6,"")</f>
        <v>8957.6</v>
      </c>
      <c r="BN9" s="11"/>
      <c r="BO9" s="11"/>
    </row>
    <row r="10" spans="1:67" ht="15" customHeight="1">
      <c r="A10" s="12" t="s">
        <v>99</v>
      </c>
      <c r="B10" s="13">
        <f>IF($C$6=TRUE(),559,"")</f>
        <v>559</v>
      </c>
      <c r="C10" s="13">
        <f>IF($C$6=TRUE(),560.4,"")</f>
        <v>560.4</v>
      </c>
      <c r="D10" s="13">
        <f>IF($C$6=TRUE(),581.8,"")</f>
        <v>581.79999999999995</v>
      </c>
      <c r="E10" s="13">
        <f>IF($C$6=TRUE(),582.9,"")</f>
        <v>582.9</v>
      </c>
      <c r="F10" s="13">
        <f>IF($C$6=TRUE(),588.7,"")</f>
        <v>588.70000000000005</v>
      </c>
      <c r="G10" s="13">
        <f>IF($C$6=TRUE(),594,"")</f>
        <v>594</v>
      </c>
      <c r="H10" s="13">
        <f>IF($C$6=TRUE(),626.2,"")</f>
        <v>626.20000000000005</v>
      </c>
      <c r="I10" s="13">
        <f>IF($C$6=TRUE(),715.9,"")</f>
        <v>715.9</v>
      </c>
      <c r="J10" s="13">
        <f>IF($C$6=TRUE(),727.8,"")</f>
        <v>727.8</v>
      </c>
      <c r="K10" s="13">
        <f>IF($C$6=TRUE(),729.5,"")</f>
        <v>729.5</v>
      </c>
      <c r="L10" s="13">
        <f>IF($C$6=TRUE(),762.4,"")</f>
        <v>762.4</v>
      </c>
      <c r="M10" s="13">
        <f>IF($C$6=TRUE(),764.3,"")</f>
        <v>764.3</v>
      </c>
      <c r="N10" s="13">
        <f>IF($C$6=TRUE(),798.7,"")</f>
        <v>798.7</v>
      </c>
      <c r="O10" s="13">
        <f>IF($C$6=TRUE(),800.2,"")</f>
        <v>800.2</v>
      </c>
      <c r="P10" s="13">
        <f>IF($C$6=TRUE(),851,"")</f>
        <v>851</v>
      </c>
      <c r="Q10" s="13">
        <f>IF($C$6=TRUE(),852.4,"")</f>
        <v>852.4</v>
      </c>
      <c r="R10" s="13">
        <f>IF($C$6=TRUE(),862.1,"")</f>
        <v>862.1</v>
      </c>
      <c r="S10" s="13">
        <f>IF($C$6=TRUE(),863,"")</f>
        <v>863</v>
      </c>
      <c r="T10" s="13">
        <f>IF($C$6=TRUE(),870.7,"")</f>
        <v>870.7</v>
      </c>
      <c r="U10" s="13">
        <f>IF($C$6=TRUE(),871.4,"")</f>
        <v>871.4</v>
      </c>
      <c r="V10" s="13">
        <f>IF($C$6=TRUE(),880.1,"")</f>
        <v>880.1</v>
      </c>
      <c r="W10" s="13">
        <f>IF($C$6=TRUE(),881.3,"")</f>
        <v>881.3</v>
      </c>
      <c r="X10" s="13">
        <f>IF($C$6=TRUE(),882.8,"")</f>
        <v>882.8</v>
      </c>
      <c r="Y10" s="13">
        <f>IF($C$6=TRUE(),883.9,"")</f>
        <v>883.9</v>
      </c>
      <c r="Z10" s="13">
        <f>IF($C$6=TRUE(),897.1,"")</f>
        <v>897.1</v>
      </c>
      <c r="AA10" s="13">
        <f>IF($C$6=TRUE(),897.9,"")</f>
        <v>897.9</v>
      </c>
      <c r="AB10" s="13">
        <f>IF($C$6=TRUE(),962.4,"")</f>
        <v>962.4</v>
      </c>
      <c r="AC10" s="13">
        <f>IF($C$6=TRUE(),983.3,"")</f>
        <v>983.3</v>
      </c>
      <c r="AD10" s="13">
        <f>IF($C$6=TRUE(),1049.9,"")</f>
        <v>1049.9000000000001</v>
      </c>
      <c r="AE10" s="13">
        <f>IF($C$6=TRUE(),1164.4,"")</f>
        <v>1164.4000000000001</v>
      </c>
      <c r="AF10" s="13">
        <f>IF($C$6=TRUE(),1188,"")</f>
        <v>1188</v>
      </c>
      <c r="AG10" s="13">
        <f>IF($C$6=TRUE(),1224.7,"")</f>
        <v>1224.7</v>
      </c>
      <c r="AH10" s="13">
        <f>IF($C$6=TRUE(),1243,"")</f>
        <v>1243</v>
      </c>
      <c r="AI10" s="13">
        <f>IF($C$6=TRUE(),1252.5,"")</f>
        <v>1252.5</v>
      </c>
      <c r="AJ10" s="13">
        <f>IF($C$6=TRUE(),1418.2,"")</f>
        <v>1418.2</v>
      </c>
      <c r="AK10" s="13">
        <f>IF($C$6=TRUE(),1431.5,"")</f>
        <v>1431.5</v>
      </c>
      <c r="AL10" s="13">
        <f>IF($C$6=TRUE(),1518.7,"")</f>
        <v>1518.7</v>
      </c>
      <c r="AM10" s="13">
        <f>IF($C$6=TRUE(),1547.5,"")</f>
        <v>1547.5</v>
      </c>
      <c r="AN10" s="13">
        <f>IF($C$6=TRUE(),1916.3,"")</f>
        <v>1916.3</v>
      </c>
      <c r="AO10" s="13">
        <f>IF($C$6=TRUE(),2310.1,"")</f>
        <v>2310.1</v>
      </c>
      <c r="AP10" s="13">
        <f>IF($C$6=TRUE(),2392.3,"")</f>
        <v>2392.3000000000002</v>
      </c>
      <c r="AQ10" s="13">
        <f>IF($C$6=TRUE(),2478.5,"")</f>
        <v>2478.5</v>
      </c>
      <c r="AR10" s="13">
        <f>IF($C$6=TRUE(),2525.2,"")</f>
        <v>2525.1999999999998</v>
      </c>
      <c r="AS10" s="13">
        <f>IF($C$6=TRUE(),2665.3,"")</f>
        <v>2665.3</v>
      </c>
      <c r="AT10" s="13">
        <f>IF($C$6=TRUE(),2929.9,"")</f>
        <v>2929.9</v>
      </c>
      <c r="AU10" s="13">
        <f>IF($C$6=TRUE(),3171.3,"")</f>
        <v>3171.3</v>
      </c>
      <c r="AV10" s="13">
        <f>IF($C$6=TRUE(),3641.9,"")</f>
        <v>3641.9</v>
      </c>
      <c r="AW10" s="13">
        <f>IF($C$6=TRUE(),3875.3,"")</f>
        <v>3875.3</v>
      </c>
      <c r="AX10" s="13">
        <f>IF($C$6=TRUE(),4424.5,"")</f>
        <v>4424.5</v>
      </c>
      <c r="AY10" s="13">
        <f>IF($C$6=TRUE(),4436.9,"")</f>
        <v>4436.8999999999996</v>
      </c>
      <c r="AZ10" s="13">
        <f>IF($C$6=TRUE(),5060.1,"")</f>
        <v>5060.1000000000004</v>
      </c>
      <c r="BA10" s="13">
        <f>IF($C$6=TRUE(),5216.5,"")</f>
        <v>5216.5</v>
      </c>
      <c r="BB10" s="13">
        <f>IF($C$6=TRUE(),5207.8,"")</f>
        <v>5207.8</v>
      </c>
      <c r="BC10" s="13">
        <f>IF($C$6=TRUE(),5362.9,"")</f>
        <v>5362.9</v>
      </c>
      <c r="BD10" s="13">
        <f>IF($C$6=TRUE(),5860.1,"")</f>
        <v>5860.1</v>
      </c>
      <c r="BE10" s="13">
        <f>IF($C$6=TRUE(),6144.7,"")</f>
        <v>6144.7</v>
      </c>
      <c r="BF10" s="13">
        <f>IF($C$6=TRUE(),6250.7,"")</f>
        <v>6250.7</v>
      </c>
      <c r="BG10" s="13">
        <f>IF($C$6=TRUE(),6279.9,"")</f>
        <v>6279.9</v>
      </c>
      <c r="BH10" s="13">
        <f>IF($C$6=TRUE(),7055,"")</f>
        <v>7055</v>
      </c>
      <c r="BI10" s="13">
        <f>IF($C$6=TRUE(),7123.1,"")</f>
        <v>7123.1</v>
      </c>
      <c r="BJ10" s="13">
        <f>IF($C$6=TRUE(),7330.6,"")</f>
        <v>7330.6</v>
      </c>
      <c r="BK10" s="13">
        <f>IF($C$6=TRUE(),7399.6,"")</f>
        <v>7399.6</v>
      </c>
      <c r="BL10" s="13">
        <f>IF($C$6=TRUE(),7415.4,"")</f>
        <v>7415.4</v>
      </c>
      <c r="BM10" s="13">
        <f>IF($C$6=TRUE(),7432.6,"")</f>
        <v>7432.6</v>
      </c>
      <c r="BN10" s="14"/>
      <c r="BO10" s="14"/>
    </row>
    <row r="11" spans="1:67" ht="15" customHeight="1">
      <c r="A11" s="9" t="s">
        <v>100</v>
      </c>
      <c r="B11" s="10">
        <f>IF($D$6=TRUE(),346.5,"")</f>
        <v>346.5</v>
      </c>
      <c r="C11" s="10">
        <f>IF($D$6=TRUE(),248.1,"")</f>
        <v>248.1</v>
      </c>
      <c r="D11" s="10">
        <f>IF($D$6=TRUE(),263.7,"")</f>
        <v>263.7</v>
      </c>
      <c r="E11" s="10">
        <f>IF($D$6=TRUE(),265.3,"")</f>
        <v>265.3</v>
      </c>
      <c r="F11" s="10">
        <f>IF($D$6=TRUE(),302.6,"")</f>
        <v>302.60000000000002</v>
      </c>
      <c r="G11" s="10">
        <f>IF($D$6=TRUE(),360.8,"")</f>
        <v>360.8</v>
      </c>
      <c r="H11" s="10">
        <f>IF($D$6=TRUE(),505.6,"")</f>
        <v>505.6</v>
      </c>
      <c r="I11" s="10">
        <f>IF($D$6=TRUE(),534.8,"")</f>
        <v>534.79999999999995</v>
      </c>
      <c r="J11" s="10">
        <f>IF($D$6=TRUE(),490.4,"")</f>
        <v>490.4</v>
      </c>
      <c r="K11" s="10">
        <f>IF($D$6=TRUE(),492.6,"")</f>
        <v>492.6</v>
      </c>
      <c r="L11" s="10">
        <f>IF($D$6=TRUE(),495.9,"")</f>
        <v>495.9</v>
      </c>
      <c r="M11" s="10">
        <f>IF($D$6=TRUE(),498.9,"")</f>
        <v>498.9</v>
      </c>
      <c r="N11" s="10">
        <f>IF($D$6=TRUE(),587.2,"")</f>
        <v>587.20000000000005</v>
      </c>
      <c r="O11" s="10">
        <f>IF($D$6=TRUE(),589.6,"")</f>
        <v>589.6</v>
      </c>
      <c r="P11" s="10">
        <f>IF($D$6=TRUE(),616.5,"")</f>
        <v>616.5</v>
      </c>
      <c r="Q11" s="10">
        <f>IF($D$6=TRUE(),618.5,"")</f>
        <v>618.5</v>
      </c>
      <c r="R11" s="10">
        <f>IF($D$6=TRUE(),662.3,"")</f>
        <v>662.3</v>
      </c>
      <c r="S11" s="10">
        <f>IF($D$6=TRUE(),663.6,"")</f>
        <v>663.6</v>
      </c>
      <c r="T11" s="10">
        <f>IF($D$6=TRUE(),634.3,"")</f>
        <v>634.29999999999995</v>
      </c>
      <c r="U11" s="10">
        <f>IF($D$6=TRUE(),635.4,"")</f>
        <v>635.4</v>
      </c>
      <c r="V11" s="10">
        <f>IF($D$6=TRUE(),665.4,"")</f>
        <v>665.4</v>
      </c>
      <c r="W11" s="10">
        <f>IF($D$6=TRUE(),677.7,"")</f>
        <v>677.7</v>
      </c>
      <c r="X11" s="10">
        <f>IF($D$6=TRUE(),756.6,"")</f>
        <v>756.6</v>
      </c>
      <c r="Y11" s="10">
        <f>IF($D$6=TRUE(),759.3,"")</f>
        <v>759.3</v>
      </c>
      <c r="Z11" s="10">
        <f>IF($D$6=TRUE(),782.9,"")</f>
        <v>782.9</v>
      </c>
      <c r="AA11" s="10">
        <f>IF($D$6=TRUE(),803.5,"")</f>
        <v>803.5</v>
      </c>
      <c r="AB11" s="10">
        <f>IF($D$6=TRUE(),837.9,"")</f>
        <v>837.9</v>
      </c>
      <c r="AC11" s="10">
        <f>IF($D$6=TRUE(),870.8,"")</f>
        <v>870.8</v>
      </c>
      <c r="AD11" s="10">
        <f>IF($D$6=TRUE(),988.5,"")</f>
        <v>988.5</v>
      </c>
      <c r="AE11" s="10">
        <f>IF($D$6=TRUE(),1027.7,"")</f>
        <v>1027.7</v>
      </c>
      <c r="AF11" s="10">
        <f>IF($D$6=TRUE(),1180.8,"")</f>
        <v>1180.8</v>
      </c>
      <c r="AG11" s="10">
        <f>IF($D$6=TRUE(),1355,"")</f>
        <v>1355</v>
      </c>
      <c r="AH11" s="10">
        <f>IF($D$6=TRUE(),1351.6,"")</f>
        <v>1351.6</v>
      </c>
      <c r="AI11" s="10">
        <f>IF($D$6=TRUE(),1361.2,"")</f>
        <v>1361.2</v>
      </c>
      <c r="AJ11" s="10">
        <f>IF($D$6=TRUE(),1590.5,"")</f>
        <v>1590.5</v>
      </c>
      <c r="AK11" s="10">
        <f>IF($D$6=TRUE(),1565.4,"")</f>
        <v>1565.4</v>
      </c>
      <c r="AL11" s="10">
        <f>IF($D$6=TRUE(),1594.5,"")</f>
        <v>1594.5</v>
      </c>
      <c r="AM11" s="10">
        <f>IF($D$6=TRUE(),1625.3,"")</f>
        <v>1625.3</v>
      </c>
      <c r="AN11" s="10">
        <f>IF($D$6=TRUE(),1823.4,"")</f>
        <v>1823.4</v>
      </c>
      <c r="AO11" s="10">
        <f>IF($D$6=TRUE(),1994,"")</f>
        <v>1994</v>
      </c>
      <c r="AP11" s="10">
        <f>IF($D$6=TRUE(),2124.1,"")</f>
        <v>2124.1</v>
      </c>
      <c r="AQ11" s="10">
        <f>IF($D$6=TRUE(),2396.1,"")</f>
        <v>2396.1</v>
      </c>
      <c r="AR11" s="10">
        <f>IF($D$6=TRUE(),3008.9,"")</f>
        <v>3008.9</v>
      </c>
      <c r="AS11" s="10">
        <f>IF($D$6=TRUE(),3336,"")</f>
        <v>3336</v>
      </c>
      <c r="AT11" s="10">
        <f>IF($D$6=TRUE(),3691.1,"")</f>
        <v>3691.1</v>
      </c>
      <c r="AU11" s="10">
        <f>IF($D$6=TRUE(),3977.4,"")</f>
        <v>3977.4</v>
      </c>
      <c r="AV11" s="10">
        <f>IF($D$6=TRUE(),4212.7,"")</f>
        <v>4212.7</v>
      </c>
      <c r="AW11" s="10">
        <f>IF($D$6=TRUE(),4371.2,"")</f>
        <v>4371.2</v>
      </c>
      <c r="AX11" s="10">
        <f>IF($D$6=TRUE(),4832.5,"")</f>
        <v>4832.5</v>
      </c>
      <c r="AY11" s="10">
        <f>IF($D$6=TRUE(),4560.9,"")</f>
        <v>4560.8999999999996</v>
      </c>
      <c r="AZ11" s="10">
        <f>IF($D$6=TRUE(),4444.6,"")</f>
        <v>4444.6000000000004</v>
      </c>
      <c r="BA11" s="10">
        <f>IF($D$6=TRUE(),4668.6,"")</f>
        <v>4668.6000000000004</v>
      </c>
      <c r="BB11" s="10">
        <f>IF($D$6=TRUE(),4668.8,"")</f>
        <v>4668.8</v>
      </c>
      <c r="BC11" s="10">
        <f>IF($D$6=TRUE(),4943.5,"")</f>
        <v>4943.5</v>
      </c>
      <c r="BD11" s="10">
        <f>IF($D$6=TRUE(),5303.2,"")</f>
        <v>5303.2</v>
      </c>
      <c r="BE11" s="10">
        <f>IF($D$6=TRUE(),5380.5,"")</f>
        <v>5380.5</v>
      </c>
      <c r="BF11" s="10">
        <f>IF($D$6=TRUE(),5456.2,"")</f>
        <v>5456.2</v>
      </c>
      <c r="BG11" s="10">
        <f>IF($D$6=TRUE(),5504.8,"")</f>
        <v>5504.8</v>
      </c>
      <c r="BH11" s="10">
        <f>IF($D$6=TRUE(),6192.5,"")</f>
        <v>6192.5</v>
      </c>
      <c r="BI11" s="10">
        <f>IF($D$6=TRUE(),6386.1,"")</f>
        <v>6386.1</v>
      </c>
      <c r="BJ11" s="10">
        <f>IF($D$6=TRUE(),6525.8,"")</f>
        <v>6525.8</v>
      </c>
      <c r="BK11" s="10">
        <f>IF($D$6=TRUE(),7230.3,"")</f>
        <v>7230.3</v>
      </c>
      <c r="BL11" s="10">
        <f>IF($D$6=TRUE(),7368.6,"")</f>
        <v>7368.6</v>
      </c>
      <c r="BM11" s="10">
        <f>IF($D$6=TRUE(),7812.5,"")</f>
        <v>7812.5</v>
      </c>
      <c r="BN11" s="11"/>
      <c r="BO11" s="11"/>
    </row>
    <row r="12" spans="1:67" ht="15" customHeight="1">
      <c r="A12" s="12" t="s">
        <v>101</v>
      </c>
      <c r="B12" s="13">
        <f>IF($E$6=TRUE(),153.8,"")</f>
        <v>153.80000000000001</v>
      </c>
      <c r="C12" s="13">
        <f>IF($E$6=TRUE(),154.7,"")</f>
        <v>154.69999999999999</v>
      </c>
      <c r="D12" s="13">
        <f>IF($E$6=TRUE(),144.5,"")</f>
        <v>144.5</v>
      </c>
      <c r="E12" s="13">
        <f>IF($E$6=TRUE(),153.5,"")</f>
        <v>153.5</v>
      </c>
      <c r="F12" s="13">
        <f>IF($E$6=TRUE(),175.2,"")</f>
        <v>175.2</v>
      </c>
      <c r="G12" s="13">
        <f>IF($E$6=TRUE(),181.8,"")</f>
        <v>181.8</v>
      </c>
      <c r="H12" s="13">
        <f>IF($E$6=TRUE(),244.6,"")</f>
        <v>244.6</v>
      </c>
      <c r="I12" s="13">
        <f>IF($E$6=TRUE(),270.5,"")</f>
        <v>270.5</v>
      </c>
      <c r="J12" s="13">
        <f>IF($E$6=TRUE(),277.5,"")</f>
        <v>277.5</v>
      </c>
      <c r="K12" s="13">
        <f>IF($E$6=TRUE(),279,"")</f>
        <v>279</v>
      </c>
      <c r="L12" s="13">
        <f>IF($E$6=TRUE(),281.2,"")</f>
        <v>281.2</v>
      </c>
      <c r="M12" s="13">
        <f>IF($E$6=TRUE(),283.2,"")</f>
        <v>283.2</v>
      </c>
      <c r="N12" s="13">
        <f>IF($E$6=TRUE(),293.5,"")</f>
        <v>293.5</v>
      </c>
      <c r="O12" s="13">
        <f>IF($E$6=TRUE(),295.1,"")</f>
        <v>295.10000000000002</v>
      </c>
      <c r="P12" s="13">
        <f>IF($E$6=TRUE(),313,"")</f>
        <v>313</v>
      </c>
      <c r="Q12" s="13">
        <f>IF($E$6=TRUE(),314.2,"")</f>
        <v>314.2</v>
      </c>
      <c r="R12" s="13">
        <f>IF($E$6=TRUE(),322.6,"")</f>
        <v>322.60000000000002</v>
      </c>
      <c r="S12" s="13">
        <f>IF($E$6=TRUE(),323.4,"")</f>
        <v>323.39999999999998</v>
      </c>
      <c r="T12" s="13">
        <f>IF($E$6=TRUE(),324,"")</f>
        <v>324</v>
      </c>
      <c r="U12" s="13">
        <f>IF($E$6=TRUE(),324.6,"")</f>
        <v>324.60000000000002</v>
      </c>
      <c r="V12" s="13">
        <f>IF($E$6=TRUE(),332.2,"")</f>
        <v>332.2</v>
      </c>
      <c r="W12" s="13">
        <f>IF($E$6=TRUE(),333.2,"")</f>
        <v>333.2</v>
      </c>
      <c r="X12" s="13">
        <f>IF($E$6=TRUE(),334.2,"")</f>
        <v>334.2</v>
      </c>
      <c r="Y12" s="13">
        <f>IF($E$6=TRUE(),335.1,"")</f>
        <v>335.1</v>
      </c>
      <c r="Z12" s="13">
        <f>IF($E$6=TRUE(),344,"")</f>
        <v>344</v>
      </c>
      <c r="AA12" s="13">
        <f>IF($E$6=TRUE(),344.8,"")</f>
        <v>344.8</v>
      </c>
      <c r="AB12" s="13">
        <f>IF($E$6=TRUE(),384.2,"")</f>
        <v>384.2</v>
      </c>
      <c r="AC12" s="13">
        <f>IF($E$6=TRUE(),385.3,"")</f>
        <v>385.3</v>
      </c>
      <c r="AD12" s="13">
        <f>IF($E$6=TRUE(),451.7,"")</f>
        <v>451.7</v>
      </c>
      <c r="AE12" s="13">
        <f>IF($E$6=TRUE(),516.4,"")</f>
        <v>516.4</v>
      </c>
      <c r="AF12" s="13">
        <f>IF($E$6=TRUE(),544.5,"")</f>
        <v>544.5</v>
      </c>
      <c r="AG12" s="13">
        <f>IF($E$6=TRUE(),574.2,"")</f>
        <v>574.20000000000005</v>
      </c>
      <c r="AH12" s="13">
        <f>IF($E$6=TRUE(),693,"")</f>
        <v>693</v>
      </c>
      <c r="AI12" s="13">
        <f>IF($E$6=TRUE(),644.2,"")</f>
        <v>644.20000000000005</v>
      </c>
      <c r="AJ12" s="13">
        <f>IF($E$6=TRUE(),675.5,"")</f>
        <v>675.5</v>
      </c>
      <c r="AK12" s="13">
        <f>IF($E$6=TRUE(),685.1,"")</f>
        <v>685.1</v>
      </c>
      <c r="AL12" s="13">
        <f>IF($E$6=TRUE(),690,"")</f>
        <v>690</v>
      </c>
      <c r="AM12" s="13">
        <f>IF($E$6=TRUE(),696.4,"")</f>
        <v>696.4</v>
      </c>
      <c r="AN12" s="13">
        <f>IF($E$6=TRUE(),767.7,"")</f>
        <v>767.7</v>
      </c>
      <c r="AO12" s="13">
        <f>IF($E$6=TRUE(),930.7,"")</f>
        <v>930.7</v>
      </c>
      <c r="AP12" s="13">
        <f>IF($E$6=TRUE(),935.4,"")</f>
        <v>935.4</v>
      </c>
      <c r="AQ12" s="13">
        <f>IF($E$6=TRUE(),998.5,"")</f>
        <v>998.5</v>
      </c>
      <c r="AR12" s="13">
        <f>IF($E$6=TRUE(),1246.7,"")</f>
        <v>1246.7</v>
      </c>
      <c r="AS12" s="13">
        <f>IF($E$6=TRUE(),1263.7,"")</f>
        <v>1263.7</v>
      </c>
      <c r="AT12" s="13">
        <f>IF($E$6=TRUE(),1409.9,"")</f>
        <v>1409.9</v>
      </c>
      <c r="AU12" s="13">
        <f>IF($E$6=TRUE(),1440,"")</f>
        <v>1440</v>
      </c>
      <c r="AV12" s="13">
        <f>IF($E$6=TRUE(),1546.4,"")</f>
        <v>1546.4</v>
      </c>
      <c r="AW12" s="13">
        <f>IF($E$6=TRUE(),1553.3,"")</f>
        <v>1553.3</v>
      </c>
      <c r="AX12" s="13">
        <f>IF($E$6=TRUE(),1811.7,"")</f>
        <v>1811.7</v>
      </c>
      <c r="AY12" s="13">
        <f>IF($E$6=TRUE(),1826.8,"")</f>
        <v>1826.8</v>
      </c>
      <c r="AZ12" s="13">
        <f>IF($E$6=TRUE(),2000.1,"")</f>
        <v>2000.1</v>
      </c>
      <c r="BA12" s="13">
        <f>IF($E$6=TRUE(),2145.2,"")</f>
        <v>2145.1999999999998</v>
      </c>
      <c r="BB12" s="13">
        <f>IF($E$6=TRUE(),2305.8,"")</f>
        <v>2305.8000000000002</v>
      </c>
      <c r="BC12" s="13">
        <f>IF($E$6=TRUE(),2466.4,"")</f>
        <v>2466.4</v>
      </c>
      <c r="BD12" s="13">
        <f>IF($E$6=TRUE(),2918.8,"")</f>
        <v>2918.8</v>
      </c>
      <c r="BE12" s="13">
        <f>IF($E$6=TRUE(),2989.2,"")</f>
        <v>2989.2</v>
      </c>
      <c r="BF12" s="13">
        <f>IF($E$6=TRUE(),3168.8,"")</f>
        <v>3168.8</v>
      </c>
      <c r="BG12" s="13">
        <f>IF($E$6=TRUE(),3195.5,"")</f>
        <v>3195.5</v>
      </c>
      <c r="BH12" s="13">
        <f>IF($E$6=TRUE(),3800.6,"")</f>
        <v>3800.6</v>
      </c>
      <c r="BI12" s="13">
        <f>IF($E$6=TRUE(),3852.6,"")</f>
        <v>3852.6</v>
      </c>
      <c r="BJ12" s="13">
        <f>IF($E$6=TRUE(),4188.5,"")</f>
        <v>4188.5</v>
      </c>
      <c r="BK12" s="13">
        <f>IF($E$6=TRUE(),4247.6,"")</f>
        <v>4247.6000000000004</v>
      </c>
      <c r="BL12" s="13">
        <f>IF($E$6=TRUE(),4260.3,"")</f>
        <v>4260.3</v>
      </c>
      <c r="BM12" s="13">
        <f>IF($E$6=TRUE(),4375.8,"")</f>
        <v>4375.8</v>
      </c>
      <c r="BN12" s="14"/>
      <c r="BO12" s="14"/>
    </row>
    <row r="13" spans="1:67" ht="15" customHeight="1">
      <c r="A13" s="9" t="s">
        <v>102</v>
      </c>
      <c r="B13" s="10">
        <f>IF($F$6=TRUE(),317.2,"")</f>
        <v>317.2</v>
      </c>
      <c r="C13" s="10">
        <f>IF($F$6=TRUE(),319.4,"")</f>
        <v>319.39999999999998</v>
      </c>
      <c r="D13" s="10">
        <f>IF($F$6=TRUE(),321.8,"")</f>
        <v>321.8</v>
      </c>
      <c r="E13" s="10">
        <f>IF($F$6=TRUE(),324.2,"")</f>
        <v>324.2</v>
      </c>
      <c r="F13" s="10">
        <f>IF($F$6=TRUE(),332.6,"")</f>
        <v>332.6</v>
      </c>
      <c r="G13" s="10">
        <f>IF($F$6=TRUE(),336.9,"")</f>
        <v>336.9</v>
      </c>
      <c r="H13" s="10">
        <f>IF($F$6=TRUE(),344,"")</f>
        <v>344</v>
      </c>
      <c r="I13" s="10">
        <f>IF($F$6=TRUE(),347.2,"")</f>
        <v>347.2</v>
      </c>
      <c r="J13" s="10">
        <f>IF($F$6=TRUE(),359.3,"")</f>
        <v>359.3</v>
      </c>
      <c r="K13" s="10">
        <f>IF($F$6=TRUE(),361.8,"")</f>
        <v>361.8</v>
      </c>
      <c r="L13" s="10">
        <f>IF($F$6=TRUE(),364.9,"")</f>
        <v>364.9</v>
      </c>
      <c r="M13" s="10">
        <f>IF($F$6=TRUE(),367.6,"")</f>
        <v>367.6</v>
      </c>
      <c r="N13" s="10">
        <f>IF($F$6=TRUE(),385.3,"")</f>
        <v>385.3</v>
      </c>
      <c r="O13" s="10">
        <f>IF($F$6=TRUE(),388,"")</f>
        <v>388</v>
      </c>
      <c r="P13" s="10">
        <f>IF($F$6=TRUE(),389,"")</f>
        <v>389</v>
      </c>
      <c r="Q13" s="10">
        <f>IF($F$6=TRUE(),390,"")</f>
        <v>390</v>
      </c>
      <c r="R13" s="10">
        <f>IF($F$6=TRUE(),391,"")</f>
        <v>391</v>
      </c>
      <c r="S13" s="10">
        <f>IF($F$6=TRUE(),392,"")</f>
        <v>392</v>
      </c>
      <c r="T13" s="10">
        <f>IF($F$6=TRUE(),393,"")</f>
        <v>393</v>
      </c>
      <c r="U13" s="10">
        <f>IF($F$6=TRUE(),394,"")</f>
        <v>394</v>
      </c>
      <c r="V13" s="10">
        <f>IF($F$6=TRUE(),395,"")</f>
        <v>395</v>
      </c>
      <c r="W13" s="10">
        <f>IF($F$6=TRUE(),396,"")</f>
        <v>396</v>
      </c>
      <c r="X13" s="10">
        <f>IF($F$6=TRUE(),397,"")</f>
        <v>397</v>
      </c>
      <c r="Y13" s="10">
        <f>IF($F$6=TRUE(),398,"")</f>
        <v>398</v>
      </c>
      <c r="Z13" s="10">
        <f>IF($F$6=TRUE(),399,"")</f>
        <v>399</v>
      </c>
      <c r="AA13" s="10">
        <f>IF($F$6=TRUE(),400,"")</f>
        <v>400</v>
      </c>
      <c r="AB13" s="10">
        <f>IF($F$6=TRUE(),401,"")</f>
        <v>401</v>
      </c>
      <c r="AC13" s="10">
        <f>IF($F$6=TRUE(),402,"")</f>
        <v>402</v>
      </c>
      <c r="AD13" s="10">
        <f>IF($F$6=TRUE(),403,"")</f>
        <v>403</v>
      </c>
      <c r="AE13" s="10">
        <f>IF($F$6=TRUE(),404,"")</f>
        <v>404</v>
      </c>
      <c r="AF13" s="10">
        <f>IF($F$6=TRUE(),405,"")</f>
        <v>405</v>
      </c>
      <c r="AG13" s="10">
        <f>IF($F$6=TRUE(),406,"")</f>
        <v>406</v>
      </c>
      <c r="AH13" s="10">
        <f>IF($F$6=TRUE(),406,"")</f>
        <v>406</v>
      </c>
      <c r="AI13" s="10">
        <f>IF($F$6=TRUE(),407,"")</f>
        <v>407</v>
      </c>
      <c r="AJ13" s="10">
        <f>IF($F$6=TRUE(),408,"")</f>
        <v>408</v>
      </c>
      <c r="AK13" s="10">
        <f>IF($F$6=TRUE(),409,"")</f>
        <v>409</v>
      </c>
      <c r="AL13" s="10">
        <f>IF($F$6=TRUE(),410,"")</f>
        <v>410</v>
      </c>
      <c r="AM13" s="10">
        <f>IF($F$6=TRUE(),411,"")</f>
        <v>411</v>
      </c>
      <c r="AN13" s="10">
        <f>IF($F$6=TRUE(),412,"")</f>
        <v>412</v>
      </c>
      <c r="AO13" s="10">
        <f>IF($F$6=TRUE(),413,"")</f>
        <v>413</v>
      </c>
      <c r="AP13" s="10">
        <f>IF($F$6=TRUE(),114,"")</f>
        <v>114</v>
      </c>
      <c r="AQ13" s="10">
        <f>IF($F$6=TRUE(),115,"")</f>
        <v>115</v>
      </c>
      <c r="AR13" s="10">
        <f>IF($F$6=TRUE(),416,"")</f>
        <v>416</v>
      </c>
      <c r="AS13" s="10">
        <f>IF($F$6=TRUE(),417,"")</f>
        <v>417</v>
      </c>
      <c r="AT13" s="10">
        <f>IF($F$6=TRUE(),418,"")</f>
        <v>418</v>
      </c>
      <c r="AU13" s="10">
        <f>IF($F$6=TRUE(),419,"")</f>
        <v>419</v>
      </c>
      <c r="AV13" s="10">
        <f>IF($F$6=TRUE(),420,"")</f>
        <v>420</v>
      </c>
      <c r="AW13" s="10">
        <f>IF($F$6=TRUE(),421,"")</f>
        <v>421</v>
      </c>
      <c r="AX13" s="10">
        <f>IF($F$6=TRUE(),422,"")</f>
        <v>422</v>
      </c>
      <c r="AY13" s="10">
        <f>IF($F$6=TRUE(),423,"")</f>
        <v>423</v>
      </c>
      <c r="AZ13" s="10">
        <f>IF($F$6=TRUE(),424,"")</f>
        <v>424</v>
      </c>
      <c r="BA13" s="10">
        <f>IF($F$6=TRUE(),425,"")</f>
        <v>425</v>
      </c>
      <c r="BB13" s="10">
        <f>IF($F$6=TRUE(),425,"")</f>
        <v>425</v>
      </c>
      <c r="BC13" s="10">
        <f>IF($F$6=TRUE(),425,"")</f>
        <v>425</v>
      </c>
      <c r="BD13" s="10">
        <f>IF($F$6=TRUE(),426,"")</f>
        <v>426</v>
      </c>
      <c r="BE13" s="10">
        <f>IF($F$6=TRUE(),427,"")</f>
        <v>427</v>
      </c>
      <c r="BF13" s="10">
        <f>IF($F$6=TRUE(),428,"")</f>
        <v>428</v>
      </c>
      <c r="BG13" s="10">
        <f>IF($F$6=TRUE(),429,"")</f>
        <v>429</v>
      </c>
      <c r="BH13" s="10">
        <f>IF($F$6=TRUE(),430,"")</f>
        <v>430</v>
      </c>
      <c r="BI13" s="10">
        <f>IF($F$6=TRUE(),431,"")</f>
        <v>431</v>
      </c>
      <c r="BJ13" s="10">
        <f>IF($F$6=TRUE(),432,"")</f>
        <v>432</v>
      </c>
      <c r="BK13" s="10">
        <f>IF($F$6=TRUE(),433,"")</f>
        <v>433</v>
      </c>
      <c r="BL13" s="10">
        <f>IF($F$6=TRUE(),433,"")</f>
        <v>433</v>
      </c>
      <c r="BM13" s="10">
        <f>IF($F$6=TRUE(),433,"")</f>
        <v>433</v>
      </c>
      <c r="BN13" s="11"/>
      <c r="BO13" s="11"/>
    </row>
    <row r="14" spans="1:67" ht="15" customHeight="1">
      <c r="A14" s="12" t="s">
        <v>103</v>
      </c>
      <c r="B14" s="13">
        <f>IF($G$6=TRUE(),417.5,"")</f>
        <v>417.5</v>
      </c>
      <c r="C14" s="13">
        <f>IF($G$6=TRUE(),422.8,"")</f>
        <v>422.8</v>
      </c>
      <c r="D14" s="13">
        <f>IF($G$6=TRUE(),511.9,"")</f>
        <v>511.9</v>
      </c>
      <c r="E14" s="13">
        <f>IF($G$6=TRUE(),513.3,"")</f>
        <v>513.29999999999995</v>
      </c>
      <c r="F14" s="13">
        <f>IF($G$6=TRUE(),526.6,"")</f>
        <v>526.6</v>
      </c>
      <c r="G14" s="13">
        <f>IF($G$6=TRUE(),587.9,"")</f>
        <v>587.9</v>
      </c>
      <c r="H14" s="13">
        <f>IF($G$6=TRUE(),771,"")</f>
        <v>771</v>
      </c>
      <c r="I14" s="13">
        <f>IF($G$6=TRUE(),787.8,"")</f>
        <v>787.8</v>
      </c>
      <c r="J14" s="13">
        <f>IF($G$6=TRUE(),796.3,"")</f>
        <v>796.3</v>
      </c>
      <c r="K14" s="13">
        <f>IF($G$6=TRUE(),756.8,"")</f>
        <v>756.8</v>
      </c>
      <c r="L14" s="13">
        <f>IF($G$6=TRUE(),745.1,"")</f>
        <v>745.1</v>
      </c>
      <c r="M14" s="13">
        <f>IF($G$6=TRUE(),748,"")</f>
        <v>748</v>
      </c>
      <c r="N14" s="13">
        <f>IF($G$6=TRUE(),821.4,"")</f>
        <v>821.4</v>
      </c>
      <c r="O14" s="13">
        <f>IF($G$6=TRUE(),844.9,"")</f>
        <v>844.9</v>
      </c>
      <c r="P14" s="13">
        <f>IF($G$6=TRUE(),811.8,"")</f>
        <v>811.8</v>
      </c>
      <c r="Q14" s="13">
        <f>IF($G$6=TRUE(),779.1,"")</f>
        <v>779.1</v>
      </c>
      <c r="R14" s="13">
        <f>IF($G$6=TRUE(),785.8,"")</f>
        <v>785.8</v>
      </c>
      <c r="S14" s="13">
        <f>IF($G$6=TRUE(),731.6,"")</f>
        <v>731.6</v>
      </c>
      <c r="T14" s="13">
        <f>IF($G$6=TRUE(),697.7,"")</f>
        <v>697.7</v>
      </c>
      <c r="U14" s="13">
        <f>IF($G$6=TRUE(),690.4,"")</f>
        <v>690.4</v>
      </c>
      <c r="V14" s="13">
        <f>IF($G$6=TRUE(),684.4,"")</f>
        <v>684.4</v>
      </c>
      <c r="W14" s="13">
        <f>IF($G$6=TRUE(),698.9,"")</f>
        <v>698.9</v>
      </c>
      <c r="X14" s="13">
        <f>IF($G$6=TRUE(),769.6,"")</f>
        <v>769.6</v>
      </c>
      <c r="Y14" s="13">
        <f>IF($G$6=TRUE(),824.6,"")</f>
        <v>824.6</v>
      </c>
      <c r="Z14" s="13">
        <f>IF($G$6=TRUE(),852.7,"")</f>
        <v>852.7</v>
      </c>
      <c r="AA14" s="13">
        <f>IF($G$6=TRUE(),923.6,"")</f>
        <v>923.6</v>
      </c>
      <c r="AB14" s="13">
        <f>IF($G$6=TRUE(),1032.4,"")</f>
        <v>1032.4000000000001</v>
      </c>
      <c r="AC14" s="13">
        <f>IF($G$6=TRUE(),1073.1,"")</f>
        <v>1073.0999999999999</v>
      </c>
      <c r="AD14" s="13">
        <f>IF($G$6=TRUE(),1131.2,"")</f>
        <v>1131.2</v>
      </c>
      <c r="AE14" s="13">
        <f>IF($G$6=TRUE(),1270.1,"")</f>
        <v>1270.0999999999999</v>
      </c>
      <c r="AF14" s="13">
        <f>IF($G$6=TRUE(),1360.1,"")</f>
        <v>1360.1</v>
      </c>
      <c r="AG14" s="13">
        <f>IF($G$6=TRUE(),1449.9,"")</f>
        <v>1449.9</v>
      </c>
      <c r="AH14" s="13">
        <f>IF($G$6=TRUE(),1874.1,"")</f>
        <v>1874.1</v>
      </c>
      <c r="AI14" s="13">
        <f>IF($G$6=TRUE(),1768.7,"")</f>
        <v>1768.7</v>
      </c>
      <c r="AJ14" s="13">
        <f>IF($G$6=TRUE(),2242.1,"")</f>
        <v>2242.1</v>
      </c>
      <c r="AK14" s="13">
        <f>IF($G$6=TRUE(),2273.1,"")</f>
        <v>2273.1</v>
      </c>
      <c r="AL14" s="13">
        <f>IF($G$6=TRUE(),2112.1,"")</f>
        <v>2112.1</v>
      </c>
      <c r="AM14" s="13">
        <f>IF($G$6=TRUE(),2197.8,"")</f>
        <v>2197.8000000000002</v>
      </c>
      <c r="AN14" s="13">
        <f>IF($G$6=TRUE(),2516.7,"")</f>
        <v>2516.6999999999998</v>
      </c>
      <c r="AO14" s="13">
        <f>IF($G$6=TRUE(),2793.2,"")</f>
        <v>2793.2</v>
      </c>
      <c r="AP14" s="13">
        <f>IF($G$6=TRUE(),3164.7,"")</f>
        <v>3164.7</v>
      </c>
      <c r="AQ14" s="13">
        <f>IF($G$6=TRUE(),3735.3,"")</f>
        <v>3735.3</v>
      </c>
      <c r="AR14" s="13">
        <f>IF($G$6=TRUE(),4798.2,"")</f>
        <v>4798.2</v>
      </c>
      <c r="AS14" s="13">
        <f>IF($G$6=TRUE(),5559.2,"")</f>
        <v>5559.2</v>
      </c>
      <c r="AT14" s="13">
        <f>IF($G$6=TRUE(),6073.9,"")</f>
        <v>6073.9</v>
      </c>
      <c r="AU14" s="13">
        <f>IF($G$6=TRUE(),6200,"")</f>
        <v>6200</v>
      </c>
      <c r="AV14" s="13">
        <f>IF($G$6=TRUE(),6521.4,"")</f>
        <v>6521.4</v>
      </c>
      <c r="AW14" s="13">
        <f>IF($G$6=TRUE(),6809.8,"")</f>
        <v>6809.8</v>
      </c>
      <c r="AX14" s="13">
        <f>IF($G$6=TRUE(),7388.8,"")</f>
        <v>7388.8</v>
      </c>
      <c r="AY14" s="13">
        <f>IF($G$6=TRUE(),7247.4,"")</f>
        <v>7247.4</v>
      </c>
      <c r="AZ14" s="13">
        <f>IF($G$6=TRUE(),8068.4,"")</f>
        <v>8068.4</v>
      </c>
      <c r="BA14" s="13">
        <f>IF($G$6=TRUE(),9094.7,"")</f>
        <v>9094.7000000000007</v>
      </c>
      <c r="BB14" s="13">
        <f>IF($G$6=TRUE(),10244.1,"")</f>
        <v>10244.1</v>
      </c>
      <c r="BC14" s="13">
        <f>IF($G$6=TRUE(),11244,"")</f>
        <v>11244</v>
      </c>
      <c r="BD14" s="13">
        <f>IF($G$6=TRUE(),10801.1,"")</f>
        <v>10801.1</v>
      </c>
      <c r="BE14" s="13">
        <f>IF($G$6=TRUE(),10580.8,"")</f>
        <v>10580.8</v>
      </c>
      <c r="BF14" s="13">
        <f>IF($G$6=TRUE(),10446.7,"")</f>
        <v>10446.700000000001</v>
      </c>
      <c r="BG14" s="13">
        <f>IF($G$6=TRUE(),10657.7,"")</f>
        <v>10657.7</v>
      </c>
      <c r="BH14" s="13">
        <f>IF($G$6=TRUE(),23860.6,"")</f>
        <v>23860.6</v>
      </c>
      <c r="BI14" s="13">
        <f>IF($G$6=TRUE(),13523.2,"")</f>
        <v>13523.2</v>
      </c>
      <c r="BJ14" s="13">
        <f>IF($G$6=TRUE(),13911.8,"")</f>
        <v>13911.8</v>
      </c>
      <c r="BK14" s="13">
        <f>IF($G$6=TRUE(),15192.3,"")</f>
        <v>15192.3</v>
      </c>
      <c r="BL14" s="13">
        <f>IF($G$6=TRUE(),17364.4,"")</f>
        <v>17364.400000000001</v>
      </c>
      <c r="BM14" s="13">
        <f>IF($G$6=TRUE(),19294.5,"")</f>
        <v>19294.5</v>
      </c>
      <c r="BN14" s="14"/>
      <c r="BO14" s="14"/>
    </row>
    <row r="15" spans="1:67" ht="15" customHeight="1">
      <c r="A15" s="9" t="s">
        <v>104</v>
      </c>
      <c r="B15" s="10">
        <f>IF($H$6=TRUE(),316.1,"")</f>
        <v>316.10000000000002</v>
      </c>
      <c r="C15" s="10">
        <f>IF($H$6=TRUE(),316.8,"")</f>
        <v>316.8</v>
      </c>
      <c r="D15" s="10">
        <f>IF($H$6=TRUE(),342.3,"")</f>
        <v>342.3</v>
      </c>
      <c r="E15" s="10">
        <f>IF($H$6=TRUE(),365,"")</f>
        <v>365</v>
      </c>
      <c r="F15" s="10">
        <f>IF($H$6=TRUE(),393,"")</f>
        <v>393</v>
      </c>
      <c r="G15" s="10">
        <f>IF($H$6=TRUE(),432.5,"")</f>
        <v>432.5</v>
      </c>
      <c r="H15" s="10">
        <f>IF($H$6=TRUE(),652.8,"")</f>
        <v>652.79999999999995</v>
      </c>
      <c r="I15" s="10">
        <f>IF($H$6=TRUE(),660.2,"")</f>
        <v>660.2</v>
      </c>
      <c r="J15" s="10">
        <f>IF($H$6=TRUE(),666.4,"")</f>
        <v>666.4</v>
      </c>
      <c r="K15" s="10">
        <f>IF($H$6=TRUE(),667.2,"")</f>
        <v>667.2</v>
      </c>
      <c r="L15" s="10">
        <f>IF($H$6=TRUE(),709.2,"")</f>
        <v>709.2</v>
      </c>
      <c r="M15" s="10">
        <f>IF($H$6=TRUE(),710.5,"")</f>
        <v>710.5</v>
      </c>
      <c r="N15" s="10">
        <f>IF($H$6=TRUE(),719,"")</f>
        <v>719</v>
      </c>
      <c r="O15" s="10">
        <f>IF($H$6=TRUE(),720.1,"")</f>
        <v>720.1</v>
      </c>
      <c r="P15" s="10">
        <f>IF($H$6=TRUE(),713.8,"")</f>
        <v>713.8</v>
      </c>
      <c r="Q15" s="10">
        <f>IF($H$6=TRUE(),714.6,"")</f>
        <v>714.6</v>
      </c>
      <c r="R15" s="10">
        <f>IF($H$6=TRUE(),775.6,"")</f>
        <v>775.6</v>
      </c>
      <c r="S15" s="10">
        <f>IF($H$6=TRUE(),776.1,"")</f>
        <v>776.1</v>
      </c>
      <c r="T15" s="10">
        <f>IF($H$6=TRUE(),776.4,"")</f>
        <v>776.4</v>
      </c>
      <c r="U15" s="10">
        <f>IF($H$6=TRUE(),776.8,"")</f>
        <v>776.8</v>
      </c>
      <c r="V15" s="10">
        <f>IF($H$6=TRUE(),787.5,"")</f>
        <v>787.5</v>
      </c>
      <c r="W15" s="10">
        <f>IF($H$6=TRUE(),788.3,"")</f>
        <v>788.3</v>
      </c>
      <c r="X15" s="10">
        <f>IF($H$6=TRUE(),750.7,"")</f>
        <v>750.7</v>
      </c>
      <c r="Y15" s="10">
        <f>IF($H$6=TRUE(),806.2,"")</f>
        <v>806.2</v>
      </c>
      <c r="Z15" s="10">
        <f>IF($H$6=TRUE(),831.8,"")</f>
        <v>831.8</v>
      </c>
      <c r="AA15" s="10">
        <f>IF($H$6=TRUE(),832,"")</f>
        <v>832</v>
      </c>
      <c r="AB15" s="10">
        <f>IF($H$6=TRUE(),906.5,"")</f>
        <v>906.5</v>
      </c>
      <c r="AC15" s="10">
        <f>IF($H$6=TRUE(),911.9,"")</f>
        <v>911.9</v>
      </c>
      <c r="AD15" s="10">
        <f>IF($H$6=TRUE(),1159.8,"")</f>
        <v>1159.8</v>
      </c>
      <c r="AE15" s="10">
        <f>IF($H$6=TRUE(),1466.6,"")</f>
        <v>1466.6</v>
      </c>
      <c r="AF15" s="10">
        <f>IF($H$6=TRUE(),1700.4,"")</f>
        <v>1700.4</v>
      </c>
      <c r="AG15" s="10">
        <f>IF($H$6=TRUE(),1825.5,"")</f>
        <v>1825.5</v>
      </c>
      <c r="AH15" s="10">
        <f>IF($H$6=TRUE(),1913.4,"")</f>
        <v>1913.4</v>
      </c>
      <c r="AI15" s="10">
        <f>IF($H$6=TRUE(),1917.4,"")</f>
        <v>1917.4</v>
      </c>
      <c r="AJ15" s="10">
        <f>IF($H$6=TRUE(),2158.1,"")</f>
        <v>2158.1</v>
      </c>
      <c r="AK15" s="10">
        <f>IF($H$6=TRUE(),2163.7,"")</f>
        <v>2163.6999999999998</v>
      </c>
      <c r="AL15" s="10">
        <f>IF($H$6=TRUE(),2325.8,"")</f>
        <v>2325.8000000000002</v>
      </c>
      <c r="AM15" s="10">
        <f>IF($H$6=TRUE(),2334.7,"")</f>
        <v>2334.6999999999998</v>
      </c>
      <c r="AN15" s="10">
        <f>IF($H$6=TRUE(),2685.2,"")</f>
        <v>2685.2</v>
      </c>
      <c r="AO15" s="10">
        <f>IF($H$6=TRUE(),2772.8,"")</f>
        <v>2772.8</v>
      </c>
      <c r="AP15" s="10">
        <f>IF($H$6=TRUE(),3274,"")</f>
        <v>3274</v>
      </c>
      <c r="AQ15" s="10">
        <f>IF($H$6=TRUE(),3303.4,"")</f>
        <v>3303.4</v>
      </c>
      <c r="AR15" s="10">
        <f>IF($H$6=TRUE(),3654,"")</f>
        <v>3654</v>
      </c>
      <c r="AS15" s="10">
        <f>IF($H$6=TRUE(),3666.1,"")</f>
        <v>3666.1</v>
      </c>
      <c r="AT15" s="10">
        <f>IF($H$6=TRUE(),4384.4,"")</f>
        <v>4384.3999999999996</v>
      </c>
      <c r="AU15" s="10">
        <f>IF($H$6=TRUE(),4512,"")</f>
        <v>4512</v>
      </c>
      <c r="AV15" s="10">
        <f>IF($H$6=TRUE(),4540.3,"")</f>
        <v>4540.3</v>
      </c>
      <c r="AW15" s="10">
        <f>IF($H$6=TRUE(),5066.4,"")</f>
        <v>5066.3999999999996</v>
      </c>
      <c r="AX15" s="10">
        <f>IF($H$6=TRUE(),5855.5,"")</f>
        <v>5855.5</v>
      </c>
      <c r="AY15" s="10">
        <f>IF($H$6=TRUE(),5962.3,"")</f>
        <v>5962.3</v>
      </c>
      <c r="AZ15" s="10">
        <f>IF($H$6=TRUE(),6252.1,"")</f>
        <v>6252.1</v>
      </c>
      <c r="BA15" s="10">
        <f>IF($H$6=TRUE(),6970.6,"")</f>
        <v>6970.6</v>
      </c>
      <c r="BB15" s="10">
        <f>IF($H$6=TRUE(),6973.3,"")</f>
        <v>6973.3</v>
      </c>
      <c r="BC15" s="10">
        <f>IF($H$6=TRUE(),6976.7,"")</f>
        <v>6976.7</v>
      </c>
      <c r="BD15" s="10">
        <f>IF($H$6=TRUE(),7087.5,"")</f>
        <v>7087.5</v>
      </c>
      <c r="BE15" s="10">
        <f>IF($H$6=TRUE(),7111.4,"")</f>
        <v>7111.4</v>
      </c>
      <c r="BF15" s="10">
        <f>IF($H$6=TRUE(),7945,"")</f>
        <v>7945</v>
      </c>
      <c r="BG15" s="10">
        <f>IF($H$6=TRUE(),7958.2,"")</f>
        <v>7958.2</v>
      </c>
      <c r="BH15" s="10">
        <f>IF($H$6=TRUE(),9736.3,"")</f>
        <v>9736.2999999999993</v>
      </c>
      <c r="BI15" s="10">
        <f>IF($H$6=TRUE(),9705.5,"")</f>
        <v>9705.5</v>
      </c>
      <c r="BJ15" s="10">
        <f>IF($H$6=TRUE(),10020.9,"")</f>
        <v>10020.9</v>
      </c>
      <c r="BK15" s="10">
        <f>IF($H$6=TRUE(),10159.5,"")</f>
        <v>10159.5</v>
      </c>
      <c r="BL15" s="10">
        <f>IF($H$6=TRUE(),10347.6,"")</f>
        <v>10347.6</v>
      </c>
      <c r="BM15" s="10">
        <f>IF($H$6=TRUE(),10444.1,"")</f>
        <v>10444.1</v>
      </c>
      <c r="BN15" s="11"/>
      <c r="BO15" s="11"/>
    </row>
    <row r="16" spans="1:67" ht="15" customHeight="1">
      <c r="A16" s="12" t="s">
        <v>105</v>
      </c>
      <c r="B16" s="13" t="str">
        <f>IF($I$6=TRUE(),646.1,"")</f>
        <v/>
      </c>
      <c r="C16" s="13" t="str">
        <f>IF($I$6=TRUE(),646.6,"")</f>
        <v/>
      </c>
      <c r="D16" s="13" t="str">
        <f>IF($I$6=TRUE(),647.8,"")</f>
        <v/>
      </c>
      <c r="E16" s="13" t="str">
        <f>IF($I$6=TRUE(),648.7,"")</f>
        <v/>
      </c>
      <c r="F16" s="13" t="str">
        <f>IF($I$6=TRUE(),724.9,"")</f>
        <v/>
      </c>
      <c r="G16" s="13" t="str">
        <f>IF($I$6=TRUE(),809.5,"")</f>
        <v/>
      </c>
      <c r="H16" s="13" t="str">
        <f>IF($I$6=TRUE(),817.6,"")</f>
        <v/>
      </c>
      <c r="I16" s="13" t="str">
        <f>IF($I$6=TRUE(),823.2,"")</f>
        <v/>
      </c>
      <c r="J16" s="13" t="str">
        <f>IF($I$6=TRUE(),829,"")</f>
        <v/>
      </c>
      <c r="K16" s="13" t="str">
        <f>IF($I$6=TRUE(),829.6,"")</f>
        <v/>
      </c>
      <c r="L16" s="13" t="str">
        <f>IF($I$6=TRUE(),832.8,"")</f>
        <v/>
      </c>
      <c r="M16" s="13" t="str">
        <f>IF($I$6=TRUE(),833.7,"")</f>
        <v/>
      </c>
      <c r="N16" s="13" t="str">
        <f>IF($I$6=TRUE(),841.2,"")</f>
        <v/>
      </c>
      <c r="O16" s="13" t="str">
        <f>IF($I$6=TRUE(),842.2,"")</f>
        <v/>
      </c>
      <c r="P16" s="13" t="str">
        <f>IF($I$6=TRUE(),843.5,"")</f>
        <v/>
      </c>
      <c r="Q16" s="13" t="str">
        <f>IF($I$6=TRUE(),844.3,"")</f>
        <v/>
      </c>
      <c r="R16" s="13" t="str">
        <f>IF($I$6=TRUE(),971.3,"")</f>
        <v/>
      </c>
      <c r="S16" s="13" t="str">
        <f>IF($I$6=TRUE(),971.8,"")</f>
        <v/>
      </c>
      <c r="T16" s="13" t="str">
        <f>IF($I$6=TRUE(),972.1,"")</f>
        <v/>
      </c>
      <c r="U16" s="13" t="str">
        <f>IF($I$6=TRUE(),972.5,"")</f>
        <v/>
      </c>
      <c r="V16" s="13" t="str">
        <f>IF($I$6=TRUE(),1055,"")</f>
        <v/>
      </c>
      <c r="W16" s="13" t="str">
        <f>IF($I$6=TRUE(),1055.8,"")</f>
        <v/>
      </c>
      <c r="X16" s="13" t="str">
        <f>IF($I$6=TRUE(),1048.4,"")</f>
        <v/>
      </c>
      <c r="Y16" s="13" t="str">
        <f>IF($I$6=TRUE(),1056.9,"")</f>
        <v/>
      </c>
      <c r="Z16" s="13" t="str">
        <f>IF($I$6=TRUE(),1212.3,"")</f>
        <v/>
      </c>
      <c r="AA16" s="13" t="str">
        <f>IF($I$6=TRUE(),1212.9,"")</f>
        <v/>
      </c>
      <c r="AB16" s="13" t="str">
        <f>IF($I$6=TRUE(),1214.8,"")</f>
        <v/>
      </c>
      <c r="AC16" s="13" t="str">
        <f>IF($I$6=TRUE(),1215.6,"")</f>
        <v/>
      </c>
      <c r="AD16" s="13" t="str">
        <f>IF($I$6=TRUE(),1453.6,"")</f>
        <v/>
      </c>
      <c r="AE16" s="13" t="str">
        <f>IF($I$6=TRUE(),1805.8,"")</f>
        <v/>
      </c>
      <c r="AF16" s="13" t="str">
        <f>IF($I$6=TRUE(),2151.1,"")</f>
        <v/>
      </c>
      <c r="AG16" s="13" t="str">
        <f>IF($I$6=TRUE(),2381.2,"")</f>
        <v/>
      </c>
      <c r="AH16" s="13" t="str">
        <f>IF($I$6=TRUE(),2385.8,"")</f>
        <v/>
      </c>
      <c r="AI16" s="13" t="str">
        <f>IF($I$6=TRUE(),2389.3,"")</f>
        <v/>
      </c>
      <c r="AJ16" s="13" t="str">
        <f>IF($I$6=TRUE(),3085.6,"")</f>
        <v/>
      </c>
      <c r="AK16" s="13" t="str">
        <f>IF($I$6=TRUE(),3091,"")</f>
        <v/>
      </c>
      <c r="AL16" s="13" t="str">
        <f>IF($I$6=TRUE(),3005.6,"")</f>
        <v/>
      </c>
      <c r="AM16" s="13" t="str">
        <f>IF($I$6=TRUE(),3013.2,"")</f>
        <v/>
      </c>
      <c r="AN16" s="13" t="str">
        <f>IF($I$6=TRUE(),3980.4,"")</f>
        <v/>
      </c>
      <c r="AO16" s="13" t="str">
        <f>IF($I$6=TRUE(),4116.3,"")</f>
        <v/>
      </c>
      <c r="AP16" s="13" t="str">
        <f>IF($I$6=TRUE(),4285.5,"")</f>
        <v/>
      </c>
      <c r="AQ16" s="13" t="str">
        <f>IF($I$6=TRUE(),5390,"")</f>
        <v/>
      </c>
      <c r="AR16" s="13" t="str">
        <f>IF($I$6=TRUE(),5571,"")</f>
        <v/>
      </c>
      <c r="AS16" s="13" t="str">
        <f>IF($I$6=TRUE(),5583.1,"")</f>
        <v/>
      </c>
      <c r="AT16" s="13" t="str">
        <f>IF($I$6=TRUE(),6884.1,"")</f>
        <v/>
      </c>
      <c r="AU16" s="13" t="str">
        <f>IF($I$6=TRUE(),6907,"")</f>
        <v/>
      </c>
      <c r="AV16" s="13" t="str">
        <f>IF($I$6=TRUE(),7168.4,"")</f>
        <v/>
      </c>
      <c r="AW16" s="13" t="str">
        <f>IF($I$6=TRUE(),8121.1,"")</f>
        <v/>
      </c>
      <c r="AX16" s="13" t="str">
        <f>IF($I$6=TRUE(),9253.5,"")</f>
        <v/>
      </c>
      <c r="AY16" s="13" t="str">
        <f>IF($I$6=TRUE(),9285.2,"")</f>
        <v/>
      </c>
      <c r="AZ16" s="13" t="str">
        <f>IF($I$6=TRUE(),10572,"")</f>
        <v/>
      </c>
      <c r="BA16" s="13" t="str">
        <f>IF($I$6=TRUE(),11181.4,"")</f>
        <v/>
      </c>
      <c r="BB16" s="13" t="str">
        <f>IF($I$6=TRUE(),11185.3,"")</f>
        <v/>
      </c>
      <c r="BC16" s="13" t="str">
        <f>IF($I$6=TRUE(),11191.7,"")</f>
        <v/>
      </c>
      <c r="BD16" s="13" t="str">
        <f>IF($I$6=TRUE(),11299,"")</f>
        <v/>
      </c>
      <c r="BE16" s="13" t="str">
        <f>IF($I$6=TRUE(),11321.3,"")</f>
        <v/>
      </c>
      <c r="BF16" s="13" t="str">
        <f>IF($I$6=TRUE(),12306.7,"")</f>
        <v/>
      </c>
      <c r="BG16" s="13" t="str">
        <f>IF($I$6=TRUE(),12321.9,"")</f>
        <v/>
      </c>
      <c r="BH16" s="13" t="str">
        <f>IF($I$6=TRUE(),12492.1,"")</f>
        <v/>
      </c>
      <c r="BI16" s="13" t="str">
        <f>IF($I$6=TRUE(),12545.2,"")</f>
        <v/>
      </c>
      <c r="BJ16" s="13" t="str">
        <f>IF($I$6=TRUE(),14552,"")</f>
        <v/>
      </c>
      <c r="BK16" s="13" t="str">
        <f>IF($I$6=TRUE(),14585.4,"")</f>
        <v/>
      </c>
      <c r="BL16" s="13" t="str">
        <f>IF($I$6=TRUE(),14595.1,"")</f>
        <v/>
      </c>
      <c r="BM16" s="13" t="str">
        <f>IF($I$6=TRUE(),14603.9,"")</f>
        <v/>
      </c>
      <c r="BN16" s="14"/>
      <c r="BO16" s="14"/>
    </row>
    <row r="17" spans="1:67" ht="15" customHeight="1">
      <c r="A17" s="9" t="s">
        <v>106</v>
      </c>
      <c r="B17" s="10" t="str">
        <f>IF($J$6=TRUE(),290,"")</f>
        <v/>
      </c>
      <c r="C17" s="10" t="str">
        <f>IF($J$6=TRUE(),290.6,"")</f>
        <v/>
      </c>
      <c r="D17" s="10" t="str">
        <f>IF($J$6=TRUE(),292.8,"")</f>
        <v/>
      </c>
      <c r="E17" s="10" t="str">
        <f>IF($J$6=TRUE(),294.8,"")</f>
        <v/>
      </c>
      <c r="F17" s="10" t="str">
        <f>IF($J$6=TRUE(),401.9,"")</f>
        <v/>
      </c>
      <c r="G17" s="10" t="str">
        <f>IF($J$6=TRUE(),446.1,"")</f>
        <v/>
      </c>
      <c r="H17" s="10" t="str">
        <f>IF($J$6=TRUE(),550.5,"")</f>
        <v/>
      </c>
      <c r="I17" s="10" t="str">
        <f>IF($J$6=TRUE(),563,"")</f>
        <v/>
      </c>
      <c r="J17" s="10" t="str">
        <f>IF($J$6=TRUE(),570.4,"")</f>
        <v/>
      </c>
      <c r="K17" s="10" t="str">
        <f>IF($J$6=TRUE(),571.2,"")</f>
        <v/>
      </c>
      <c r="L17" s="10" t="str">
        <f>IF($J$6=TRUE(),582,"")</f>
        <v/>
      </c>
      <c r="M17" s="10" t="str">
        <f>IF($J$6=TRUE(),583.3,"")</f>
        <v/>
      </c>
      <c r="N17" s="10" t="str">
        <f>IF($J$6=TRUE(),592.9,"")</f>
        <v/>
      </c>
      <c r="O17" s="10" t="str">
        <f>IF($J$6=TRUE(),594.1,"")</f>
        <v/>
      </c>
      <c r="P17" s="10" t="str">
        <f>IF($J$6=TRUE(),624.9,"")</f>
        <v/>
      </c>
      <c r="Q17" s="10" t="str">
        <f>IF($J$6=TRUE(),625.9,"")</f>
        <v/>
      </c>
      <c r="R17" s="10" t="str">
        <f>IF($J$6=TRUE(),730.4,"")</f>
        <v/>
      </c>
      <c r="S17" s="10" t="str">
        <f>IF($J$6=TRUE(),731.1,"")</f>
        <v/>
      </c>
      <c r="T17" s="10" t="str">
        <f>IF($J$6=TRUE(),730.6,"")</f>
        <v/>
      </c>
      <c r="U17" s="10" t="str">
        <f>IF($J$6=TRUE(),731.2,"")</f>
        <v/>
      </c>
      <c r="V17" s="10" t="str">
        <f>IF($J$6=TRUE(),803.4,"")</f>
        <v/>
      </c>
      <c r="W17" s="10" t="str">
        <f>IF($J$6=TRUE(),804.3,"")</f>
        <v/>
      </c>
      <c r="X17" s="10" t="str">
        <f>IF($J$6=TRUE(),783.4,"")</f>
        <v/>
      </c>
      <c r="Y17" s="10" t="str">
        <f>IF($J$6=TRUE(),805.8,"")</f>
        <v/>
      </c>
      <c r="Z17" s="10" t="str">
        <f>IF($J$6=TRUE(),898.9,"")</f>
        <v/>
      </c>
      <c r="AA17" s="10" t="str">
        <f>IF($J$6=TRUE(),899.6,"")</f>
        <v/>
      </c>
      <c r="AB17" s="10" t="str">
        <f>IF($J$6=TRUE(),1076.6,"")</f>
        <v/>
      </c>
      <c r="AC17" s="10" t="str">
        <f>IF($J$6=TRUE(),1077.6,"")</f>
        <v/>
      </c>
      <c r="AD17" s="10" t="str">
        <f>IF($J$6=TRUE(),1282.2,"")</f>
        <v/>
      </c>
      <c r="AE17" s="10" t="str">
        <f>IF($J$6=TRUE(),1527.5,"")</f>
        <v/>
      </c>
      <c r="AF17" s="10" t="str">
        <f>IF($J$6=TRUE(),1787.9,"")</f>
        <v/>
      </c>
      <c r="AG17" s="10" t="str">
        <f>IF($J$6=TRUE(),1960.2,"")</f>
        <v/>
      </c>
      <c r="AH17" s="10" t="str">
        <f>IF($J$6=TRUE(),2234.3,"")</f>
        <v/>
      </c>
      <c r="AI17" s="10" t="str">
        <f>IF($J$6=TRUE(),2240.2,"")</f>
        <v/>
      </c>
      <c r="AJ17" s="10" t="str">
        <f>IF($J$6=TRUE(),2792.7,"")</f>
        <v/>
      </c>
      <c r="AK17" s="10" t="str">
        <f>IF($J$6=TRUE(),2797.9,"")</f>
        <v/>
      </c>
      <c r="AL17" s="10" t="str">
        <f>IF($J$6=TRUE(),2827.4,"")</f>
        <v/>
      </c>
      <c r="AM17" s="10" t="str">
        <f>IF($J$6=TRUE(),2840.5,"")</f>
        <v/>
      </c>
      <c r="AN17" s="10" t="str">
        <f>IF($J$6=TRUE(),3599.4,"")</f>
        <v/>
      </c>
      <c r="AO17" s="10" t="str">
        <f>IF($J$6=TRUE(),3642.1,"")</f>
        <v/>
      </c>
      <c r="AP17" s="10" t="str">
        <f>IF($J$6=TRUE(),4364.9,"")</f>
        <v/>
      </c>
      <c r="AQ17" s="10" t="str">
        <f>IF($J$6=TRUE(),4397.3,"")</f>
        <v/>
      </c>
      <c r="AR17" s="10" t="str">
        <f>IF($J$6=TRUE(),4774,"")</f>
        <v/>
      </c>
      <c r="AS17" s="10" t="str">
        <f>IF($J$6=TRUE(),4788.5,"")</f>
        <v/>
      </c>
      <c r="AT17" s="10" t="str">
        <f>IF($J$6=TRUE(),6351.4,"")</f>
        <v/>
      </c>
      <c r="AU17" s="10" t="str">
        <f>IF($J$6=TRUE(),6386.5,"")</f>
        <v/>
      </c>
      <c r="AV17" s="10" t="str">
        <f>IF($J$6=TRUE(),6529.4,"")</f>
        <v/>
      </c>
      <c r="AW17" s="10" t="str">
        <f>IF($J$6=TRUE(),7097.6,"")</f>
        <v/>
      </c>
      <c r="AX17" s="10" t="str">
        <f>IF($J$6=TRUE(),8249.7,"")</f>
        <v/>
      </c>
      <c r="AY17" s="10" t="str">
        <f>IF($J$6=TRUE(),8275.1,"")</f>
        <v/>
      </c>
      <c r="AZ17" s="10" t="str">
        <f>IF($J$6=TRUE(),9301.7,"")</f>
        <v/>
      </c>
      <c r="BA17" s="10" t="str">
        <f>IF($J$6=TRUE(),9370.1,"")</f>
        <v/>
      </c>
      <c r="BB17" s="10" t="str">
        <f>IF($J$6=TRUE(),9379.1,"")</f>
        <v/>
      </c>
      <c r="BC17" s="10" t="str">
        <f>IF($J$6=TRUE(),9389.9,"")</f>
        <v/>
      </c>
      <c r="BD17" s="10" t="str">
        <f>IF($J$6=TRUE(),9528.3,"")</f>
        <v/>
      </c>
      <c r="BE17" s="10" t="str">
        <f>IF($J$6=TRUE(),9557.7,"")</f>
        <v/>
      </c>
      <c r="BF17" s="10" t="str">
        <f>IF($J$6=TRUE(),10749.8,"")</f>
        <v/>
      </c>
      <c r="BG17" s="10" t="str">
        <f>IF($J$6=TRUE(),10768.6,"")</f>
        <v/>
      </c>
      <c r="BH17" s="10" t="str">
        <f>IF($J$6=TRUE(),11017,"")</f>
        <v/>
      </c>
      <c r="BI17" s="10" t="str">
        <f>IF($J$6=TRUE(),11109.8,"")</f>
        <v/>
      </c>
      <c r="BJ17" s="10" t="str">
        <f>IF($J$6=TRUE(),12341.1,"")</f>
        <v/>
      </c>
      <c r="BK17" s="10" t="str">
        <f>IF($J$6=TRUE(),12386.8,"")</f>
        <v/>
      </c>
      <c r="BL17" s="10" t="str">
        <f>IF($J$6=TRUE(),12402.6,"")</f>
        <v/>
      </c>
      <c r="BM17" s="10" t="str">
        <f>IF($J$6=TRUE(),12416.1,"")</f>
        <v/>
      </c>
      <c r="BN17" s="11"/>
      <c r="BO17" s="11"/>
    </row>
    <row r="18" spans="1:67" ht="15" customHeight="1">
      <c r="A18" s="12" t="s">
        <v>353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 spans="1:67" ht="15" customHeight="1">
      <c r="A19" s="9" t="s">
        <v>107</v>
      </c>
      <c r="B19" s="10" t="str">
        <f>IF($L$6=TRUE(),274.1,"")</f>
        <v/>
      </c>
      <c r="C19" s="10" t="str">
        <f>IF($L$6=TRUE(),274.6,"")</f>
        <v/>
      </c>
      <c r="D19" s="10" t="str">
        <f>IF($L$6=TRUE(),349.6,"")</f>
        <v/>
      </c>
      <c r="E19" s="10" t="str">
        <f>IF($L$6=TRUE(),351,"")</f>
        <v/>
      </c>
      <c r="F19" s="10" t="str">
        <f>IF($L$6=TRUE(),381.9,"")</f>
        <v/>
      </c>
      <c r="G19" s="10" t="str">
        <f>IF($L$6=TRUE(),414.5,"")</f>
        <v/>
      </c>
      <c r="H19" s="10" t="str">
        <f>IF($L$6=TRUE(),649.7,"")</f>
        <v/>
      </c>
      <c r="I19" s="10" t="str">
        <f>IF($L$6=TRUE(),657.9,"")</f>
        <v/>
      </c>
      <c r="J19" s="10" t="str">
        <f>IF($L$6=TRUE(),662.7,"")</f>
        <v/>
      </c>
      <c r="K19" s="10" t="str">
        <f>IF($L$6=TRUE(),663.3,"")</f>
        <v/>
      </c>
      <c r="L19" s="10" t="str">
        <f>IF($L$6=TRUE(),729.5,"")</f>
        <v/>
      </c>
      <c r="M19" s="10" t="str">
        <f>IF($L$6=TRUE(),730.3,"")</f>
        <v/>
      </c>
      <c r="N19" s="10" t="str">
        <f>IF($L$6=TRUE(),736,"")</f>
        <v/>
      </c>
      <c r="O19" s="10" t="str">
        <f>IF($L$6=TRUE(),736.8,"")</f>
        <v/>
      </c>
      <c r="P19" s="10" t="str">
        <f>IF($L$6=TRUE(),738.3,"")</f>
        <v/>
      </c>
      <c r="Q19" s="10" t="str">
        <f>IF($L$6=TRUE(),738.8,"")</f>
        <v/>
      </c>
      <c r="R19" s="10" t="str">
        <f>IF($L$6=TRUE(),836.4,"")</f>
        <v/>
      </c>
      <c r="S19" s="10" t="str">
        <f>IF($L$6=TRUE(),836.8,"")</f>
        <v/>
      </c>
      <c r="T19" s="10" t="str">
        <f>IF($L$6=TRUE(),836.8,"")</f>
        <v/>
      </c>
      <c r="U19" s="10" t="str">
        <f>IF($L$6=TRUE(),837.1,"")</f>
        <v/>
      </c>
      <c r="V19" s="10" t="str">
        <f>IF($L$6=TRUE(),832,"")</f>
        <v/>
      </c>
      <c r="W19" s="10" t="str">
        <f>IF($L$6=TRUE(),832.6,"")</f>
        <v/>
      </c>
      <c r="X19" s="10" t="str">
        <f>IF($L$6=TRUE(),851.8,"")</f>
        <v/>
      </c>
      <c r="Y19" s="10" t="str">
        <f>IF($L$6=TRUE(),864.6,"")</f>
        <v/>
      </c>
      <c r="Z19" s="10" t="str">
        <f>IF($L$6=TRUE(),896,"")</f>
        <v/>
      </c>
      <c r="AA19" s="10" t="str">
        <f>IF($L$6=TRUE(),896.4,"")</f>
        <v/>
      </c>
      <c r="AB19" s="10" t="str">
        <f>IF($L$6=TRUE(),981.6,"")</f>
        <v/>
      </c>
      <c r="AC19" s="10" t="str">
        <f>IF($L$6=TRUE(),982.3,"")</f>
        <v/>
      </c>
      <c r="AD19" s="10" t="str">
        <f>IF($L$6=TRUE(),1085.7,"")</f>
        <v/>
      </c>
      <c r="AE19" s="10" t="str">
        <f>IF($L$6=TRUE(),1361.3,"")</f>
        <v/>
      </c>
      <c r="AF19" s="10" t="str">
        <f>IF($L$6=TRUE(),1585.1,"")</f>
        <v/>
      </c>
      <c r="AG19" s="10" t="str">
        <f>IF($L$6=TRUE(),1735.1,"")</f>
        <v/>
      </c>
      <c r="AH19" s="10" t="str">
        <f>IF($L$6=TRUE(),1880.9,"")</f>
        <v/>
      </c>
      <c r="AI19" s="10" t="str">
        <f>IF($L$6=TRUE(),1884.7,"")</f>
        <v/>
      </c>
      <c r="AJ19" s="10" t="str">
        <f>IF($L$6=TRUE(),2340.3,"")</f>
        <v/>
      </c>
      <c r="AK19" s="10" t="str">
        <f>IF($L$6=TRUE(),2344.5,"")</f>
        <v/>
      </c>
      <c r="AL19" s="10" t="str">
        <f>IF($L$6=TRUE(),2436.5,"")</f>
        <v/>
      </c>
      <c r="AM19" s="10" t="str">
        <f>IF($L$6=TRUE(),2445.3,"")</f>
        <v/>
      </c>
      <c r="AN19" s="10" t="str">
        <f>IF($L$6=TRUE(),2996,"")</f>
        <v/>
      </c>
      <c r="AO19" s="10" t="str">
        <f>IF($L$6=TRUE(),3139.1,"")</f>
        <v/>
      </c>
      <c r="AP19" s="10" t="str">
        <f>IF($L$6=TRUE(),3655.5,"")</f>
        <v/>
      </c>
      <c r="AQ19" s="10" t="str">
        <f>IF($L$6=TRUE(),3679.2,"")</f>
        <v/>
      </c>
      <c r="AR19" s="10" t="str">
        <f>IF($L$6=TRUE(),4455.3,"")</f>
        <v/>
      </c>
      <c r="AS19" s="10" t="str">
        <f>IF($L$6=TRUE(),4555.3,"")</f>
        <v/>
      </c>
      <c r="AT19" s="10" t="str">
        <f>IF($L$6=TRUE(),5137.9,"")</f>
        <v/>
      </c>
      <c r="AU19" s="10" t="str">
        <f>IF($L$6=TRUE(),5247.5,"")</f>
        <v/>
      </c>
      <c r="AV19" s="10" t="str">
        <f>IF($L$6=TRUE(),5360.5,"")</f>
        <v/>
      </c>
      <c r="AW19" s="10" t="str">
        <f>IF($L$6=TRUE(),5955.2,"")</f>
        <v/>
      </c>
      <c r="AX19" s="10" t="str">
        <f>IF($L$6=TRUE(),6929.1,"")</f>
        <v/>
      </c>
      <c r="AY19" s="10" t="str">
        <f>IF($L$6=TRUE(),6953.5,"")</f>
        <v/>
      </c>
      <c r="AZ19" s="10" t="str">
        <f>IF($L$6=TRUE(),7761,"")</f>
        <v/>
      </c>
      <c r="BA19" s="10" t="str">
        <f>IF($L$6=TRUE(),7896.9,"")</f>
        <v/>
      </c>
      <c r="BB19" s="10" t="str">
        <f>IF($L$6=TRUE(),7900.6,"")</f>
        <v/>
      </c>
      <c r="BC19" s="10" t="str">
        <f>IF($L$6=TRUE(),7905.3,"")</f>
        <v/>
      </c>
      <c r="BD19" s="10" t="str">
        <f>IF($L$6=TRUE(),7993.4,"")</f>
        <v/>
      </c>
      <c r="BE19" s="10" t="str">
        <f>IF($L$6=TRUE(),8013.4,"")</f>
        <v/>
      </c>
      <c r="BF19" s="10" t="str">
        <f>IF($L$6=TRUE(),9028.4,"")</f>
        <v/>
      </c>
      <c r="BG19" s="10" t="str">
        <f>IF($L$6=TRUE(),9041.7,"")</f>
        <v/>
      </c>
      <c r="BH19" s="10" t="str">
        <f>IF($L$6=TRUE(),10218.7,"")</f>
        <v/>
      </c>
      <c r="BI19" s="10" t="str">
        <f>IF($L$6=TRUE(),10271.9,"")</f>
        <v/>
      </c>
      <c r="BJ19" s="10" t="str">
        <f>IF($L$6=TRUE(),11096.4,"")</f>
        <v/>
      </c>
      <c r="BK19" s="10" t="str">
        <f>IF($L$6=TRUE(),11633.7,"")</f>
        <v/>
      </c>
      <c r="BL19" s="10" t="str">
        <f>IF($L$6=TRUE(),12366.6,"")</f>
        <v/>
      </c>
      <c r="BM19" s="10" t="str">
        <f>IF($L$6=TRUE(),13164.3,"")</f>
        <v/>
      </c>
      <c r="BN19" s="11"/>
      <c r="BO19" s="11"/>
    </row>
    <row r="20" spans="1:67" ht="15" customHeight="1">
      <c r="A20" s="12" t="s">
        <v>108</v>
      </c>
      <c r="B20" s="13" t="str">
        <f>IF($M$6=TRUE(),299.9,"")</f>
        <v/>
      </c>
      <c r="C20" s="13" t="str">
        <f>IF($M$6=TRUE(),300.9,"")</f>
        <v/>
      </c>
      <c r="D20" s="13" t="str">
        <f>IF($M$6=TRUE(),329.7,"")</f>
        <v/>
      </c>
      <c r="E20" s="13" t="str">
        <f>IF($M$6=TRUE(),381.3,"")</f>
        <v/>
      </c>
      <c r="F20" s="13" t="str">
        <f>IF($M$6=TRUE(),426.4,"")</f>
        <v/>
      </c>
      <c r="G20" s="13" t="str">
        <f>IF($M$6=TRUE(),446.7,"")</f>
        <v/>
      </c>
      <c r="H20" s="13" t="str">
        <f>IF($M$6=TRUE(),453.7,"")</f>
        <v/>
      </c>
      <c r="I20" s="13" t="str">
        <f>IF($M$6=TRUE(),474.5,"")</f>
        <v/>
      </c>
      <c r="J20" s="13" t="str">
        <f>IF($M$6=TRUE(),548,"")</f>
        <v/>
      </c>
      <c r="K20" s="13" t="str">
        <f>IF($M$6=TRUE(),571.1,"")</f>
        <v/>
      </c>
      <c r="L20" s="13" t="str">
        <f>IF($M$6=TRUE(),556.6,"")</f>
        <v/>
      </c>
      <c r="M20" s="13" t="str">
        <f>IF($M$6=TRUE(),557.8,"")</f>
        <v/>
      </c>
      <c r="N20" s="13" t="str">
        <f>IF($M$6=TRUE(),581.6,"")</f>
        <v/>
      </c>
      <c r="O20" s="13" t="str">
        <f>IF($M$6=TRUE(),601.9,"")</f>
        <v/>
      </c>
      <c r="P20" s="13" t="str">
        <f>IF($M$6=TRUE(),629.3,"")</f>
        <v/>
      </c>
      <c r="Q20" s="13" t="str">
        <f>IF($M$6=TRUE(),638.4,"")</f>
        <v/>
      </c>
      <c r="R20" s="13" t="str">
        <f>IF($M$6=TRUE(),653.9,"")</f>
        <v/>
      </c>
      <c r="S20" s="13" t="str">
        <f>IF($M$6=TRUE(),654.4,"")</f>
        <v/>
      </c>
      <c r="T20" s="13" t="str">
        <f>IF($M$6=TRUE(),657.1,"")</f>
        <v/>
      </c>
      <c r="U20" s="13" t="str">
        <f>IF($M$6=TRUE(),692.8,"")</f>
        <v/>
      </c>
      <c r="V20" s="13" t="str">
        <f>IF($M$6=TRUE(),722.1,"")</f>
        <v/>
      </c>
      <c r="W20" s="13" t="str">
        <f>IF($M$6=TRUE(),722.8,"")</f>
        <v/>
      </c>
      <c r="X20" s="13" t="str">
        <f>IF($M$6=TRUE(),785.5,"")</f>
        <v/>
      </c>
      <c r="Y20" s="13" t="str">
        <f>IF($M$6=TRUE(),804.9,"")</f>
        <v/>
      </c>
      <c r="Z20" s="13" t="str">
        <f>IF($M$6=TRUE(),849.1,"")</f>
        <v/>
      </c>
      <c r="AA20" s="13" t="str">
        <f>IF($M$6=TRUE(),861,"")</f>
        <v/>
      </c>
      <c r="AB20" s="13" t="str">
        <f>IF($M$6=TRUE(),867.7,"")</f>
        <v/>
      </c>
      <c r="AC20" s="13" t="str">
        <f>IF($M$6=TRUE(),878.2,"")</f>
        <v/>
      </c>
      <c r="AD20" s="13" t="str">
        <f>IF($M$6=TRUE(),1031.5,"")</f>
        <v/>
      </c>
      <c r="AE20" s="13" t="str">
        <f>IF($M$6=TRUE(),1312.1,"")</f>
        <v/>
      </c>
      <c r="AF20" s="13" t="str">
        <f>IF($M$6=TRUE(),1406.8,"")</f>
        <v/>
      </c>
      <c r="AG20" s="13" t="str">
        <f>IF($M$6=TRUE(),1487.5,"")</f>
        <v/>
      </c>
      <c r="AH20" s="13" t="str">
        <f>IF($M$6=TRUE(),1495.6,"")</f>
        <v/>
      </c>
      <c r="AI20" s="13" t="str">
        <f>IF($M$6=TRUE(),1574.5,"")</f>
        <v/>
      </c>
      <c r="AJ20" s="13" t="str">
        <f>IF($M$6=TRUE(),1728.6,"")</f>
        <v/>
      </c>
      <c r="AK20" s="13" t="str">
        <f>IF($M$6=TRUE(),1752.5,"")</f>
        <v/>
      </c>
      <c r="AL20" s="13" t="str">
        <f>IF($M$6=TRUE(),1851.5,"")</f>
        <v/>
      </c>
      <c r="AM20" s="13" t="str">
        <f>IF($M$6=TRUE(),1857.7,"")</f>
        <v/>
      </c>
      <c r="AN20" s="13" t="str">
        <f>IF($M$6=TRUE(),2346,"")</f>
        <v/>
      </c>
      <c r="AO20" s="13" t="str">
        <f>IF($M$6=TRUE(),2550.7,"")</f>
        <v/>
      </c>
      <c r="AP20" s="13" t="str">
        <f>IF($M$6=TRUE(),2746.2,"")</f>
        <v/>
      </c>
      <c r="AQ20" s="13" t="str">
        <f>IF($M$6=TRUE(),3034,"")</f>
        <v/>
      </c>
      <c r="AR20" s="13" t="str">
        <f>IF($M$6=TRUE(),3349.1,"")</f>
        <v/>
      </c>
      <c r="AS20" s="13" t="str">
        <f>IF($M$6=TRUE(),3427.2,"")</f>
        <v/>
      </c>
      <c r="AT20" s="13" t="str">
        <f>IF($M$6=TRUE(),4236.3,"")</f>
        <v/>
      </c>
      <c r="AU20" s="13" t="str">
        <f>IF($M$6=TRUE(),4287.8,"")</f>
        <v/>
      </c>
      <c r="AV20" s="13" t="str">
        <f>IF($M$6=TRUE(),4503.1,"")</f>
        <v/>
      </c>
      <c r="AW20" s="13" t="str">
        <f>IF($M$6=TRUE(),4736.9,"")</f>
        <v/>
      </c>
      <c r="AX20" s="13" t="str">
        <f>IF($M$6=TRUE(),5452.6,"")</f>
        <v/>
      </c>
      <c r="AY20" s="13" t="str">
        <f>IF($M$6=TRUE(),6953.5,"")</f>
        <v/>
      </c>
      <c r="AZ20" s="13" t="str">
        <f>IF($M$6=TRUE(),6098.3,"")</f>
        <v/>
      </c>
      <c r="BA20" s="13" t="str">
        <f>IF($M$6=TRUE(),6763.7,"")</f>
        <v/>
      </c>
      <c r="BB20" s="13" t="str">
        <f>IF($M$6=TRUE(),6965.2,"")</f>
        <v/>
      </c>
      <c r="BC20" s="13" t="str">
        <f>IF($M$6=TRUE(),7397.2,"")</f>
        <v/>
      </c>
      <c r="BD20" s="13" t="str">
        <f>IF($M$6=TRUE(),8301.7,"")</f>
        <v/>
      </c>
      <c r="BE20" s="13" t="str">
        <f>IF($M$6=TRUE(),8331.6,"")</f>
        <v/>
      </c>
      <c r="BF20" s="13" t="str">
        <f>IF($M$6=TRUE(),8923,"")</f>
        <v/>
      </c>
      <c r="BG20" s="13" t="str">
        <f>IF($M$6=TRUE(),9106.1,"")</f>
        <v/>
      </c>
      <c r="BH20" s="13" t="str">
        <f>IF($M$6=TRUE(),10228,"")</f>
        <v/>
      </c>
      <c r="BI20" s="13" t="str">
        <f>IF($M$6=TRUE(),10270.8,"")</f>
        <v/>
      </c>
      <c r="BJ20" s="13" t="str">
        <f>IF($M$6=TRUE(),11976.7,"")</f>
        <v/>
      </c>
      <c r="BK20" s="13" t="str">
        <f>IF($M$6=TRUE(),12857.8,"")</f>
        <v/>
      </c>
      <c r="BL20" s="13" t="str">
        <f>IF($M$6=TRUE(),13072.3,"")</f>
        <v/>
      </c>
      <c r="BM20" s="13" t="str">
        <f>IF($M$6=TRUE(),13455.5,"")</f>
        <v/>
      </c>
      <c r="BN20" s="14"/>
      <c r="BO20" s="14"/>
    </row>
    <row r="21" spans="1:67" ht="15" customHeight="1">
      <c r="A21" s="9" t="s">
        <v>109</v>
      </c>
      <c r="B21" s="10" t="str">
        <f>IF($N$6=TRUE(),419.6,"")</f>
        <v/>
      </c>
      <c r="C21" s="10" t="str">
        <f>IF($N$6=TRUE(),420.7,"")</f>
        <v/>
      </c>
      <c r="D21" s="10" t="str">
        <f>IF($N$6=TRUE(),494.4,"")</f>
        <v/>
      </c>
      <c r="E21" s="10" t="str">
        <f>IF($N$6=TRUE(),495.6,"")</f>
        <v/>
      </c>
      <c r="F21" s="10" t="str">
        <f>IF($N$6=TRUE(),575.5,"")</f>
        <v/>
      </c>
      <c r="G21" s="10" t="str">
        <f>IF($N$6=TRUE(),610.3,"")</f>
        <v/>
      </c>
      <c r="H21" s="10" t="str">
        <f>IF($N$6=TRUE(),706.4,"")</f>
        <v/>
      </c>
      <c r="I21" s="10" t="str">
        <f>IF($N$6=TRUE(),715.5,"")</f>
        <v/>
      </c>
      <c r="J21" s="10" t="str">
        <f>IF($N$6=TRUE(),812.4,"")</f>
        <v/>
      </c>
      <c r="K21" s="10" t="str">
        <f>IF($N$6=TRUE(),822.3,"")</f>
        <v/>
      </c>
      <c r="L21" s="10" t="str">
        <f>IF($N$6=TRUE(),815.3,"")</f>
        <v/>
      </c>
      <c r="M21" s="10" t="str">
        <f>IF($N$6=TRUE(),816.7,"")</f>
        <v/>
      </c>
      <c r="N21" s="10" t="str">
        <f>IF($N$6=TRUE(),900.4,"")</f>
        <v/>
      </c>
      <c r="O21" s="10" t="str">
        <f>IF($N$6=TRUE(),901.7,"")</f>
        <v/>
      </c>
      <c r="P21" s="10" t="str">
        <f>IF($N$6=TRUE(),902.5,"")</f>
        <v/>
      </c>
      <c r="Q21" s="10" t="str">
        <f>IF($N$6=TRUE(),903.5,"")</f>
        <v/>
      </c>
      <c r="R21" s="10" t="str">
        <f>IF($N$6=TRUE(),1027.8,"")</f>
        <v/>
      </c>
      <c r="S21" s="10" t="str">
        <f>IF($N$6=TRUE(),1028.4,"")</f>
        <v/>
      </c>
      <c r="T21" s="10" t="str">
        <f>IF($N$6=TRUE(),1028.8,"")</f>
        <v/>
      </c>
      <c r="U21" s="10" t="str">
        <f>IF($N$6=TRUE(),1029.2,"")</f>
        <v/>
      </c>
      <c r="V21" s="10" t="str">
        <f>IF($N$6=TRUE(),1034.8,"")</f>
        <v/>
      </c>
      <c r="W21" s="10" t="str">
        <f>IF($N$6=TRUE(),1035.6,"")</f>
        <v/>
      </c>
      <c r="X21" s="10" t="str">
        <f>IF($N$6=TRUE(),1036.4,"")</f>
        <v/>
      </c>
      <c r="Y21" s="10" t="str">
        <f>IF($N$6=TRUE(),1110.3,"")</f>
        <v/>
      </c>
      <c r="Z21" s="10" t="str">
        <f>IF($N$6=TRUE(),1189.5,"")</f>
        <v/>
      </c>
      <c r="AA21" s="10" t="str">
        <f>IF($N$6=TRUE(),1190,"")</f>
        <v/>
      </c>
      <c r="AB21" s="10" t="str">
        <f>IF($N$6=TRUE(),1255.3,"")</f>
        <v/>
      </c>
      <c r="AC21" s="10" t="str">
        <f>IF($N$6=TRUE(),1256.2,"")</f>
        <v/>
      </c>
      <c r="AD21" s="10" t="str">
        <f>IF($N$6=TRUE(),1732.9,"")</f>
        <v/>
      </c>
      <c r="AE21" s="10" t="str">
        <f>IF($N$6=TRUE(),2223.5,"")</f>
        <v/>
      </c>
      <c r="AF21" s="10" t="str">
        <f>IF($N$6=TRUE(),2463.3,"")</f>
        <v/>
      </c>
      <c r="AG21" s="10" t="str">
        <f>IF($N$6=TRUE(),2582,"")</f>
        <v/>
      </c>
      <c r="AH21" s="10" t="str">
        <f>IF($N$6=TRUE(),2583.9,"")</f>
        <v/>
      </c>
      <c r="AI21" s="10" t="str">
        <f>IF($N$6=TRUE(),2588.7,"")</f>
        <v/>
      </c>
      <c r="AJ21" s="10" t="str">
        <f>IF($N$6=TRUE(),3104.8,"")</f>
        <v/>
      </c>
      <c r="AK21" s="10" t="str">
        <f>IF($N$6=TRUE(),3113.1,"")</f>
        <v/>
      </c>
      <c r="AL21" s="10" t="str">
        <f>IF($N$6=TRUE(),3285.4,"")</f>
        <v/>
      </c>
      <c r="AM21" s="10" t="str">
        <f>IF($N$6=TRUE(),3291.8,"")</f>
        <v/>
      </c>
      <c r="AN21" s="10" t="str">
        <f>IF($N$6=TRUE(),4357.6,"")</f>
        <v/>
      </c>
      <c r="AO21" s="10" t="str">
        <f>IF($N$6=TRUE(),4926.3,"")</f>
        <v/>
      </c>
      <c r="AP21" s="10" t="str">
        <f>IF($N$6=TRUE(),5282.5,"")</f>
        <v/>
      </c>
      <c r="AQ21" s="10" t="str">
        <f>IF($N$6=TRUE(),5931.7,"")</f>
        <v/>
      </c>
      <c r="AR21" s="10" t="str">
        <f>IF($N$6=TRUE(),6364.7,"")</f>
        <v/>
      </c>
      <c r="AS21" s="10" t="str">
        <f>IF($N$6=TRUE(),6379.5,"")</f>
        <v/>
      </c>
      <c r="AT21" s="10" t="str">
        <f>IF($N$6=TRUE(),8041.8,"")</f>
        <v/>
      </c>
      <c r="AU21" s="10" t="str">
        <f>IF($N$6=TRUE(),8075.5,"")</f>
        <v/>
      </c>
      <c r="AV21" s="10" t="str">
        <f>IF($N$6=TRUE(),8111.6,"")</f>
        <v/>
      </c>
      <c r="AW21" s="10" t="str">
        <f>IF($N$6=TRUE(),8120.3,"")</f>
        <v/>
      </c>
      <c r="AX21" s="10" t="str">
        <f>IF($N$6=TRUE(),9995.7,"")</f>
        <v/>
      </c>
      <c r="AY21" s="10" t="str">
        <f>IF($N$6=TRUE(),10405.6,"")</f>
        <v/>
      </c>
      <c r="AZ21" s="10" t="str">
        <f>IF($N$6=TRUE(),10442.6,"")</f>
        <v/>
      </c>
      <c r="BA21" s="10" t="str">
        <f>IF($N$6=TRUE(),11917.8,"")</f>
        <v/>
      </c>
      <c r="BB21" s="10" t="str">
        <f>IF($N$6=TRUE(),12406.1,"")</f>
        <v/>
      </c>
      <c r="BC21" s="10" t="str">
        <f>IF($N$6=TRUE(),13431.2,"")</f>
        <v/>
      </c>
      <c r="BD21" s="10" t="str">
        <f>IF($N$6=TRUE(),14974.9,"")</f>
        <v/>
      </c>
      <c r="BE21" s="10" t="str">
        <f>IF($N$6=TRUE(),15004,"")</f>
        <v/>
      </c>
      <c r="BF21" s="10" t="str">
        <f>IF($N$6=TRUE(),16462.8,"")</f>
        <v/>
      </c>
      <c r="BG21" s="10" t="str">
        <f>IF($N$6=TRUE(),16485.9,"")</f>
        <v/>
      </c>
      <c r="BH21" s="10" t="str">
        <f>IF($N$6=TRUE(),18233.2,"")</f>
        <v/>
      </c>
      <c r="BI21" s="10" t="str">
        <f>IF($N$6=TRUE(),18278.7,"")</f>
        <v/>
      </c>
      <c r="BJ21" s="10" t="str">
        <f>IF($N$6=TRUE(),18282.7,"")</f>
        <v/>
      </c>
      <c r="BK21" s="10" t="str">
        <f>IF($N$6=TRUE(),21436.4,"")</f>
        <v/>
      </c>
      <c r="BL21" s="10" t="str">
        <f>IF($N$6=TRUE(),21449.8,"")</f>
        <v/>
      </c>
      <c r="BM21" s="10" t="str">
        <f>IF($N$6=TRUE(),21500.5,"")</f>
        <v/>
      </c>
      <c r="BN21" s="11"/>
      <c r="BO21" s="11"/>
    </row>
    <row r="22" spans="1:67" ht="15" customHeight="1">
      <c r="A22" s="12" t="s">
        <v>110</v>
      </c>
      <c r="B22" s="13" t="str">
        <f>IF($O$6=TRUE(),168.8,"")</f>
        <v/>
      </c>
      <c r="C22" s="13" t="str">
        <f>IF($O$6=TRUE(),169.4,"")</f>
        <v/>
      </c>
      <c r="D22" s="13" t="str">
        <f>IF($O$6=TRUE(),200,"")</f>
        <v/>
      </c>
      <c r="E22" s="13" t="str">
        <f>IF($O$6=TRUE(),200.4,"")</f>
        <v/>
      </c>
      <c r="F22" s="13" t="str">
        <f>IF($O$6=TRUE(),265.5,"")</f>
        <v/>
      </c>
      <c r="G22" s="13" t="str">
        <f>IF($O$6=TRUE(),266.3,"")</f>
        <v/>
      </c>
      <c r="H22" s="13" t="str">
        <f>IF($O$6=TRUE(),286.6,"")</f>
        <v/>
      </c>
      <c r="I22" s="13" t="str">
        <f>IF($O$6=TRUE(),287.1,"")</f>
        <v/>
      </c>
      <c r="J22" s="13" t="str">
        <f>IF($O$6=TRUE(),313.7,"")</f>
        <v/>
      </c>
      <c r="K22" s="13" t="str">
        <f>IF($O$6=TRUE(),314.2,"")</f>
        <v/>
      </c>
      <c r="L22" s="13" t="str">
        <f>IF($O$6=TRUE(),336.2,"")</f>
        <v/>
      </c>
      <c r="M22" s="13" t="str">
        <f>IF($O$6=TRUE(),336.8,"")</f>
        <v/>
      </c>
      <c r="N22" s="13" t="str">
        <f>IF($O$6=TRUE(),340.4,"")</f>
        <v/>
      </c>
      <c r="O22" s="13" t="str">
        <f>IF($O$6=TRUE(),340.9,"")</f>
        <v/>
      </c>
      <c r="P22" s="13" t="str">
        <f>IF($O$6=TRUE(),373.2,"")</f>
        <v/>
      </c>
      <c r="Q22" s="13" t="str">
        <f>IF($O$6=TRUE(),373.6,"")</f>
        <v/>
      </c>
      <c r="R22" s="13" t="str">
        <f>IF($O$6=TRUE(),376.4,"")</f>
        <v/>
      </c>
      <c r="S22" s="13" t="str">
        <f>IF($O$6=TRUE(),376.7,"")</f>
        <v/>
      </c>
      <c r="T22" s="13" t="str">
        <f>IF($O$6=TRUE(),376.9,"")</f>
        <v/>
      </c>
      <c r="U22" s="13" t="str">
        <f>IF($O$6=TRUE(),377.1,"")</f>
        <v/>
      </c>
      <c r="V22" s="13" t="str">
        <f>IF($O$6=TRUE(),379.7,"")</f>
        <v/>
      </c>
      <c r="W22" s="13" t="str">
        <f>IF($O$6=TRUE(),380,"")</f>
        <v/>
      </c>
      <c r="X22" s="13" t="str">
        <f>IF($O$6=TRUE(),397.2,"")</f>
        <v/>
      </c>
      <c r="Y22" s="13" t="str">
        <f>IF($O$6=TRUE(),397.5,"")</f>
        <v/>
      </c>
      <c r="Z22" s="13" t="str">
        <f>IF($O$6=TRUE(),400.5,"")</f>
        <v/>
      </c>
      <c r="AA22" s="13" t="str">
        <f>IF($O$6=TRUE(),400.8,"")</f>
        <v/>
      </c>
      <c r="AB22" s="13" t="str">
        <f>IF($O$6=TRUE(),401.4,"")</f>
        <v/>
      </c>
      <c r="AC22" s="13" t="str">
        <f>IF($O$6=TRUE(),401.7,"")</f>
        <v/>
      </c>
      <c r="AD22" s="13" t="str">
        <f>IF($O$6=TRUE(),443.7,"")</f>
        <v/>
      </c>
      <c r="AE22" s="13" t="str">
        <f>IF($O$6=TRUE(),482.3,"")</f>
        <v/>
      </c>
      <c r="AF22" s="13" t="str">
        <f>IF($O$6=TRUE(),519.2,"")</f>
        <v/>
      </c>
      <c r="AG22" s="13" t="str">
        <f>IF($O$6=TRUE(),555.9,"")</f>
        <v/>
      </c>
      <c r="AH22" s="13" t="str">
        <f>IF($O$6=TRUE(),629,"")</f>
        <v/>
      </c>
      <c r="AI22" s="13" t="str">
        <f>IF($O$6=TRUE(),666.8,"")</f>
        <v/>
      </c>
      <c r="AJ22" s="13" t="str">
        <f>IF($O$6=TRUE(),738.8,"")</f>
        <v/>
      </c>
      <c r="AK22" s="13" t="str">
        <f>IF($O$6=TRUE(),772.6,"")</f>
        <v/>
      </c>
      <c r="AL22" s="13" t="str">
        <f>IF($O$6=TRUE(),774.3,"")</f>
        <v/>
      </c>
      <c r="AM22" s="13" t="str">
        <f>IF($O$6=TRUE(),837.6,"")</f>
        <v/>
      </c>
      <c r="AN22" s="13" t="str">
        <f>IF($O$6=TRUE(),1077.4,"")</f>
        <v/>
      </c>
      <c r="AO22" s="13" t="str">
        <f>IF($O$6=TRUE(),1147.8,"")</f>
        <v/>
      </c>
      <c r="AP22" s="13" t="str">
        <f>IF($O$6=TRUE(),1240.1,"")</f>
        <v/>
      </c>
      <c r="AQ22" s="13" t="str">
        <f>IF($O$6=TRUE(),1315.1,"")</f>
        <v/>
      </c>
      <c r="AR22" s="13" t="str">
        <f>IF($O$6=TRUE(),1522.1,"")</f>
        <v/>
      </c>
      <c r="AS22" s="13" t="str">
        <f>IF($O$6=TRUE(),1527.6,"")</f>
        <v/>
      </c>
      <c r="AT22" s="13" t="str">
        <f>IF($O$6=TRUE(),1589.9,"")</f>
        <v/>
      </c>
      <c r="AU22" s="13" t="str">
        <f>IF($O$6=TRUE(),1598.7,"")</f>
        <v/>
      </c>
      <c r="AV22" s="13" t="str">
        <f>IF($O$6=TRUE(),1586,"")</f>
        <v/>
      </c>
      <c r="AW22" s="13" t="str">
        <f>IF($O$6=TRUE(),1743.1,"")</f>
        <v/>
      </c>
      <c r="AX22" s="13" t="str">
        <f>IF($O$6=TRUE(),1989.1,"")</f>
        <v/>
      </c>
      <c r="AY22" s="13" t="str">
        <f>IF($O$6=TRUE(),1994,"")</f>
        <v/>
      </c>
      <c r="AZ22" s="13" t="str">
        <f>IF($O$6=TRUE(),2035.5,"")</f>
        <v/>
      </c>
      <c r="BA22" s="13" t="str">
        <f>IF($O$6=TRUE(),2258.8,"")</f>
        <v/>
      </c>
      <c r="BB22" s="13" t="str">
        <f>IF($O$6=TRUE(),2258.9,"")</f>
        <v/>
      </c>
      <c r="BC22" s="13" t="str">
        <f>IF($O$6=TRUE(),2258.9,"")</f>
        <v/>
      </c>
      <c r="BD22" s="13" t="str">
        <f>IF($O$6=TRUE(),2311.3,"")</f>
        <v/>
      </c>
      <c r="BE22" s="13" t="str">
        <f>IF($O$6=TRUE(),2322.6,"")</f>
        <v/>
      </c>
      <c r="BF22" s="13" t="str">
        <f>IF($O$6=TRUE(),2330.3,"")</f>
        <v/>
      </c>
      <c r="BG22" s="13" t="str">
        <f>IF($O$6=TRUE(),2647.5,"")</f>
        <v/>
      </c>
      <c r="BH22" s="13" t="str">
        <f>IF($O$6=TRUE(),3187.1,"")</f>
        <v/>
      </c>
      <c r="BI22" s="13" t="str">
        <f>IF($O$6=TRUE(),3199.1,"")</f>
        <v/>
      </c>
      <c r="BJ22" s="13" t="str">
        <f>IF($O$6=TRUE(),3623.8,"")</f>
        <v/>
      </c>
      <c r="BK22" s="13" t="str">
        <f>IF($O$6=TRUE(),4234.2,"")</f>
        <v/>
      </c>
      <c r="BL22" s="13" t="str">
        <f>IF($O$6=TRUE(),4238.7,"")</f>
        <v/>
      </c>
      <c r="BM22" s="13" t="str">
        <f>IF($O$6=TRUE(),4243.3,"")</f>
        <v/>
      </c>
      <c r="BN22" s="14"/>
      <c r="BO22" s="14"/>
    </row>
    <row r="23" spans="1:67" ht="15" customHeight="1">
      <c r="A23" s="9" t="s">
        <v>111</v>
      </c>
      <c r="B23" s="10" t="str">
        <f>IF($P$6=TRUE(),134.4,"")</f>
        <v/>
      </c>
      <c r="C23" s="10" t="str">
        <f>IF($P$6=TRUE(),134.5,"")</f>
        <v/>
      </c>
      <c r="D23" s="10" t="str">
        <f>IF($P$6=TRUE(),170.8,"")</f>
        <v/>
      </c>
      <c r="E23" s="10" t="str">
        <f>IF($P$6=TRUE(),212.9,"")</f>
        <v/>
      </c>
      <c r="F23" s="10" t="str">
        <f>IF($P$6=TRUE(),224.4,"")</f>
        <v/>
      </c>
      <c r="G23" s="10" t="str">
        <f>IF($P$6=TRUE(),254.7,"")</f>
        <v/>
      </c>
      <c r="H23" s="10" t="str">
        <f>IF($P$6=TRUE(),331.1,"")</f>
        <v/>
      </c>
      <c r="I23" s="10" t="str">
        <f>IF($P$6=TRUE(),383.6,"")</f>
        <v/>
      </c>
      <c r="J23" s="10" t="str">
        <f>IF($P$6=TRUE(),386,"")</f>
        <v/>
      </c>
      <c r="K23" s="10" t="str">
        <f>IF($P$6=TRUE(),386.4,"")</f>
        <v/>
      </c>
      <c r="L23" s="10" t="str">
        <f>IF($P$6=TRUE(),387.2,"")</f>
        <v/>
      </c>
      <c r="M23" s="10" t="str">
        <f>IF($P$6=TRUE(),336.8,"")</f>
        <v/>
      </c>
      <c r="N23" s="10" t="str">
        <f>IF($P$6=TRUE(),391.4,"")</f>
        <v/>
      </c>
      <c r="O23" s="10" t="str">
        <f>IF($P$6=TRUE(),391.8,"")</f>
        <v/>
      </c>
      <c r="P23" s="10" t="str">
        <f>IF($P$6=TRUE(),391.6,"")</f>
        <v/>
      </c>
      <c r="Q23" s="10" t="str">
        <f>IF($P$6=TRUE(),391.8,"")</f>
        <v/>
      </c>
      <c r="R23" s="10" t="str">
        <f>IF($P$6=TRUE(),389.3,"")</f>
        <v/>
      </c>
      <c r="S23" s="10" t="str">
        <f>IF($P$6=TRUE(),389.6,"")</f>
        <v/>
      </c>
      <c r="T23" s="10" t="str">
        <f>IF($P$6=TRUE(),389.8,"")</f>
        <v/>
      </c>
      <c r="U23" s="10" t="str">
        <f>IF($P$6=TRUE(),397.2,"")</f>
        <v/>
      </c>
      <c r="V23" s="10" t="str">
        <f>IF($P$6=TRUE(),389.4,"")</f>
        <v/>
      </c>
      <c r="W23" s="10" t="str">
        <f>IF($P$6=TRUE(),387.5,"")</f>
        <v/>
      </c>
      <c r="X23" s="10" t="str">
        <f>IF($P$6=TRUE(),396.3,"")</f>
        <v/>
      </c>
      <c r="Y23" s="10" t="str">
        <f>IF($P$6=TRUE(),396.6,"")</f>
        <v/>
      </c>
      <c r="Z23" s="10" t="str">
        <f>IF($P$6=TRUE(),419.1,"")</f>
        <v/>
      </c>
      <c r="AA23" s="10" t="str">
        <f>IF($P$6=TRUE(),419.5,"")</f>
        <v/>
      </c>
      <c r="AB23" s="10" t="str">
        <f>IF($P$6=TRUE(),454.7,"")</f>
        <v/>
      </c>
      <c r="AC23" s="10" t="str">
        <f>IF($P$6=TRUE(),482.1,"")</f>
        <v/>
      </c>
      <c r="AD23" s="10" t="str">
        <f>IF($P$6=TRUE(),554.5,"")</f>
        <v/>
      </c>
      <c r="AE23" s="10" t="str">
        <f>IF($P$6=TRUE(),622.6,"")</f>
        <v/>
      </c>
      <c r="AF23" s="10" t="str">
        <f>IF($P$6=TRUE(),800.1,"")</f>
        <v/>
      </c>
      <c r="AG23" s="10" t="str">
        <f>IF($P$6=TRUE(),977.6,"")</f>
        <v/>
      </c>
      <c r="AH23" s="10" t="str">
        <f>IF($P$6=TRUE(),982.1,"")</f>
        <v/>
      </c>
      <c r="AI23" s="10" t="str">
        <f>IF($P$6=TRUE(),983.1,"")</f>
        <v/>
      </c>
      <c r="AJ23" s="10" t="str">
        <f>IF($P$6=TRUE(),1133.6,"")</f>
        <v/>
      </c>
      <c r="AK23" s="10" t="str">
        <f>IF($P$6=TRUE(),996,"")</f>
        <v/>
      </c>
      <c r="AL23" s="10" t="str">
        <f>IF($P$6=TRUE(),1185.4,"")</f>
        <v/>
      </c>
      <c r="AM23" s="10" t="str">
        <f>IF($P$6=TRUE(),1288.7,"")</f>
        <v/>
      </c>
      <c r="AN23" s="10" t="str">
        <f>IF($P$6=TRUE(),1510.3,"")</f>
        <v/>
      </c>
      <c r="AO23" s="10" t="str">
        <f>IF($P$6=TRUE(),1798.5,"")</f>
        <v/>
      </c>
      <c r="AP23" s="10" t="str">
        <f>IF($P$6=TRUE(),2019.4,"")</f>
        <v/>
      </c>
      <c r="AQ23" s="10" t="str">
        <f>IF($P$6=TRUE(),2424.4,"")</f>
        <v/>
      </c>
      <c r="AR23" s="10" t="str">
        <f>IF($P$6=TRUE(),2630.2,"")</f>
        <v/>
      </c>
      <c r="AS23" s="10" t="str">
        <f>IF($P$6=TRUE(),2634.8,"")</f>
        <v/>
      </c>
      <c r="AT23" s="10" t="str">
        <f>IF($P$6=TRUE(),2715.4,"")</f>
        <v/>
      </c>
      <c r="AU23" s="10" t="str">
        <f>IF($P$6=TRUE(),2772.7,"")</f>
        <v/>
      </c>
      <c r="AV23" s="10" t="str">
        <f>IF($P$6=TRUE(),2798.3,"")</f>
        <v/>
      </c>
      <c r="AW23" s="10" t="str">
        <f>IF($P$6=TRUE(),2824.3,"")</f>
        <v/>
      </c>
      <c r="AX23" s="10" t="str">
        <f>IF($P$6=TRUE(),3137.1,"")</f>
        <v/>
      </c>
      <c r="AY23" s="10" t="str">
        <f>IF($P$6=TRUE(),3275.3,"")</f>
        <v/>
      </c>
      <c r="AZ23" s="10" t="str">
        <f>IF($P$6=TRUE(),3775.8,"")</f>
        <v/>
      </c>
      <c r="BA23" s="10" t="str">
        <f>IF($P$6=TRUE(),4387.4,"")</f>
        <v/>
      </c>
      <c r="BB23" s="10" t="str">
        <f>IF($P$6=TRUE(),4387.4,"")</f>
        <v/>
      </c>
      <c r="BC23" s="10" t="str">
        <f>IF($P$6=TRUE(),4387.4,"")</f>
        <v/>
      </c>
      <c r="BD23" s="10" t="str">
        <f>IF($P$6=TRUE(),4727.2,"")</f>
        <v/>
      </c>
      <c r="BE23" s="10" t="str">
        <f>IF($P$6=TRUE(),4568.2,"")</f>
        <v/>
      </c>
      <c r="BF23" s="10" t="str">
        <f>IF($P$6=TRUE(),5078.9,"")</f>
        <v/>
      </c>
      <c r="BG23" s="10" t="str">
        <f>IF($P$6=TRUE(),5567.9,"")</f>
        <v/>
      </c>
      <c r="BH23" s="10" t="str">
        <f>IF($P$6=TRUE(),6064.8,"")</f>
        <v/>
      </c>
      <c r="BI23" s="10" t="str">
        <f>IF($P$6=TRUE(),6078.5,"")</f>
        <v/>
      </c>
      <c r="BJ23" s="10" t="str">
        <f>IF($P$6=TRUE(),6421.7,"")</f>
        <v/>
      </c>
      <c r="BK23" s="10" t="str">
        <f>IF($P$6=TRUE(),7213.6,"")</f>
        <v/>
      </c>
      <c r="BL23" s="10" t="str">
        <f>IF($P$6=TRUE(),7216.7,"")</f>
        <v/>
      </c>
      <c r="BM23" s="10" t="str">
        <f>IF($P$6=TRUE(),7219.8,"")</f>
        <v/>
      </c>
      <c r="BN23" s="11"/>
      <c r="BO23" s="11"/>
    </row>
    <row r="24" spans="1:67" ht="15" customHeight="1">
      <c r="A24" s="12" t="s">
        <v>112</v>
      </c>
      <c r="B24" s="13" t="str">
        <f>IF($Q$6=TRUE(),277.3,"")</f>
        <v/>
      </c>
      <c r="C24" s="13" t="str">
        <f>IF($Q$6=TRUE(),288.1,"")</f>
        <v/>
      </c>
      <c r="D24" s="13" t="str">
        <f>IF($Q$6=TRUE(),241.7,"")</f>
        <v/>
      </c>
      <c r="E24" s="13" t="str">
        <f>IF($Q$6=TRUE(),242.7,"")</f>
        <v/>
      </c>
      <c r="F24" s="13" t="str">
        <f>IF($Q$6=TRUE(),267,"")</f>
        <v/>
      </c>
      <c r="G24" s="13" t="str">
        <f>IF($Q$6=TRUE(),331.7,"")</f>
        <v/>
      </c>
      <c r="H24" s="13" t="str">
        <f>IF($Q$6=TRUE(),345,"")</f>
        <v/>
      </c>
      <c r="I24" s="13" t="str">
        <f>IF($Q$6=TRUE(),367.5,"")</f>
        <v/>
      </c>
      <c r="J24" s="13" t="str">
        <f>IF($Q$6=TRUE(),372.3,"")</f>
        <v/>
      </c>
      <c r="K24" s="13" t="str">
        <f>IF($Q$6=TRUE(),373.4,"")</f>
        <v/>
      </c>
      <c r="L24" s="13" t="str">
        <f>IF($Q$6=TRUE(),409.4,"")</f>
        <v/>
      </c>
      <c r="M24" s="13" t="str">
        <f>IF($Q$6=TRUE(),418.2,"")</f>
        <v/>
      </c>
      <c r="N24" s="13" t="str">
        <f>IF($Q$6=TRUE(),429,"")</f>
        <v/>
      </c>
      <c r="O24" s="13" t="str">
        <f>IF($Q$6=TRUE(),430.1,"")</f>
        <v/>
      </c>
      <c r="P24" s="13" t="str">
        <f>IF($Q$6=TRUE(),454.5,"")</f>
        <v/>
      </c>
      <c r="Q24" s="13" t="str">
        <f>IF($Q$6=TRUE(),455.1,"")</f>
        <v/>
      </c>
      <c r="R24" s="13" t="str">
        <f>IF($Q$6=TRUE(),466.9,"")</f>
        <v/>
      </c>
      <c r="S24" s="13" t="str">
        <f>IF($Q$6=TRUE(),467.6,"")</f>
        <v/>
      </c>
      <c r="T24" s="13" t="str">
        <f>IF($Q$6=TRUE(),461.3,"")</f>
        <v/>
      </c>
      <c r="U24" s="13" t="str">
        <f>IF($Q$6=TRUE(),461.6,"")</f>
        <v/>
      </c>
      <c r="V24" s="13" t="str">
        <f>IF($Q$6=TRUE(),503.2,"")</f>
        <v/>
      </c>
      <c r="W24" s="13" t="str">
        <f>IF($Q$6=TRUE(),503.9,"")</f>
        <v/>
      </c>
      <c r="X24" s="13" t="str">
        <f>IF($Q$6=TRUE(),507.1,"")</f>
        <v/>
      </c>
      <c r="Y24" s="13" t="str">
        <f>IF($Q$6=TRUE(),507.7,"")</f>
        <v/>
      </c>
      <c r="Z24" s="13" t="str">
        <f>IF($Q$6=TRUE(),513.2,"")</f>
        <v/>
      </c>
      <c r="AA24" s="13" t="str">
        <f>IF($Q$6=TRUE(),513.9,"")</f>
        <v/>
      </c>
      <c r="AB24" s="13" t="str">
        <f>IF($Q$6=TRUE(),545.6,"")</f>
        <v/>
      </c>
      <c r="AC24" s="13" t="str">
        <f>IF($Q$6=TRUE(),559.4,"")</f>
        <v/>
      </c>
      <c r="AD24" s="13" t="str">
        <f>IF($Q$6=TRUE(),594.4,"")</f>
        <v/>
      </c>
      <c r="AE24" s="13" t="str">
        <f>IF($Q$6=TRUE(),624.4,"")</f>
        <v/>
      </c>
      <c r="AF24" s="13" t="str">
        <f>IF($Q$6=TRUE(),651.2,"")</f>
        <v/>
      </c>
      <c r="AG24" s="13" t="str">
        <f>IF($Q$6=TRUE(),676.9,"")</f>
        <v/>
      </c>
      <c r="AH24" s="13" t="str">
        <f>IF($Q$6=TRUE(),726.8,"")</f>
        <v/>
      </c>
      <c r="AI24" s="13" t="str">
        <f>IF($Q$6=TRUE(),779.1,"")</f>
        <v/>
      </c>
      <c r="AJ24" s="13" t="str">
        <f>IF($Q$6=TRUE(),832.9,"")</f>
        <v/>
      </c>
      <c r="AK24" s="13" t="str">
        <f>IF($Q$6=TRUE(),872.9,"")</f>
        <v/>
      </c>
      <c r="AL24" s="13" t="str">
        <f>IF($Q$6=TRUE(),945.9,"")</f>
        <v/>
      </c>
      <c r="AM24" s="13" t="str">
        <f>IF($Q$6=TRUE(),1084.8,"")</f>
        <v/>
      </c>
      <c r="AN24" s="13" t="str">
        <f>IF($Q$6=TRUE(),1181.7,"")</f>
        <v/>
      </c>
      <c r="AO24" s="13" t="str">
        <f>IF($Q$6=TRUE(),1542.4,"")</f>
        <v/>
      </c>
      <c r="AP24" s="13" t="str">
        <f>IF($Q$6=TRUE(),1668.3,"")</f>
        <v/>
      </c>
      <c r="AQ24" s="13" t="str">
        <f>IF($Q$6=TRUE(),1705.4,"")</f>
        <v/>
      </c>
      <c r="AR24" s="13" t="str">
        <f>IF($Q$6=TRUE(),1922.5,"")</f>
        <v/>
      </c>
      <c r="AS24" s="13" t="str">
        <f>IF($Q$6=TRUE(),1934.2,"")</f>
        <v/>
      </c>
      <c r="AT24" s="13" t="str">
        <f>IF($Q$6=TRUE(),2258.7,"")</f>
        <v/>
      </c>
      <c r="AU24" s="13" t="str">
        <f>IF($Q$6=TRUE(),2366.2,"")</f>
        <v/>
      </c>
      <c r="AV24" s="13" t="str">
        <f>IF($Q$6=TRUE(),2491,"")</f>
        <v/>
      </c>
      <c r="AW24" s="13" t="str">
        <f>IF($Q$6=TRUE(),2579.9,"")</f>
        <v/>
      </c>
      <c r="AX24" s="13" t="str">
        <f>IF($Q$6=TRUE(),2787,"")</f>
        <v/>
      </c>
      <c r="AY24" s="13" t="str">
        <f>IF($Q$6=TRUE(),2799.4,"")</f>
        <v/>
      </c>
      <c r="AZ24" s="13" t="str">
        <f>IF($Q$6=TRUE(),2870.2,"")</f>
        <v/>
      </c>
      <c r="BA24" s="13" t="str">
        <f>IF($Q$6=TRUE(),3854.9,"")</f>
        <v/>
      </c>
      <c r="BB24" s="13" t="str">
        <f>IF($Q$6=TRUE(),3855.3,"")</f>
        <v/>
      </c>
      <c r="BC24" s="13" t="str">
        <f>IF($Q$6=TRUE(),3855.6,"")</f>
        <v/>
      </c>
      <c r="BD24" s="13" t="str">
        <f>IF($Q$6=TRUE(),4468.2,"")</f>
        <v/>
      </c>
      <c r="BE24" s="13" t="str">
        <f>IF($Q$6=TRUE(),4864.5,"")</f>
        <v/>
      </c>
      <c r="BF24" s="13" t="str">
        <f>IF($Q$6=TRUE(),4897.7,"")</f>
        <v/>
      </c>
      <c r="BG24" s="13" t="str">
        <f>IF($Q$6=TRUE(),5106,"")</f>
        <v/>
      </c>
      <c r="BH24" s="13" t="str">
        <f>IF($Q$6=TRUE(),6535.1,"")</f>
        <v/>
      </c>
      <c r="BI24" s="13" t="str">
        <f>IF($Q$6=TRUE(),6572,"")</f>
        <v/>
      </c>
      <c r="BJ24" s="13" t="str">
        <f>IF($Q$6=TRUE(),6576.6,"")</f>
        <v/>
      </c>
      <c r="BK24" s="13" t="str">
        <f>IF($Q$6=TRUE(),6616.7,"")</f>
        <v/>
      </c>
      <c r="BL24" s="13" t="str">
        <f>IF($Q$6=TRUE(),6630.4,"")</f>
        <v/>
      </c>
      <c r="BM24" s="13" t="str">
        <f>IF($Q$6=TRUE(),6642,"")</f>
        <v/>
      </c>
      <c r="BN24" s="14"/>
      <c r="BO24" s="14"/>
    </row>
    <row r="25" spans="1:67" ht="15" customHeight="1">
      <c r="A25" s="9" t="s">
        <v>113</v>
      </c>
      <c r="B25" s="10" t="str">
        <f>IF($R$6=TRUE(),277.8,"")</f>
        <v/>
      </c>
      <c r="C25" s="10" t="str">
        <f>IF($R$6=TRUE(),278.4,"")</f>
        <v/>
      </c>
      <c r="D25" s="10" t="str">
        <f>IF($R$6=TRUE(),340.9,"")</f>
        <v/>
      </c>
      <c r="E25" s="10" t="str">
        <f>IF($R$6=TRUE(),341.5,"")</f>
        <v/>
      </c>
      <c r="F25" s="10" t="str">
        <f>IF($R$6=TRUE(),369.4,"")</f>
        <v/>
      </c>
      <c r="G25" s="10" t="str">
        <f>IF($R$6=TRUE(),372.6,"")</f>
        <v/>
      </c>
      <c r="H25" s="10" t="str">
        <f>IF($R$6=TRUE(),510.4,"")</f>
        <v/>
      </c>
      <c r="I25" s="10" t="str">
        <f>IF($R$6=TRUE(),511.5,"")</f>
        <v/>
      </c>
      <c r="J25" s="10" t="str">
        <f>IF($R$6=TRUE(),542.4,"")</f>
        <v/>
      </c>
      <c r="K25" s="10" t="str">
        <f>IF($R$6=TRUE(),543.5,"")</f>
        <v/>
      </c>
      <c r="L25" s="10" t="str">
        <f>IF($R$6=TRUE(),557.8,"")</f>
        <v/>
      </c>
      <c r="M25" s="10" t="str">
        <f>IF($R$6=TRUE(),558.6,"")</f>
        <v/>
      </c>
      <c r="N25" s="10" t="str">
        <f>IF($R$6=TRUE(),569.4,"")</f>
        <v/>
      </c>
      <c r="O25" s="10" t="str">
        <f>IF($R$6=TRUE(),570.7,"")</f>
        <v/>
      </c>
      <c r="P25" s="10" t="str">
        <f>IF($R$6=TRUE(),646.9,"")</f>
        <v/>
      </c>
      <c r="Q25" s="10" t="str">
        <f>IF($R$6=TRUE(),648,"")</f>
        <v/>
      </c>
      <c r="R25" s="10" t="str">
        <f>IF($R$6=TRUE(),656,"")</f>
        <v/>
      </c>
      <c r="S25" s="10" t="str">
        <f>IF($R$6=TRUE(),656.7,"")</f>
        <v/>
      </c>
      <c r="T25" s="10" t="str">
        <f>IF($R$6=TRUE(),657.4,"")</f>
        <v/>
      </c>
      <c r="U25" s="10" t="str">
        <f>IF($R$6=TRUE(),658.1,"")</f>
        <v/>
      </c>
      <c r="V25" s="10" t="str">
        <f>IF($R$6=TRUE(),665.3,"")</f>
        <v/>
      </c>
      <c r="W25" s="10" t="str">
        <f>IF($R$6=TRUE(),666.2,"")</f>
        <v/>
      </c>
      <c r="X25" s="10" t="str">
        <f>IF($R$6=TRUE(),667.1,"")</f>
        <v/>
      </c>
      <c r="Y25" s="10" t="str">
        <f>IF($R$6=TRUE(),667.9,"")</f>
        <v/>
      </c>
      <c r="Z25" s="10" t="str">
        <f>IF($R$6=TRUE(),747.8,"")</f>
        <v/>
      </c>
      <c r="AA25" s="10" t="str">
        <f>IF($R$6=TRUE(),748.6,"")</f>
        <v/>
      </c>
      <c r="AB25" s="10" t="str">
        <f>IF($R$6=TRUE(),751.6,"")</f>
        <v/>
      </c>
      <c r="AC25" s="10" t="str">
        <f>IF($R$6=TRUE(),753.4,"")</f>
        <v/>
      </c>
      <c r="AD25" s="10" t="str">
        <f>IF($R$6=TRUE(),864.8,"")</f>
        <v/>
      </c>
      <c r="AE25" s="10" t="str">
        <f>IF($R$6=TRUE(),965.3,"")</f>
        <v/>
      </c>
      <c r="AF25" s="10" t="str">
        <f>IF($R$6=TRUE(),1219.8,"")</f>
        <v/>
      </c>
      <c r="AG25" s="10" t="str">
        <f>IF($R$6=TRUE(),1466.4,"")</f>
        <v/>
      </c>
      <c r="AH25" s="10" t="str">
        <f>IF($R$6=TRUE(),1405.6,"")</f>
        <v/>
      </c>
      <c r="AI25" s="10" t="str">
        <f>IF($R$6=TRUE(),1412,"")</f>
        <v/>
      </c>
      <c r="AJ25" s="10" t="str">
        <f>IF($R$6=TRUE(),1450.3,"")</f>
        <v/>
      </c>
      <c r="AK25" s="10" t="str">
        <f>IF($R$6=TRUE(),1455.3,"")</f>
        <v/>
      </c>
      <c r="AL25" s="10" t="str">
        <f>IF($R$6=TRUE(),1654.1,"")</f>
        <v/>
      </c>
      <c r="AM25" s="10" t="str">
        <f>IF($R$6=TRUE(),1724.1,"")</f>
        <v/>
      </c>
      <c r="AN25" s="10" t="str">
        <f>IF($R$6=TRUE(),1855.5,"")</f>
        <v/>
      </c>
      <c r="AO25" s="10" t="str">
        <f>IF($R$6=TRUE(),2460.6,"")</f>
        <v/>
      </c>
      <c r="AP25" s="10" t="str">
        <f>IF($R$6=TRUE(),2692.5,"")</f>
        <v/>
      </c>
      <c r="AQ25" s="10" t="str">
        <f>IF($R$6=TRUE(),3052,"")</f>
        <v/>
      </c>
      <c r="AR25" s="10" t="str">
        <f>IF($R$6=TRUE(),3187.1,"")</f>
        <v/>
      </c>
      <c r="AS25" s="10" t="str">
        <f>IF($R$6=TRUE(),3401.7,"")</f>
        <v/>
      </c>
      <c r="AT25" s="10" t="str">
        <f>IF($R$6=TRUE(),3931.7,"")</f>
        <v/>
      </c>
      <c r="AU25" s="10" t="str">
        <f>IF($R$6=TRUE(),4540.3,"")</f>
        <v/>
      </c>
      <c r="AV25" s="10" t="str">
        <f>IF($R$6=TRUE(),4567.3,"")</f>
        <v/>
      </c>
      <c r="AW25" s="10" t="str">
        <f>IF($R$6=TRUE(),4730.2,"")</f>
        <v/>
      </c>
      <c r="AX25" s="10" t="str">
        <f>IF($R$6=TRUE(),5511.1,"")</f>
        <v/>
      </c>
      <c r="AY25" s="10" t="str">
        <f>IF($R$6=TRUE(),5410.5,"")</f>
        <v/>
      </c>
      <c r="AZ25" s="10" t="str">
        <f>IF($R$6=TRUE(),5896.6,"")</f>
        <v/>
      </c>
      <c r="BA25" s="10" t="str">
        <f>IF($R$6=TRUE(),6193.4,"")</f>
        <v/>
      </c>
      <c r="BB25" s="10" t="str">
        <f>IF($R$6=TRUE(),6388.7,"")</f>
        <v/>
      </c>
      <c r="BC25" s="10" t="str">
        <f>IF($R$6=TRUE(),6987.7,"")</f>
        <v/>
      </c>
      <c r="BD25" s="10" t="str">
        <f>IF($R$6=TRUE(),7144.2,"")</f>
        <v/>
      </c>
      <c r="BE25" s="10" t="str">
        <f>IF($R$6=TRUE(),7169.1,"")</f>
        <v/>
      </c>
      <c r="BF25" s="10" t="str">
        <f>IF($R$6=TRUE(),8642.6,"")</f>
        <v/>
      </c>
      <c r="BG25" s="10" t="str">
        <f>IF($R$6=TRUE(),8662.5,"")</f>
        <v/>
      </c>
      <c r="BH25" s="10" t="str">
        <f>IF($R$6=TRUE(),8863.7,"")</f>
        <v/>
      </c>
      <c r="BI25" s="10" t="str">
        <f>IF($R$6=TRUE(),8893.5,"")</f>
        <v/>
      </c>
      <c r="BJ25" s="10" t="str">
        <f>IF($R$6=TRUE(),11229.2,"")</f>
        <v/>
      </c>
      <c r="BK25" s="10" t="str">
        <f>IF($R$6=TRUE(),12814,"")</f>
        <v/>
      </c>
      <c r="BL25" s="10" t="str">
        <f>IF($R$6=TRUE(),12823.1,"")</f>
        <v/>
      </c>
      <c r="BM25" s="10" t="str">
        <f>IF($R$6=TRUE(),12832.6,"")</f>
        <v/>
      </c>
      <c r="BN25" s="11"/>
      <c r="BO25" s="11"/>
    </row>
    <row r="26" spans="1:67" ht="15" customHeight="1">
      <c r="A26" s="12" t="s">
        <v>114</v>
      </c>
      <c r="B26" s="13" t="str">
        <f>IF($S$6=TRUE(),158.2,"")</f>
        <v/>
      </c>
      <c r="C26" s="13" t="str">
        <f>IF($S$6=TRUE(),158.5,"")</f>
        <v/>
      </c>
      <c r="D26" s="13" t="str">
        <f>IF($S$6=TRUE(),189,"")</f>
        <v/>
      </c>
      <c r="E26" s="13" t="str">
        <f>IF($S$6=TRUE(),204,"")</f>
        <v/>
      </c>
      <c r="F26" s="13" t="str">
        <f>IF($S$6=TRUE(),234.1,"")</f>
        <v/>
      </c>
      <c r="G26" s="13" t="str">
        <f>IF($S$6=TRUE(),254,"")</f>
        <v/>
      </c>
      <c r="H26" s="13" t="str">
        <f>IF($S$6=TRUE(),260.4,"")</f>
        <v/>
      </c>
      <c r="I26" s="13" t="str">
        <f>IF($S$6=TRUE(),274,"")</f>
        <v/>
      </c>
      <c r="J26" s="13" t="str">
        <f>IF($S$6=TRUE(),275.4,"")</f>
        <v/>
      </c>
      <c r="K26" s="13" t="str">
        <f>IF($S$6=TRUE(),275.7,"")</f>
        <v/>
      </c>
      <c r="L26" s="13" t="str">
        <f>IF($S$6=TRUE(),276.1,"")</f>
        <v/>
      </c>
      <c r="M26" s="13" t="str">
        <f>IF($S$6=TRUE(),276.4,"")</f>
        <v/>
      </c>
      <c r="N26" s="13" t="str">
        <f>IF($S$6=TRUE(),303.5,"")</f>
        <v/>
      </c>
      <c r="O26" s="13" t="str">
        <f>IF($S$6=TRUE(),298.9,"")</f>
        <v/>
      </c>
      <c r="P26" s="13" t="str">
        <f>IF($S$6=TRUE(),292.1,"")</f>
        <v/>
      </c>
      <c r="Q26" s="13" t="str">
        <f>IF($S$6=TRUE(),292.2,"")</f>
        <v/>
      </c>
      <c r="R26" s="13" t="str">
        <f>IF($S$6=TRUE(),295.1,"")</f>
        <v/>
      </c>
      <c r="S26" s="13" t="str">
        <f>IF($S$6=TRUE(),295.2,"")</f>
        <v/>
      </c>
      <c r="T26" s="13" t="str">
        <f>IF($S$6=TRUE(),294,"")</f>
        <v/>
      </c>
      <c r="U26" s="13" t="str">
        <f>IF($S$6=TRUE(),294.1,"")</f>
        <v/>
      </c>
      <c r="V26" s="13" t="str">
        <f>IF($S$6=TRUE(),295.3,"")</f>
        <v/>
      </c>
      <c r="W26" s="13" t="str">
        <f>IF($S$6=TRUE(),295.6,"")</f>
        <v/>
      </c>
      <c r="X26" s="13" t="str">
        <f>IF($S$6=TRUE(),312.2,"")</f>
        <v/>
      </c>
      <c r="Y26" s="13" t="str">
        <f>IF($S$6=TRUE(),323.4,"")</f>
        <v/>
      </c>
      <c r="Z26" s="13" t="str">
        <f>IF($S$6=TRUE(),324.9,"")</f>
        <v/>
      </c>
      <c r="AA26" s="13" t="str">
        <f>IF($S$6=TRUE(),340.3,"")</f>
        <v/>
      </c>
      <c r="AB26" s="13" t="str">
        <f>IF($S$6=TRUE(),370.8,"")</f>
        <v/>
      </c>
      <c r="AC26" s="13" t="str">
        <f>IF($S$6=TRUE(),386.2,"")</f>
        <v/>
      </c>
      <c r="AD26" s="13" t="str">
        <f>IF($S$6=TRUE(),414.7,"")</f>
        <v/>
      </c>
      <c r="AE26" s="13" t="str">
        <f>IF($S$6=TRUE(),463.8,"")</f>
        <v/>
      </c>
      <c r="AF26" s="13" t="str">
        <f>IF($S$6=TRUE(),555.4,"")</f>
        <v/>
      </c>
      <c r="AG26" s="13" t="str">
        <f>IF($S$6=TRUE(),574.1,"")</f>
        <v/>
      </c>
      <c r="AH26" s="13" t="str">
        <f>IF($S$6=TRUE(),611,"")</f>
        <v/>
      </c>
      <c r="AI26" s="13" t="str">
        <f>IF($S$6=TRUE(),612.5,"")</f>
        <v/>
      </c>
      <c r="AJ26" s="13" t="str">
        <f>IF($S$6=TRUE(),734.3,"")</f>
        <v/>
      </c>
      <c r="AK26" s="13" t="str">
        <f>IF($S$6=TRUE(),707.2,"")</f>
        <v/>
      </c>
      <c r="AL26" s="13" t="str">
        <f>IF($S$6=TRUE(),783.3,"")</f>
        <v/>
      </c>
      <c r="AM26" s="13" t="str">
        <f>IF($S$6=TRUE(),797.8,"")</f>
        <v/>
      </c>
      <c r="AN26" s="13" t="str">
        <f>IF($S$6=TRUE(),946.3,"")</f>
        <v/>
      </c>
      <c r="AO26" s="13" t="str">
        <f>IF($S$6=TRUE(),1197.2,"")</f>
        <v/>
      </c>
      <c r="AP26" s="13" t="str">
        <f>IF($S$6=TRUE(),1263.5,"")</f>
        <v/>
      </c>
      <c r="AQ26" s="13" t="str">
        <f>IF($S$6=TRUE(),1364,"")</f>
        <v/>
      </c>
      <c r="AR26" s="13" t="str">
        <f>IF($S$6=TRUE(),1382.8,"")</f>
        <v/>
      </c>
      <c r="AS26" s="13" t="str">
        <f>IF($S$6=TRUE(),1582.4,"")</f>
        <v/>
      </c>
      <c r="AT26" s="13" t="str">
        <f>IF($S$6=TRUE(),1784.5,"")</f>
        <v/>
      </c>
      <c r="AU26" s="13" t="str">
        <f>IF($S$6=TRUE(),1988.1,"")</f>
        <v/>
      </c>
      <c r="AV26" s="13" t="str">
        <f>IF($S$6=TRUE(),2087.4,"")</f>
        <v/>
      </c>
      <c r="AW26" s="13" t="str">
        <f>IF($S$6=TRUE(),2090.1,"")</f>
        <v/>
      </c>
      <c r="AX26" s="13" t="str">
        <f>IF($S$6=TRUE(),2402,"")</f>
        <v/>
      </c>
      <c r="AY26" s="13" t="str">
        <f>IF($S$6=TRUE(),2420.2,"")</f>
        <v/>
      </c>
      <c r="AZ26" s="13" t="str">
        <f>IF($S$6=TRUE(),2722.2,"")</f>
        <v/>
      </c>
      <c r="BA26" s="13" t="str">
        <f>IF($S$6=TRUE(),3245.2,"")</f>
        <v/>
      </c>
      <c r="BB26" s="13" t="str">
        <f>IF($S$6=TRUE(),3245.3,"")</f>
        <v/>
      </c>
      <c r="BC26" s="13" t="str">
        <f>IF($S$6=TRUE(),3245.5,"")</f>
        <v/>
      </c>
      <c r="BD26" s="13" t="str">
        <f>IF($S$6=TRUE(),3464,"")</f>
        <v/>
      </c>
      <c r="BE26" s="13" t="str">
        <f>IF($S$6=TRUE(),3473,"")</f>
        <v/>
      </c>
      <c r="BF26" s="13" t="str">
        <f>IF($S$6=TRUE(),3478.9,"")</f>
        <v/>
      </c>
      <c r="BG26" s="13" t="str">
        <f>IF($S$6=TRUE(),3484.1,"")</f>
        <v/>
      </c>
      <c r="BH26" s="13" t="str">
        <f>IF($S$6=TRUE(),4091.9,"")</f>
        <v/>
      </c>
      <c r="BI26" s="13" t="str">
        <f>IF($S$6=TRUE(),4115.1,"")</f>
        <v/>
      </c>
      <c r="BJ26" s="13" t="str">
        <f>IF($S$6=TRUE(),4546.5,"")</f>
        <v/>
      </c>
      <c r="BK26" s="13" t="str">
        <f>IF($S$6=TRUE(),4604.6,"")</f>
        <v/>
      </c>
      <c r="BL26" s="13" t="str">
        <f>IF($S$6=TRUE(),4854.9,"")</f>
        <v/>
      </c>
      <c r="BM26" s="13" t="str">
        <f>IF($S$6=TRUE(),4953.4,"")</f>
        <v/>
      </c>
      <c r="BN26" s="14"/>
      <c r="BO26" s="14"/>
    </row>
    <row r="27" spans="1:67" ht="15" customHeight="1">
      <c r="A27" s="9" t="s">
        <v>115</v>
      </c>
      <c r="B27" s="10" t="str">
        <f>IF($T$6=TRUE(),257.1,"")</f>
        <v/>
      </c>
      <c r="C27" s="10" t="str">
        <f>IF($T$6=TRUE(),262.5,"")</f>
        <v/>
      </c>
      <c r="D27" s="10" t="str">
        <f>IF($T$6=TRUE(),277.9,"")</f>
        <v/>
      </c>
      <c r="E27" s="10" t="str">
        <f>IF($T$6=TRUE(),296.6,"")</f>
        <v/>
      </c>
      <c r="F27" s="10" t="str">
        <f>IF($T$6=TRUE(),317.7,"")</f>
        <v/>
      </c>
      <c r="G27" s="10" t="str">
        <f>IF($T$6=TRUE(),355.2,"")</f>
        <v/>
      </c>
      <c r="H27" s="10" t="str">
        <f>IF($T$6=TRUE(),435,"")</f>
        <v/>
      </c>
      <c r="I27" s="10" t="str">
        <f>IF($T$6=TRUE(),274,"")</f>
        <v/>
      </c>
      <c r="J27" s="10" t="str">
        <f>IF($T$6=TRUE(),472.6,"")</f>
        <v/>
      </c>
      <c r="K27" s="10" t="str">
        <f>IF($T$6=TRUE(),462.5,"")</f>
        <v/>
      </c>
      <c r="L27" s="10" t="str">
        <f>IF($T$6=TRUE(),463.9,"")</f>
        <v/>
      </c>
      <c r="M27" s="10" t="str">
        <f>IF($T$6=TRUE(),457.8,"")</f>
        <v/>
      </c>
      <c r="N27" s="10" t="str">
        <f>IF($T$6=TRUE(),502.8,"")</f>
        <v/>
      </c>
      <c r="O27" s="10" t="str">
        <f>IF($T$6=TRUE(),504.6,"")</f>
        <v/>
      </c>
      <c r="P27" s="10" t="str">
        <f>IF($T$6=TRUE(),518.3,"")</f>
        <v/>
      </c>
      <c r="Q27" s="10" t="str">
        <f>IF($T$6=TRUE(),511.5,"")</f>
        <v/>
      </c>
      <c r="R27" s="10" t="str">
        <f>IF($T$6=TRUE(),516.3,"")</f>
        <v/>
      </c>
      <c r="S27" s="10" t="str">
        <f>IF($T$6=TRUE(),505.3,"")</f>
        <v/>
      </c>
      <c r="T27" s="10" t="str">
        <f>IF($T$6=TRUE(),495.9,"")</f>
        <v/>
      </c>
      <c r="U27" s="10" t="str">
        <f>IF($T$6=TRUE(),483.6,"")</f>
        <v/>
      </c>
      <c r="V27" s="10" t="str">
        <f>IF($T$6=TRUE(),536.2,"")</f>
        <v/>
      </c>
      <c r="W27" s="10" t="str">
        <f>IF($T$6=TRUE(),541.6,"")</f>
        <v/>
      </c>
      <c r="X27" s="10" t="str">
        <f>IF($T$6=TRUE(),569.3,"")</f>
        <v/>
      </c>
      <c r="Y27" s="10" t="str">
        <f>IF($T$6=TRUE(),588.9,"")</f>
        <v/>
      </c>
      <c r="Z27" s="10" t="str">
        <f>IF($T$6=TRUE(),616.4,"")</f>
        <v/>
      </c>
      <c r="AA27" s="10" t="str">
        <f>IF($T$6=TRUE(),639.7,"")</f>
        <v/>
      </c>
      <c r="AB27" s="10" t="str">
        <f>IF($T$6=TRUE(),673.6,"")</f>
        <v/>
      </c>
      <c r="AC27" s="10" t="str">
        <f>IF($T$6=TRUE(),688.4,"")</f>
        <v/>
      </c>
      <c r="AD27" s="10" t="str">
        <f>IF($T$6=TRUE(),771.4,"")</f>
        <v/>
      </c>
      <c r="AE27" s="10" t="str">
        <f>IF($T$6=TRUE(),859.7,"")</f>
        <v/>
      </c>
      <c r="AF27" s="10" t="str">
        <f>IF($T$6=TRUE(),995.7,"")</f>
        <v/>
      </c>
      <c r="AG27" s="10" t="str">
        <f>IF($T$6=TRUE(),1057.3,"")</f>
        <v/>
      </c>
      <c r="AH27" s="10" t="str">
        <f>IF($T$6=TRUE(),1149.9,"")</f>
        <v/>
      </c>
      <c r="AI27" s="10" t="str">
        <f>IF($T$6=TRUE(),1167.4,"")</f>
        <v/>
      </c>
      <c r="AJ27" s="10" t="str">
        <f>IF($T$6=TRUE(),1380.5,"")</f>
        <v/>
      </c>
      <c r="AK27" s="10" t="str">
        <f>IF($T$6=TRUE(),1304.7,"")</f>
        <v/>
      </c>
      <c r="AL27" s="10" t="str">
        <f>IF($T$6=TRUE(),1351.6,"")</f>
        <v/>
      </c>
      <c r="AM27" s="10" t="str">
        <f>IF($T$6=TRUE(),1599.1,"")</f>
        <v/>
      </c>
      <c r="AN27" s="10" t="str">
        <f>IF($T$6=TRUE(),1880.7,"")</f>
        <v/>
      </c>
      <c r="AO27" s="10" t="str">
        <f>IF($T$6=TRUE(),2499.4,"")</f>
        <v/>
      </c>
      <c r="AP27" s="10" t="str">
        <f>IF($T$6=TRUE(),2613.9,"")</f>
        <v/>
      </c>
      <c r="AQ27" s="10" t="str">
        <f>IF($T$6=TRUE(),2642.9,"")</f>
        <v/>
      </c>
      <c r="AR27" s="10" t="str">
        <f>IF($T$6=TRUE(),3187.2,"")</f>
        <v/>
      </c>
      <c r="AS27" s="10" t="str">
        <f>IF($T$6=TRUE(),3229.6,"")</f>
        <v/>
      </c>
      <c r="AT27" s="10" t="str">
        <f>IF($T$6=TRUE(),3777.6,"")</f>
        <v/>
      </c>
      <c r="AU27" s="10" t="str">
        <f>IF($T$6=TRUE(),4051.8,"")</f>
        <v/>
      </c>
      <c r="AV27" s="10" t="str">
        <f>IF($T$6=TRUE(),4101.8,"")</f>
        <v/>
      </c>
      <c r="AW27" s="10" t="str">
        <f>IF($T$6=TRUE(),4062.3,"")</f>
        <v/>
      </c>
      <c r="AX27" s="10" t="str">
        <f>IF($T$6=TRUE(),4642.7,"")</f>
        <v/>
      </c>
      <c r="AY27" s="10" t="str">
        <f>IF($T$6=TRUE(),4634.3,"")</f>
        <v/>
      </c>
      <c r="AZ27" s="10" t="str">
        <f>IF($T$6=TRUE(),4804,"")</f>
        <v/>
      </c>
      <c r="BA27" s="10" t="str">
        <f>IF($T$6=TRUE(),5618.2,"")</f>
        <v/>
      </c>
      <c r="BB27" s="10" t="str">
        <f>IF($T$6=TRUE(),5940.7,"")</f>
        <v/>
      </c>
      <c r="BC27" s="10" t="str">
        <f>IF($T$6=TRUE(),6621.1,"")</f>
        <v/>
      </c>
      <c r="BD27" s="10" t="str">
        <f>IF($T$6=TRUE(),6981.6,"")</f>
        <v/>
      </c>
      <c r="BE27" s="10" t="str">
        <f>IF($T$6=TRUE(),6967.3,"")</f>
        <v/>
      </c>
      <c r="BF27" s="10" t="str">
        <f>IF($T$6=TRUE(),7042.5,"")</f>
        <v/>
      </c>
      <c r="BG27" s="10" t="str">
        <f>IF($T$6=TRUE(),7168.1,"")</f>
        <v/>
      </c>
      <c r="BH27" s="10" t="str">
        <f>IF($T$6=TRUE(),7934.5,"")</f>
        <v/>
      </c>
      <c r="BI27" s="10" t="str">
        <f>IF($T$6=TRUE(),8030,"")</f>
        <v/>
      </c>
      <c r="BJ27" s="10" t="str">
        <f>IF($T$6=TRUE(),8714.3,"")</f>
        <v/>
      </c>
      <c r="BK27" s="10" t="str">
        <f>IF($T$6=TRUE(),9186.7,"")</f>
        <v/>
      </c>
      <c r="BL27" s="10" t="str">
        <f>IF($T$6=TRUE(),9482,"")</f>
        <v/>
      </c>
      <c r="BM27" s="10" t="str">
        <f>IF($T$6=TRUE(),9727.2,"")</f>
        <v/>
      </c>
      <c r="BN27" s="11"/>
      <c r="BO27" s="11"/>
    </row>
    <row r="28" spans="1:67" ht="15" customHeight="1">
      <c r="A28" s="12" t="s">
        <v>116</v>
      </c>
      <c r="B28" s="13" t="str">
        <f>IF($U$6=TRUE(),239.7,"")</f>
        <v/>
      </c>
      <c r="C28" s="13" t="str">
        <f>IF($U$6=TRUE(),242,"")</f>
        <v/>
      </c>
      <c r="D28" s="13" t="str">
        <f>IF($U$6=TRUE(),242.5,"")</f>
        <v/>
      </c>
      <c r="E28" s="13" t="str">
        <f>IF($U$6=TRUE(),243,"")</f>
        <v/>
      </c>
      <c r="F28" s="13" t="str">
        <f>IF($U$6=TRUE(),276.6,"")</f>
        <v/>
      </c>
      <c r="G28" s="13" t="str">
        <f>IF($U$6=TRUE(),277.4,"")</f>
        <v/>
      </c>
      <c r="H28" s="13" t="str">
        <f>IF($U$6=TRUE(),290.6,"")</f>
        <v/>
      </c>
      <c r="I28" s="13" t="str">
        <f>IF($U$6=TRUE(),305.5,"")</f>
        <v/>
      </c>
      <c r="J28" s="13" t="str">
        <f>IF($U$6=TRUE(),327.2,"")</f>
        <v/>
      </c>
      <c r="K28" s="13" t="str">
        <f>IF($U$6=TRUE(),327.7,"")</f>
        <v/>
      </c>
      <c r="L28" s="13" t="str">
        <f>IF($U$6=TRUE(),328.5,"")</f>
        <v/>
      </c>
      <c r="M28" s="13" t="str">
        <f>IF($U$6=TRUE(),329.1,"")</f>
        <v/>
      </c>
      <c r="N28" s="13" t="str">
        <f>IF($U$6=TRUE(),358.4,"")</f>
        <v/>
      </c>
      <c r="O28" s="13" t="str">
        <f>IF($U$6=TRUE(),359,"")</f>
        <v/>
      </c>
      <c r="P28" s="13" t="str">
        <f>IF($U$6=TRUE(),378.7,"")</f>
        <v/>
      </c>
      <c r="Q28" s="13" t="str">
        <f>IF($U$6=TRUE(),379.1,"")</f>
        <v/>
      </c>
      <c r="R28" s="13" t="str">
        <f>IF($U$6=TRUE(),373.4,"")</f>
        <v/>
      </c>
      <c r="S28" s="13" t="str">
        <f>IF($U$6=TRUE(),373.8,"")</f>
        <v/>
      </c>
      <c r="T28" s="13" t="str">
        <f>IF($U$6=TRUE(),403.1,"")</f>
        <v/>
      </c>
      <c r="U28" s="13" t="str">
        <f>IF($U$6=TRUE(),403.3,"")</f>
        <v/>
      </c>
      <c r="V28" s="13" t="str">
        <f>IF($U$6=TRUE(),434.3,"")</f>
        <v/>
      </c>
      <c r="W28" s="13" t="str">
        <f>IF($U$6=TRUE(),434.7,"")</f>
        <v/>
      </c>
      <c r="X28" s="13" t="str">
        <f>IF($U$6=TRUE(),426.6,"")</f>
        <v/>
      </c>
      <c r="Y28" s="13" t="str">
        <f>IF($U$6=TRUE(),431,"")</f>
        <v/>
      </c>
      <c r="Z28" s="13" t="str">
        <f>IF($U$6=TRUE(),469.9,"")</f>
        <v/>
      </c>
      <c r="AA28" s="13" t="str">
        <f>IF($U$6=TRUE(),473.5,"")</f>
        <v/>
      </c>
      <c r="AB28" s="13" t="str">
        <f>IF($U$6=TRUE(),506.8,"")</f>
        <v/>
      </c>
      <c r="AC28" s="13" t="str">
        <f>IF($U$6=TRUE(),520.2,"")</f>
        <v/>
      </c>
      <c r="AD28" s="13" t="str">
        <f>IF($U$6=TRUE(),576.2,"")</f>
        <v/>
      </c>
      <c r="AE28" s="13" t="str">
        <f>IF($U$6=TRUE(),704.8,"")</f>
        <v/>
      </c>
      <c r="AF28" s="13" t="str">
        <f>IF($U$6=TRUE(),716.1,"")</f>
        <v/>
      </c>
      <c r="AG28" s="13" t="str">
        <f>IF($U$6=TRUE(),720,"")</f>
        <v/>
      </c>
      <c r="AH28" s="13" t="str">
        <f>IF($U$6=TRUE(),734.6,"")</f>
        <v/>
      </c>
      <c r="AI28" s="13" t="str">
        <f>IF($U$6=TRUE(),786,"")</f>
        <v/>
      </c>
      <c r="AJ28" s="13" t="str">
        <f>IF($U$6=TRUE(),826.3,"")</f>
        <v/>
      </c>
      <c r="AK28" s="13" t="str">
        <f>IF($U$6=TRUE(),829.6,"")</f>
        <v/>
      </c>
      <c r="AL28" s="13" t="str">
        <f>IF($U$6=TRUE(),951.3,"")</f>
        <v/>
      </c>
      <c r="AM28" s="13" t="str">
        <f>IF($U$6=TRUE(),973.1,"")</f>
        <v/>
      </c>
      <c r="AN28" s="13" t="str">
        <f>IF($U$6=TRUE(),1255.3,"")</f>
        <v/>
      </c>
      <c r="AO28" s="13" t="str">
        <f>IF($U$6=TRUE(),1361.8,"")</f>
        <v/>
      </c>
      <c r="AP28" s="13" t="str">
        <f>IF($U$6=TRUE(),1414.8,"")</f>
        <v/>
      </c>
      <c r="AQ28" s="13" t="str">
        <f>IF($U$6=TRUE(),1522.7,"")</f>
        <v/>
      </c>
      <c r="AR28" s="13" t="str">
        <f>IF($U$6=TRUE(),1633.2,"")</f>
        <v/>
      </c>
      <c r="AS28" s="13" t="str">
        <f>IF($U$6=TRUE(),1639.3,"")</f>
        <v/>
      </c>
      <c r="AT28" s="13" t="str">
        <f>IF($U$6=TRUE(),1888.5,"")</f>
        <v/>
      </c>
      <c r="AU28" s="13" t="str">
        <f>IF($U$6=TRUE(),1920.9,"")</f>
        <v/>
      </c>
      <c r="AV28" s="13" t="str">
        <f>IF($U$6=TRUE(),1828.8,"")</f>
        <v/>
      </c>
      <c r="AW28" s="13" t="str">
        <f>IF($U$6=TRUE(),1882.7,"")</f>
        <v/>
      </c>
      <c r="AX28" s="13" t="str">
        <f>IF($U$6=TRUE(),2346.1,"")</f>
        <v/>
      </c>
      <c r="AY28" s="13" t="str">
        <f>IF($U$6=TRUE(),2352.6,"")</f>
        <v/>
      </c>
      <c r="AZ28" s="13" t="str">
        <f>IF($U$6=TRUE(),2905.9,"")</f>
        <v/>
      </c>
      <c r="BA28" s="13" t="str">
        <f>IF($U$6=TRUE(),3022.2,"")</f>
        <v/>
      </c>
      <c r="BB28" s="13" t="str">
        <f>IF($U$6=TRUE(),3022.4,"")</f>
        <v/>
      </c>
      <c r="BC28" s="13" t="str">
        <f>IF($U$6=TRUE(),3022.7,"")</f>
        <v/>
      </c>
      <c r="BD28" s="13" t="str">
        <f>IF($U$6=TRUE(),3682,"")</f>
        <v/>
      </c>
      <c r="BE28" s="13" t="str">
        <f>IF($U$6=TRUE(),3740.8,"")</f>
        <v/>
      </c>
      <c r="BF28" s="13" t="str">
        <f>IF($U$6=TRUE(),4064.4,"")</f>
        <v/>
      </c>
      <c r="BG28" s="13" t="str">
        <f>IF($U$6=TRUE(),4239.6,"")</f>
        <v/>
      </c>
      <c r="BH28" s="13" t="str">
        <f>IF($U$6=TRUE(),4754.5,"")</f>
        <v/>
      </c>
      <c r="BI28" s="13" t="str">
        <f>IF($U$6=TRUE(),4774.7,"")</f>
        <v/>
      </c>
      <c r="BJ28" s="13" t="str">
        <f>IF($U$6=TRUE(),4788.8,"")</f>
        <v/>
      </c>
      <c r="BK28" s="13" t="str">
        <f>IF($U$6=TRUE(),4807,"")</f>
        <v/>
      </c>
      <c r="BL28" s="13" t="str">
        <f>IF($U$6=TRUE(),4814.1,"")</f>
        <v/>
      </c>
      <c r="BM28" s="13" t="str">
        <f>IF($U$6=TRUE(),4819.6,"")</f>
        <v/>
      </c>
      <c r="BN28" s="14"/>
      <c r="BO28" s="14"/>
    </row>
    <row r="29" spans="1:67" ht="15" customHeight="1">
      <c r="A29" s="9" t="s">
        <v>117</v>
      </c>
      <c r="B29" s="10" t="str">
        <f>IF($V$6=TRUE(),263.9,"")</f>
        <v/>
      </c>
      <c r="C29" s="10" t="str">
        <f>IF($V$6=TRUE(),264.4,"")</f>
        <v/>
      </c>
      <c r="D29" s="10" t="str">
        <f>IF($V$6=TRUE(),264.8,"")</f>
        <v/>
      </c>
      <c r="E29" s="10" t="str">
        <f>IF($V$6=TRUE(),265.3,"")</f>
        <v/>
      </c>
      <c r="F29" s="10" t="str">
        <f>IF($V$6=TRUE(),333.5,"")</f>
        <v/>
      </c>
      <c r="G29" s="10" t="str">
        <f>IF($V$6=TRUE(),366,"")</f>
        <v/>
      </c>
      <c r="H29" s="10" t="str">
        <f>IF($V$6=TRUE(),522.4,"")</f>
        <v/>
      </c>
      <c r="I29" s="10" t="str">
        <f>IF($V$6=TRUE(),523,"")</f>
        <v/>
      </c>
      <c r="J29" s="10" t="str">
        <f>IF($V$6=TRUE(),546.2,"")</f>
        <v/>
      </c>
      <c r="K29" s="10" t="str">
        <f>IF($V$6=TRUE(),546.8,"")</f>
        <v/>
      </c>
      <c r="L29" s="10" t="str">
        <f>IF($V$6=TRUE(),548,"")</f>
        <v/>
      </c>
      <c r="M29" s="10" t="str">
        <f>IF($V$6=TRUE(),548.8,"")</f>
        <v/>
      </c>
      <c r="N29" s="10" t="str">
        <f>IF($V$6=TRUE(),577.7,"")</f>
        <v/>
      </c>
      <c r="O29" s="10" t="str">
        <f>IF($V$6=TRUE(),578.4,"")</f>
        <v/>
      </c>
      <c r="P29" s="10" t="str">
        <f>IF($V$6=TRUE(),573.3,"")</f>
        <v/>
      </c>
      <c r="Q29" s="10" t="str">
        <f>IF($V$6=TRUE(),573.8,"")</f>
        <v/>
      </c>
      <c r="R29" s="10" t="str">
        <f>IF($V$6=TRUE(),595.4,"")</f>
        <v/>
      </c>
      <c r="S29" s="10" t="str">
        <f>IF($V$6=TRUE(),595.8,"")</f>
        <v/>
      </c>
      <c r="T29" s="10" t="str">
        <f>IF($V$6=TRUE(),606.4,"")</f>
        <v/>
      </c>
      <c r="U29" s="10" t="str">
        <f>IF($V$6=TRUE(),606.7,"")</f>
        <v/>
      </c>
      <c r="V29" s="10" t="str">
        <f>IF($V$6=TRUE(),610.1,"")</f>
        <v/>
      </c>
      <c r="W29" s="10" t="str">
        <f>IF($V$6=TRUE(),610.5,"")</f>
        <v/>
      </c>
      <c r="X29" s="10" t="str">
        <f>IF($V$6=TRUE(),610.9,"")</f>
        <v/>
      </c>
      <c r="Y29" s="10" t="str">
        <f>IF($V$6=TRUE(),611.3,"")</f>
        <v/>
      </c>
      <c r="Z29" s="10" t="str">
        <f>IF($V$6=TRUE(),657.5,"")</f>
        <v/>
      </c>
      <c r="AA29" s="10" t="str">
        <f>IF($V$6=TRUE(),657.9,"")</f>
        <v/>
      </c>
      <c r="AB29" s="10" t="str">
        <f>IF($V$6=TRUE(),658.6,"")</f>
        <v/>
      </c>
      <c r="AC29" s="10" t="str">
        <f>IF($V$6=TRUE(),659.1,"")</f>
        <v/>
      </c>
      <c r="AD29" s="10" t="str">
        <f>IF($V$6=TRUE(),769.3,"")</f>
        <v/>
      </c>
      <c r="AE29" s="10" t="str">
        <f>IF($V$6=TRUE(),890.3,"")</f>
        <v/>
      </c>
      <c r="AF29" s="10" t="str">
        <f>IF($V$6=TRUE(),1068.2,"")</f>
        <v/>
      </c>
      <c r="AG29" s="10" t="str">
        <f>IF($V$6=TRUE(),1186.8,"")</f>
        <v/>
      </c>
      <c r="AH29" s="10" t="str">
        <f>IF($V$6=TRUE(),1188,"")</f>
        <v/>
      </c>
      <c r="AI29" s="10" t="str">
        <f>IF($V$6=TRUE(),1190.1,"")</f>
        <v/>
      </c>
      <c r="AJ29" s="10" t="str">
        <f>IF($V$6=TRUE(),1457.5,"")</f>
        <v/>
      </c>
      <c r="AK29" s="10" t="str">
        <f>IF($V$6=TRUE(),1461.4,"")</f>
        <v/>
      </c>
      <c r="AL29" s="10" t="str">
        <f>IF($V$6=TRUE(),1562.5,"")</f>
        <v/>
      </c>
      <c r="AM29" s="10" t="str">
        <f>IF($V$6=TRUE(),1564.9,"")</f>
        <v/>
      </c>
      <c r="AN29" s="10" t="str">
        <f>IF($V$6=TRUE(),1997.6,"")</f>
        <v/>
      </c>
      <c r="AO29" s="10" t="str">
        <f>IF($V$6=TRUE(),2112.5,"")</f>
        <v/>
      </c>
      <c r="AP29" s="10" t="str">
        <f>IF($V$6=TRUE(),2290.5,"")</f>
        <v/>
      </c>
      <c r="AQ29" s="10" t="str">
        <f>IF($V$6=TRUE(),2411.4,"")</f>
        <v/>
      </c>
      <c r="AR29" s="10" t="str">
        <f>IF($V$6=TRUE(),2776.4,"")</f>
        <v/>
      </c>
      <c r="AS29" s="10" t="str">
        <f>IF($V$6=TRUE(),2783.5,"")</f>
        <v/>
      </c>
      <c r="AT29" s="10" t="str">
        <f>IF($V$6=TRUE(),2960.1,"")</f>
        <v/>
      </c>
      <c r="AU29" s="10" t="str">
        <f>IF($V$6=TRUE(),3237.3,"")</f>
        <v/>
      </c>
      <c r="AV29" s="10" t="str">
        <f>IF($V$6=TRUE(),3552.2,"")</f>
        <v/>
      </c>
      <c r="AW29" s="10" t="str">
        <f>IF($V$6=TRUE(),3554.8,"")</f>
        <v/>
      </c>
      <c r="AX29" s="10" t="str">
        <f>IF($V$6=TRUE(),4197.7,"")</f>
        <v/>
      </c>
      <c r="AY29" s="10" t="str">
        <f>IF($V$6=TRUE(),4357.6,"")</f>
        <v/>
      </c>
      <c r="AZ29" s="10" t="str">
        <f>IF($V$6=TRUE(),4446.7,"")</f>
        <v/>
      </c>
      <c r="BA29" s="10" t="str">
        <f>IF($V$6=TRUE(),5376.7,"")</f>
        <v/>
      </c>
      <c r="BB29" s="10" t="str">
        <f>IF($V$6=TRUE(),5376.8,"")</f>
        <v/>
      </c>
      <c r="BC29" s="10" t="str">
        <f>IF($V$6=TRUE(),5376.9,"")</f>
        <v/>
      </c>
      <c r="BD29" s="10" t="str">
        <f>IF($V$6=TRUE(),6257.9,"")</f>
        <v/>
      </c>
      <c r="BE29" s="10" t="str">
        <f>IF($V$6=TRUE(),6272.5,"")</f>
        <v/>
      </c>
      <c r="BF29" s="10" t="str">
        <f>IF($V$6=TRUE(),6282.9,"")</f>
        <v/>
      </c>
      <c r="BG29" s="10" t="str">
        <f>IF($V$6=TRUE(),6618.6,"")</f>
        <v/>
      </c>
      <c r="BH29" s="10" t="str">
        <f>IF($V$6=TRUE(),7732.8,"")</f>
        <v/>
      </c>
      <c r="BI29" s="10" t="str">
        <f>IF($V$6=TRUE(),8095.9,"")</f>
        <v/>
      </c>
      <c r="BJ29" s="10" t="str">
        <f>IF($V$6=TRUE(),8676.1,"")</f>
        <v/>
      </c>
      <c r="BK29" s="10" t="str">
        <f>IF($V$6=TRUE(),10079.5,"")</f>
        <v/>
      </c>
      <c r="BL29" s="10" t="str">
        <f>IF($V$6=TRUE(),10085.8,"")</f>
        <v/>
      </c>
      <c r="BM29" s="10" t="str">
        <f>IF($V$6=TRUE(),10242.3,"")</f>
        <v/>
      </c>
      <c r="BN29" s="11"/>
      <c r="BO29" s="11"/>
    </row>
    <row r="30" spans="1:67" ht="15" customHeight="1">
      <c r="A30" s="12" t="s">
        <v>118</v>
      </c>
      <c r="B30" s="13" t="str">
        <f>IF($W$6=TRUE(),174.9,"")</f>
        <v/>
      </c>
      <c r="C30" s="13" t="str">
        <f>IF($W$6=TRUE(),175.3,"")</f>
        <v/>
      </c>
      <c r="D30" s="13" t="str">
        <f>IF($W$6=TRUE(),189.1,"")</f>
        <v/>
      </c>
      <c r="E30" s="13" t="str">
        <f>IF($W$6=TRUE(),189.7,"")</f>
        <v/>
      </c>
      <c r="F30" s="13" t="str">
        <f>IF($W$6=TRUE(),241.6,"")</f>
        <v/>
      </c>
      <c r="G30" s="13" t="str">
        <f>IF($W$6=TRUE(),264.5,"")</f>
        <v/>
      </c>
      <c r="H30" s="13" t="str">
        <f>IF($W$6=TRUE(),354,"")</f>
        <v/>
      </c>
      <c r="I30" s="13" t="str">
        <f>IF($W$6=TRUE(),412.1,"")</f>
        <v/>
      </c>
      <c r="J30" s="13" t="str">
        <f>IF($W$6=TRUE(),369.5,"")</f>
        <v/>
      </c>
      <c r="K30" s="13" t="str">
        <f>IF($W$6=TRUE(),370.1,"")</f>
        <v/>
      </c>
      <c r="L30" s="13" t="str">
        <f>IF($W$6=TRUE(),370.9,"")</f>
        <v/>
      </c>
      <c r="M30" s="13" t="str">
        <f>IF($W$6=TRUE(),371.6,"")</f>
        <v/>
      </c>
      <c r="N30" s="13" t="str">
        <f>IF($W$6=TRUE(),383.5,"")</f>
        <v/>
      </c>
      <c r="O30" s="13" t="str">
        <f>IF($W$6=TRUE(),384.2,"")</f>
        <v/>
      </c>
      <c r="P30" s="13" t="str">
        <f>IF($W$6=TRUE(),573.3,"")</f>
        <v/>
      </c>
      <c r="Q30" s="13" t="str">
        <f>IF($W$6=TRUE(),573.8,"")</f>
        <v/>
      </c>
      <c r="R30" s="13" t="str">
        <f>IF($W$6=TRUE(),415.7,"")</f>
        <v/>
      </c>
      <c r="S30" s="13" t="str">
        <f>IF($W$6=TRUE(),416,"")</f>
        <v/>
      </c>
      <c r="T30" s="13" t="str">
        <f>IF($W$6=TRUE(),416.5,"")</f>
        <v/>
      </c>
      <c r="U30" s="13" t="str">
        <f>IF($W$6=TRUE(),416.7,"")</f>
        <v/>
      </c>
      <c r="V30" s="13" t="str">
        <f>IF($W$6=TRUE(),439.9,"")</f>
        <v/>
      </c>
      <c r="W30" s="13" t="str">
        <f>IF($W$6=TRUE(),440.4,"")</f>
        <v/>
      </c>
      <c r="X30" s="13" t="str">
        <f>IF($W$6=TRUE(),420.1,"")</f>
        <v/>
      </c>
      <c r="Y30" s="13" t="str">
        <f>IF($W$6=TRUE(),420.4,"")</f>
        <v/>
      </c>
      <c r="Z30" s="13" t="str">
        <f>IF($W$6=TRUE(),438.7,"")</f>
        <v/>
      </c>
      <c r="AA30" s="13" t="str">
        <f>IF($W$6=TRUE(),458.1,"")</f>
        <v/>
      </c>
      <c r="AB30" s="13" t="str">
        <f>IF($W$6=TRUE(),450.8,"")</f>
        <v/>
      </c>
      <c r="AC30" s="13" t="str">
        <f>IF($W$6=TRUE(),451.2,"")</f>
        <v/>
      </c>
      <c r="AD30" s="13" t="str">
        <f>IF($W$6=TRUE(),506.9,"")</f>
        <v/>
      </c>
      <c r="AE30" s="13" t="str">
        <f>IF($W$6=TRUE(),551.6,"")</f>
        <v/>
      </c>
      <c r="AF30" s="13" t="str">
        <f>IF($W$6=TRUE(),553.6,"")</f>
        <v/>
      </c>
      <c r="AG30" s="13" t="str">
        <f>IF($W$6=TRUE(),554.4,"")</f>
        <v/>
      </c>
      <c r="AH30" s="13" t="str">
        <f>IF($W$6=TRUE(),720.2,"")</f>
        <v/>
      </c>
      <c r="AI30" s="13" t="str">
        <f>IF($W$6=TRUE(),764.1,"")</f>
        <v/>
      </c>
      <c r="AJ30" s="13" t="str">
        <f>IF($W$6=TRUE(),845.8,"")</f>
        <v/>
      </c>
      <c r="AK30" s="13" t="str">
        <f>IF($W$6=TRUE(),884.4,"")</f>
        <v/>
      </c>
      <c r="AL30" s="13" t="str">
        <f>IF($W$6=TRUE(),888.5,"")</f>
        <v/>
      </c>
      <c r="AM30" s="13" t="str">
        <f>IF($W$6=TRUE(),891.4,"")</f>
        <v/>
      </c>
      <c r="AN30" s="13" t="str">
        <f>IF($W$6=TRUE(),1087.5,"")</f>
        <v/>
      </c>
      <c r="AO30" s="13" t="str">
        <f>IF($W$6=TRUE(),1101.9,"")</f>
        <v/>
      </c>
      <c r="AP30" s="13" t="str">
        <f>IF($W$6=TRUE(),1168.4,"")</f>
        <v/>
      </c>
      <c r="AQ30" s="13" t="str">
        <f>IF($W$6=TRUE(),1173.9,"")</f>
        <v/>
      </c>
      <c r="AR30" s="13" t="str">
        <f>IF($W$6=TRUE(),1379.1,"")</f>
        <v/>
      </c>
      <c r="AS30" s="13" t="str">
        <f>IF($W$6=TRUE(),1559.4,"")</f>
        <v/>
      </c>
      <c r="AT30" s="13" t="str">
        <f>IF($W$6=TRUE(),1805.1,"")</f>
        <v/>
      </c>
      <c r="AU30" s="13" t="str">
        <f>IF($W$6=TRUE(),1820.1,"")</f>
        <v/>
      </c>
      <c r="AV30" s="13" t="str">
        <f>IF($W$6=TRUE(),1830.5,"")</f>
        <v/>
      </c>
      <c r="AW30" s="13" t="str">
        <f>IF($W$6=TRUE(),1850.2,"")</f>
        <v/>
      </c>
      <c r="AX30" s="13" t="str">
        <f>IF($W$6=TRUE(),2034.3,"")</f>
        <v/>
      </c>
      <c r="AY30" s="13" t="str">
        <f>IF($W$6=TRUE(),2042.4,"")</f>
        <v/>
      </c>
      <c r="AZ30" s="13" t="str">
        <f>IF($W$6=TRUE(),2062.7,"")</f>
        <v/>
      </c>
      <c r="BA30" s="13" t="str">
        <f>IF($W$6=TRUE(),2077.9,"")</f>
        <v/>
      </c>
      <c r="BB30" s="13" t="str">
        <f>IF($W$6=TRUE(),2078.3,"")</f>
        <v/>
      </c>
      <c r="BC30" s="13" t="str">
        <f>IF($W$6=TRUE(),2078.7,"")</f>
        <v/>
      </c>
      <c r="BD30" s="13" t="str">
        <f>IF($W$6=TRUE(),2463.5,"")</f>
        <v/>
      </c>
      <c r="BE30" s="13" t="str">
        <f>IF($W$6=TRUE(),2481.8,"")</f>
        <v/>
      </c>
      <c r="BF30" s="13" t="str">
        <f>IF($W$6=TRUE(),2489.6,"")</f>
        <v/>
      </c>
      <c r="BG30" s="13" t="str">
        <f>IF($W$6=TRUE(),2834.3,"")</f>
        <v/>
      </c>
      <c r="BH30" s="13" t="str">
        <f>IF($W$6=TRUE(),2928.4,"")</f>
        <v/>
      </c>
      <c r="BI30" s="13" t="str">
        <f>IF($W$6=TRUE(),2952.3,"")</f>
        <v/>
      </c>
      <c r="BJ30" s="13" t="str">
        <f>IF($W$6=TRUE(),3222.5,"")</f>
        <v/>
      </c>
      <c r="BK30" s="13" t="str">
        <f>IF($W$6=TRUE(),3533.9,"")</f>
        <v/>
      </c>
      <c r="BL30" s="13" t="str">
        <f>IF($W$6=TRUE(),3623.6,"")</f>
        <v/>
      </c>
      <c r="BM30" s="13" t="str">
        <f>IF($W$6=TRUE(),3988.2,"")</f>
        <v/>
      </c>
      <c r="BN30" s="14"/>
      <c r="BO30" s="14"/>
    </row>
    <row r="31" spans="1:67" ht="15" customHeight="1">
      <c r="A31" s="9" t="s">
        <v>119</v>
      </c>
      <c r="B31" s="10" t="str">
        <f>IF($X$6=TRUE(),221.2,"")</f>
        <v/>
      </c>
      <c r="C31" s="10" t="str">
        <f>IF($X$6=TRUE(),223.1,"")</f>
        <v/>
      </c>
      <c r="D31" s="10" t="str">
        <f>IF($X$6=TRUE(),224.9,"")</f>
        <v/>
      </c>
      <c r="E31" s="10" t="str">
        <f>IF($X$6=TRUE(),269.2,"")</f>
        <v/>
      </c>
      <c r="F31" s="10" t="str">
        <f>IF($X$6=TRUE(),317.8,"")</f>
        <v/>
      </c>
      <c r="G31" s="10" t="str">
        <f>IF($X$6=TRUE(),356,"")</f>
        <v/>
      </c>
      <c r="H31" s="10" t="str">
        <f>IF($X$6=TRUE(),451.3,"")</f>
        <v/>
      </c>
      <c r="I31" s="10" t="str">
        <f>IF($X$6=TRUE(),478.8,"")</f>
        <v/>
      </c>
      <c r="J31" s="10" t="str">
        <f>IF($X$6=TRUE(),530,"")</f>
        <v/>
      </c>
      <c r="K31" s="10" t="str">
        <f>IF($X$6=TRUE(),532.5,"")</f>
        <v/>
      </c>
      <c r="L31" s="10" t="str">
        <f>IF($X$6=TRUE(),536.2,"")</f>
        <v/>
      </c>
      <c r="M31" s="10" t="str">
        <f>IF($X$6=TRUE(),539.4,"")</f>
        <v/>
      </c>
      <c r="N31" s="10" t="str">
        <f>IF($X$6=TRUE(),600,"")</f>
        <v/>
      </c>
      <c r="O31" s="10" t="str">
        <f>IF($X$6=TRUE(),602.9,"")</f>
        <v/>
      </c>
      <c r="P31" s="10" t="str">
        <f>IF($X$6=TRUE(),605.8,"")</f>
        <v/>
      </c>
      <c r="Q31" s="10" t="str">
        <f>IF($X$6=TRUE(),607.5,"")</f>
        <v/>
      </c>
      <c r="R31" s="10" t="str">
        <f>IF($X$6=TRUE(),621.1,"")</f>
        <v/>
      </c>
      <c r="S31" s="10" t="str">
        <f>IF($X$6=TRUE(),623.1,"")</f>
        <v/>
      </c>
      <c r="T31" s="10" t="str">
        <f>IF($X$6=TRUE(),625.3,"")</f>
        <v/>
      </c>
      <c r="U31" s="10" t="str">
        <f>IF($X$6=TRUE(),626.4,"")</f>
        <v/>
      </c>
      <c r="V31" s="10" t="str">
        <f>IF($X$6=TRUE(),639.2,"")</f>
        <v/>
      </c>
      <c r="W31" s="10" t="str">
        <f>IF($X$6=TRUE(),641.3,"")</f>
        <v/>
      </c>
      <c r="X31" s="10" t="str">
        <f>IF($X$6=TRUE(),665.2,"")</f>
        <v/>
      </c>
      <c r="Y31" s="10" t="str">
        <f>IF($X$6=TRUE(),671.1,"")</f>
        <v/>
      </c>
      <c r="Z31" s="10" t="str">
        <f>IF($X$6=TRUE(),734.2,"")</f>
        <v/>
      </c>
      <c r="AA31" s="10" t="str">
        <f>IF($X$6=TRUE(),760.2,"")</f>
        <v/>
      </c>
      <c r="AB31" s="10" t="str">
        <f>IF($X$6=TRUE(),786.9,"")</f>
        <v/>
      </c>
      <c r="AC31" s="10" t="str">
        <f>IF($X$6=TRUE(),812.5,"")</f>
        <v/>
      </c>
      <c r="AD31" s="10" t="str">
        <f>IF($X$6=TRUE(),932.9,"")</f>
        <v/>
      </c>
      <c r="AE31" s="10" t="str">
        <f>IF($X$6=TRUE(),1213.1,"")</f>
        <v/>
      </c>
      <c r="AF31" s="10" t="str">
        <f>IF($X$6=TRUE(),1338.1,"")</f>
        <v/>
      </c>
      <c r="AG31" s="10" t="str">
        <f>IF($X$6=TRUE(),1518.4,"")</f>
        <v/>
      </c>
      <c r="AH31" s="10" t="str">
        <f>IF($X$6=TRUE(),1524.3,"")</f>
        <v/>
      </c>
      <c r="AI31" s="10" t="str">
        <f>IF($X$6=TRUE(),1534.8,"")</f>
        <v/>
      </c>
      <c r="AJ31" s="10" t="str">
        <f>IF($X$6=TRUE(),1778.3,"")</f>
        <v/>
      </c>
      <c r="AK31" s="10" t="str">
        <f>IF($X$6=TRUE(),1644.5,"")</f>
        <v/>
      </c>
      <c r="AL31" s="10" t="str">
        <f>IF($X$6=TRUE(),1872.4,"")</f>
        <v/>
      </c>
      <c r="AM31" s="10" t="str">
        <f>IF($X$6=TRUE(),2007.1,"")</f>
        <v/>
      </c>
      <c r="AN31" s="10" t="str">
        <f>IF($X$6=TRUE(),2224.9,"")</f>
        <v/>
      </c>
      <c r="AO31" s="10" t="str">
        <f>IF($X$6=TRUE(),2626.5,"")</f>
        <v/>
      </c>
      <c r="AP31" s="10" t="str">
        <f>IF($X$6=TRUE(),2902.4,"")</f>
        <v/>
      </c>
      <c r="AQ31" s="10" t="str">
        <f>IF($X$6=TRUE(),3397.8,"")</f>
        <v/>
      </c>
      <c r="AR31" s="10" t="str">
        <f>IF($X$6=TRUE(),3926.2,"")</f>
        <v/>
      </c>
      <c r="AS31" s="10" t="str">
        <f>IF($X$6=TRUE(),3776,"")</f>
        <v/>
      </c>
      <c r="AT31" s="10" t="str">
        <f>IF($X$6=TRUE(),4158.7,"")</f>
        <v/>
      </c>
      <c r="AU31" s="10" t="str">
        <f>IF($X$6=TRUE(),4216.8,"")</f>
        <v/>
      </c>
      <c r="AV31" s="10" t="str">
        <f>IF($X$6=TRUE(),4262,"")</f>
        <v/>
      </c>
      <c r="AW31" s="10" t="str">
        <f>IF($X$6=TRUE(),4312.1,"")</f>
        <v/>
      </c>
      <c r="AX31" s="10" t="str">
        <f>IF($X$6=TRUE(),4903,"")</f>
        <v/>
      </c>
      <c r="AY31" s="10" t="str">
        <f>IF($X$6=TRUE(),5172.6,"")</f>
        <v/>
      </c>
      <c r="AZ31" s="10" t="str">
        <f>IF($X$6=TRUE(),5279.9,"")</f>
        <v/>
      </c>
      <c r="BA31" s="10" t="str">
        <f>IF($X$6=TRUE(),5750.9,"")</f>
        <v/>
      </c>
      <c r="BB31" s="10" t="str">
        <f>IF($X$6=TRUE(),5752.5,"")</f>
        <v/>
      </c>
      <c r="BC31" s="10" t="str">
        <f>IF($X$6=TRUE(),5753.8,"")</f>
        <v/>
      </c>
      <c r="BD31" s="10" t="str">
        <f>IF($X$6=TRUE(),6047.8,"")</f>
        <v/>
      </c>
      <c r="BE31" s="10" t="str">
        <f>IF($X$6=TRUE(),6121.3,"")</f>
        <v/>
      </c>
      <c r="BF31" s="10" t="str">
        <f>IF($X$6=TRUE(),7241.3,"")</f>
        <v/>
      </c>
      <c r="BG31" s="10" t="str">
        <f>IF($X$6=TRUE(),7281.3,"")</f>
        <v/>
      </c>
      <c r="BH31" s="10" t="str">
        <f>IF($X$6=TRUE(),8676.3,"")</f>
        <v/>
      </c>
      <c r="BI31" s="10" t="str">
        <f>IF($X$6=TRUE(),8425.4,"")</f>
        <v/>
      </c>
      <c r="BJ31" s="10" t="str">
        <f>IF($X$6=TRUE(),9045.4,"")</f>
        <v/>
      </c>
      <c r="BK31" s="10" t="str">
        <f>IF($X$6=TRUE(),10139.6,"")</f>
        <v/>
      </c>
      <c r="BL31" s="10" t="str">
        <f>IF($X$6=TRUE(),10178.7,"")</f>
        <v/>
      </c>
      <c r="BM31" s="10" t="str">
        <f>IF($X$6=TRUE(),10206.5,"")</f>
        <v/>
      </c>
      <c r="BN31" s="11"/>
      <c r="BO31" s="11"/>
    </row>
    <row r="32" spans="1:67" ht="15" customHeight="1">
      <c r="A32" s="12" t="s">
        <v>120</v>
      </c>
      <c r="B32" s="13" t="str">
        <f>IF($Y$6=TRUE(),255.1,"")</f>
        <v/>
      </c>
      <c r="C32" s="13" t="str">
        <f>IF($Y$6=TRUE(),255.7,"")</f>
        <v/>
      </c>
      <c r="D32" s="13" t="str">
        <f>IF($Y$6=TRUE(),255.5,"")</f>
        <v/>
      </c>
      <c r="E32" s="13" t="str">
        <f>IF($Y$6=TRUE(),256.3,"")</f>
        <v/>
      </c>
      <c r="F32" s="13" t="str">
        <f>IF($Y$6=TRUE(),295.6,"")</f>
        <v/>
      </c>
      <c r="G32" s="13" t="str">
        <f>IF($Y$6=TRUE(),306.3,"")</f>
        <v/>
      </c>
      <c r="H32" s="13" t="str">
        <f>IF($Y$6=TRUE(),344.5,"")</f>
        <v/>
      </c>
      <c r="I32" s="13" t="str">
        <f>IF($Y$6=TRUE(),346.4,"")</f>
        <v/>
      </c>
      <c r="J32" s="13" t="str">
        <f>IF($Y$6=TRUE(),372,"")</f>
        <v/>
      </c>
      <c r="K32" s="13" t="str">
        <f>IF($Y$6=TRUE(),383,"")</f>
        <v/>
      </c>
      <c r="L32" s="13" t="str">
        <f>IF($Y$6=TRUE(),426.3,"")</f>
        <v/>
      </c>
      <c r="M32" s="13" t="str">
        <f>IF($Y$6=TRUE(),427.7,"")</f>
        <v/>
      </c>
      <c r="N32" s="13" t="str">
        <f>IF($Y$6=TRUE(),452.9,"")</f>
        <v/>
      </c>
      <c r="O32" s="13" t="str">
        <f>IF($Y$6=TRUE(),454,"")</f>
        <v/>
      </c>
      <c r="P32" s="13" t="str">
        <f>IF($Y$6=TRUE(),464.6,"")</f>
        <v/>
      </c>
      <c r="Q32" s="13" t="str">
        <f>IF($Y$6=TRUE(),465.5,"")</f>
        <v/>
      </c>
      <c r="R32" s="13" t="str">
        <f>IF($Y$6=TRUE(),500.9,"")</f>
        <v/>
      </c>
      <c r="S32" s="13" t="str">
        <f>IF($Y$6=TRUE(),501.6,"")</f>
        <v/>
      </c>
      <c r="T32" s="13" t="str">
        <f>IF($Y$6=TRUE(),501.9,"")</f>
        <v/>
      </c>
      <c r="U32" s="13" t="str">
        <f>IF($Y$6=TRUE(),502.4,"")</f>
        <v/>
      </c>
      <c r="V32" s="13" t="str">
        <f>IF($Y$6=TRUE(),520.3,"")</f>
        <v/>
      </c>
      <c r="W32" s="13" t="str">
        <f>IF($Y$6=TRUE(),521,"")</f>
        <v/>
      </c>
      <c r="X32" s="13" t="str">
        <f>IF($Y$6=TRUE(),528,"")</f>
        <v/>
      </c>
      <c r="Y32" s="13" t="str">
        <f>IF($Y$6=TRUE(),530.2,"")</f>
        <v/>
      </c>
      <c r="Z32" s="13" t="str">
        <f>IF($Y$6=TRUE(),548.4,"")</f>
        <v/>
      </c>
      <c r="AA32" s="13" t="str">
        <f>IF($Y$6=TRUE(),549,"")</f>
        <v/>
      </c>
      <c r="AB32" s="13" t="str">
        <f>IF($Y$6=TRUE(),574,"")</f>
        <v/>
      </c>
      <c r="AC32" s="13" t="str">
        <f>IF($Y$6=TRUE(),574.8,"")</f>
        <v/>
      </c>
      <c r="AD32" s="13" t="str">
        <f>IF($Y$6=TRUE(),630.5,"")</f>
        <v/>
      </c>
      <c r="AE32" s="13" t="str">
        <f>IF($Y$6=TRUE(),677.6,"")</f>
        <v/>
      </c>
      <c r="AF32" s="13" t="str">
        <f>IF($Y$6=TRUE(),714.1,"")</f>
        <v/>
      </c>
      <c r="AG32" s="13" t="str">
        <f>IF($Y$6=TRUE(),736.9,"")</f>
        <v/>
      </c>
      <c r="AH32" s="13" t="str">
        <f>IF($Y$6=TRUE(),891.9,"")</f>
        <v/>
      </c>
      <c r="AI32" s="13" t="str">
        <f>IF($Y$6=TRUE(),895.5,"")</f>
        <v/>
      </c>
      <c r="AJ32" s="13" t="str">
        <f>IF($Y$6=TRUE(),1128.5,"")</f>
        <v/>
      </c>
      <c r="AK32" s="13" t="str">
        <f>IF($Y$6=TRUE(),1098.9,"")</f>
        <v/>
      </c>
      <c r="AL32" s="13" t="str">
        <f>IF($Y$6=TRUE(),1193.2,"")</f>
        <v/>
      </c>
      <c r="AM32" s="13" t="str">
        <f>IF($Y$6=TRUE(),1208.2,"")</f>
        <v/>
      </c>
      <c r="AN32" s="13" t="str">
        <f>IF($Y$6=TRUE(),1475.3,"")</f>
        <v/>
      </c>
      <c r="AO32" s="13" t="str">
        <f>IF($Y$6=TRUE(),1747.2,"")</f>
        <v/>
      </c>
      <c r="AP32" s="13" t="str">
        <f>IF($Y$6=TRUE(),1860.1,"")</f>
        <v/>
      </c>
      <c r="AQ32" s="13" t="str">
        <f>IF($Y$6=TRUE(),1902.5,"")</f>
        <v/>
      </c>
      <c r="AR32" s="13" t="str">
        <f>IF($Y$6=TRUE(),2421.7,"")</f>
        <v/>
      </c>
      <c r="AS32" s="13" t="str">
        <f>IF($Y$6=TRUE(),2433.4,"")</f>
        <v/>
      </c>
      <c r="AT32" s="13" t="str">
        <f>IF($Y$6=TRUE(),3057.2,"")</f>
        <v/>
      </c>
      <c r="AU32" s="13" t="str">
        <f>IF($Y$6=TRUE(),3171.3,"")</f>
        <v/>
      </c>
      <c r="AV32" s="13" t="str">
        <f>IF($Y$6=TRUE(),3221.6,"")</f>
        <v/>
      </c>
      <c r="AW32" s="13" t="str">
        <f>IF($Y$6=TRUE(),3336.1,"")</f>
        <v/>
      </c>
      <c r="AX32" s="13" t="str">
        <f>IF($Y$6=TRUE(),4047.7,"")</f>
        <v/>
      </c>
      <c r="AY32" s="13" t="str">
        <f>IF($Y$6=TRUE(),4079.8,"")</f>
        <v/>
      </c>
      <c r="AZ32" s="13" t="str">
        <f>IF($Y$6=TRUE(),4420.2,"")</f>
        <v/>
      </c>
      <c r="BA32" s="13" t="str">
        <f>IF($Y$6=TRUE(),4794.4,"")</f>
        <v/>
      </c>
      <c r="BB32" s="13" t="str">
        <f>IF($Y$6=TRUE(),4795,"")</f>
        <v/>
      </c>
      <c r="BC32" s="13" t="str">
        <f>IF($Y$6=TRUE(),4795.8,"")</f>
        <v/>
      </c>
      <c r="BD32" s="13" t="str">
        <f>IF($Y$6=TRUE(),5220.2,"")</f>
        <v/>
      </c>
      <c r="BE32" s="13" t="str">
        <f>IF($Y$6=TRUE(),5430.6,"")</f>
        <v/>
      </c>
      <c r="BF32" s="13" t="str">
        <f>IF($Y$6=TRUE(),5472.1,"")</f>
        <v/>
      </c>
      <c r="BG32" s="13" t="str">
        <f>IF($Y$6=TRUE(),5489.9,"")</f>
        <v/>
      </c>
      <c r="BH32" s="13" t="str">
        <f>IF($Y$6=TRUE(),6138.6,"")</f>
        <v/>
      </c>
      <c r="BI32" s="13" t="str">
        <f>IF($Y$6=TRUE(),6186.2,"")</f>
        <v/>
      </c>
      <c r="BJ32" s="13" t="str">
        <f>IF($Y$6=TRUE(),6267.3,"")</f>
        <v/>
      </c>
      <c r="BK32" s="13" t="str">
        <f>IF($Y$6=TRUE(),6596.9,"")</f>
        <v/>
      </c>
      <c r="BL32" s="13" t="str">
        <f>IF($Y$6=TRUE(),6677.1,"")</f>
        <v/>
      </c>
      <c r="BM32" s="13" t="str">
        <f>IF($Y$6=TRUE(),6686.9,"")</f>
        <v/>
      </c>
      <c r="BN32" s="14"/>
      <c r="BO32" s="14"/>
    </row>
    <row r="33" spans="1:67" ht="15" customHeight="1">
      <c r="A33" s="9" t="s">
        <v>121</v>
      </c>
      <c r="B33" s="10" t="str">
        <f>IF($Z$6=TRUE(),209,"")</f>
        <v/>
      </c>
      <c r="C33" s="10" t="str">
        <f>IF($Z$6=TRUE(),212.6,"")</f>
        <v/>
      </c>
      <c r="D33" s="10" t="str">
        <f>IF($Z$6=TRUE(),215.8,"")</f>
        <v/>
      </c>
      <c r="E33" s="10" t="str">
        <f>IF($Z$6=TRUE(),217.2,"")</f>
        <v/>
      </c>
      <c r="F33" s="10" t="str">
        <f>IF($Z$6=TRUE(),252.1,"")</f>
        <v/>
      </c>
      <c r="G33" s="10" t="str">
        <f>IF($Z$6=TRUE(),261.3,"")</f>
        <v/>
      </c>
      <c r="H33" s="10" t="str">
        <f>IF($Z$6=TRUE(),311.9,"")</f>
        <v/>
      </c>
      <c r="I33" s="10" t="str">
        <f>IF($Z$6=TRUE(),313.5,"")</f>
        <v/>
      </c>
      <c r="J33" s="10" t="str">
        <f>IF($Z$6=TRUE(),330,"")</f>
        <v/>
      </c>
      <c r="K33" s="10" t="str">
        <f>IF($Z$6=TRUE(),331.3,"")</f>
        <v/>
      </c>
      <c r="L33" s="10" t="str">
        <f>IF($Z$6=TRUE(),332.7,"")</f>
        <v/>
      </c>
      <c r="M33" s="10" t="str">
        <f>IF($Z$6=TRUE(),335.1,"")</f>
        <v/>
      </c>
      <c r="N33" s="10" t="str">
        <f>IF($Z$6=TRUE(),349.8,"")</f>
        <v/>
      </c>
      <c r="O33" s="10" t="str">
        <f>IF($Z$6=TRUE(),351.9,"")</f>
        <v/>
      </c>
      <c r="P33" s="10" t="str">
        <f>IF($Z$6=TRUE(),355.1,"")</f>
        <v/>
      </c>
      <c r="Q33" s="10" t="str">
        <f>IF($Z$6=TRUE(),356.5,"")</f>
        <v/>
      </c>
      <c r="R33" s="10" t="str">
        <f>IF($Z$6=TRUE(),366.9,"")</f>
        <v/>
      </c>
      <c r="S33" s="10" t="str">
        <f>IF($Z$6=TRUE(),368.1,"")</f>
        <v/>
      </c>
      <c r="T33" s="10" t="str">
        <f>IF($Z$6=TRUE(),369.4,"")</f>
        <v/>
      </c>
      <c r="U33" s="10" t="str">
        <f>IF($Z$6=TRUE(),370.2,"")</f>
        <v/>
      </c>
      <c r="V33" s="10" t="str">
        <f>IF($Z$6=TRUE(),381.1,"")</f>
        <v/>
      </c>
      <c r="W33" s="10" t="str">
        <f>IF($Z$6=TRUE(),382.4,"")</f>
        <v/>
      </c>
      <c r="X33" s="10" t="str">
        <f>IF($Z$6=TRUE(),386.9,"")</f>
        <v/>
      </c>
      <c r="Y33" s="10" t="str">
        <f>IF($Z$6=TRUE(),388,"")</f>
        <v/>
      </c>
      <c r="Z33" s="10" t="str">
        <f>IF($Z$6=TRUE(),414,"")</f>
        <v/>
      </c>
      <c r="AA33" s="10" t="str">
        <f>IF($Z$6=TRUE(),424.1,"")</f>
        <v/>
      </c>
      <c r="AB33" s="10" t="str">
        <f>IF($Z$6=TRUE(),435.6,"")</f>
        <v/>
      </c>
      <c r="AC33" s="10" t="str">
        <f>IF($Z$6=TRUE(),437.5,"")</f>
        <v/>
      </c>
      <c r="AD33" s="10" t="str">
        <f>IF($Z$6=TRUE(),489.1,"")</f>
        <v/>
      </c>
      <c r="AE33" s="10" t="str">
        <f>IF($Z$6=TRUE(),513.4,"")</f>
        <v/>
      </c>
      <c r="AF33" s="10" t="str">
        <f>IF($Z$6=TRUE(),531.2,"")</f>
        <v/>
      </c>
      <c r="AG33" s="10" t="str">
        <f>IF($Z$6=TRUE(),538.5,"")</f>
        <v/>
      </c>
      <c r="AH33" s="10" t="str">
        <f>IF($Z$6=TRUE(),543.9,"")</f>
        <v/>
      </c>
      <c r="AI33" s="10" t="str">
        <f>IF($Z$6=TRUE(),549.4,"")</f>
        <v/>
      </c>
      <c r="AJ33" s="10" t="str">
        <f>IF($Z$6=TRUE(),603.7,"")</f>
        <v/>
      </c>
      <c r="AK33" s="10" t="str">
        <f>IF($Z$6=TRUE(),612.8,"")</f>
        <v/>
      </c>
      <c r="AL33" s="10" t="str">
        <f>IF($Z$6=TRUE(),623.4,"")</f>
        <v/>
      </c>
      <c r="AM33" s="10" t="str">
        <f>IF($Z$6=TRUE(),632.7,"")</f>
        <v/>
      </c>
      <c r="AN33" s="10" t="str">
        <f>IF($Z$6=TRUE(),697.2,"")</f>
        <v/>
      </c>
      <c r="AO33" s="10" t="str">
        <f>IF($Z$6=TRUE(),758.4,"")</f>
        <v/>
      </c>
      <c r="AP33" s="10" t="str">
        <f>IF($Z$6=TRUE(),761.9,"")</f>
        <v/>
      </c>
      <c r="AQ33" s="10" t="str">
        <f>IF($Z$6=TRUE(),778.6,"")</f>
        <v/>
      </c>
      <c r="AR33" s="10" t="str">
        <f>IF($Z$6=TRUE(),1090,"")</f>
        <v/>
      </c>
      <c r="AS33" s="10" t="str">
        <f>IF($Z$6=TRUE(),1159.9,"")</f>
        <v/>
      </c>
      <c r="AT33" s="10" t="str">
        <f>IF($Z$6=TRUE(),1651.9,"")</f>
        <v/>
      </c>
      <c r="AU33" s="10" t="str">
        <f>IF($Z$6=TRUE(),1731.4,"")</f>
        <v/>
      </c>
      <c r="AV33" s="10" t="str">
        <f>IF($Z$6=TRUE(),1730.7,"")</f>
        <v/>
      </c>
      <c r="AW33" s="10" t="str">
        <f>IF($Z$6=TRUE(),1758.8,"")</f>
        <v/>
      </c>
      <c r="AX33" s="10" t="str">
        <f>IF($Z$6=TRUE(),2159.8,"")</f>
        <v/>
      </c>
      <c r="AY33" s="10" t="str">
        <f>IF($Z$6=TRUE(),2248.7,"")</f>
        <v/>
      </c>
      <c r="AZ33" s="10" t="str">
        <f>IF($Z$6=TRUE(),2715.7,"")</f>
        <v/>
      </c>
      <c r="BA33" s="10" t="str">
        <f>IF($Z$6=TRUE(),2840.7,"")</f>
        <v/>
      </c>
      <c r="BB33" s="10" t="str">
        <f>IF($Z$6=TRUE(),2848,"")</f>
        <v/>
      </c>
      <c r="BC33" s="10" t="str">
        <f>IF($Z$6=TRUE(),3389.7,"")</f>
        <v/>
      </c>
      <c r="BD33" s="10" t="str">
        <f>IF($Z$6=TRUE(),3762.9,"")</f>
        <v/>
      </c>
      <c r="BE33" s="10" t="str">
        <f>IF($Z$6=TRUE(),3927.5,"")</f>
        <v/>
      </c>
      <c r="BF33" s="10" t="str">
        <f>IF($Z$6=TRUE(),4335.2,"")</f>
        <v/>
      </c>
      <c r="BG33" s="10" t="str">
        <f>IF($Z$6=TRUE(),4384.9,"")</f>
        <v/>
      </c>
      <c r="BH33" s="10" t="str">
        <f>IF($Z$6=TRUE(),4902.5,"")</f>
        <v/>
      </c>
      <c r="BI33" s="10" t="str">
        <f>IF($Z$6=TRUE(),5085.2,"")</f>
        <v/>
      </c>
      <c r="BJ33" s="10" t="str">
        <f>IF($Z$6=TRUE(),5525.3,"")</f>
        <v/>
      </c>
      <c r="BK33" s="10" t="str">
        <f>IF($Z$6=TRUE(),5777.5,"")</f>
        <v/>
      </c>
      <c r="BL33" s="10" t="str">
        <f>IF($Z$6=TRUE(),5810.2,"")</f>
        <v/>
      </c>
      <c r="BM33" s="10" t="str">
        <f>IF($Z$6=TRUE(),6086,"")</f>
        <v/>
      </c>
      <c r="BN33" s="11"/>
      <c r="BO33" s="11"/>
    </row>
    <row r="34" spans="1:67" ht="15" customHeight="1">
      <c r="A34" s="12" t="s">
        <v>353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spans="1:67" ht="15" customHeight="1">
      <c r="A35" s="9" t="s">
        <v>122</v>
      </c>
      <c r="B35" s="10" t="str">
        <f>IF($AB$6=TRUE(),208.2,"")</f>
        <v/>
      </c>
      <c r="C35" s="10" t="str">
        <f>IF($AB$6=TRUE(),208.6,"")</f>
        <v/>
      </c>
      <c r="D35" s="10" t="str">
        <f>IF($AB$6=TRUE(),228.4,"")</f>
        <v/>
      </c>
      <c r="E35" s="10" t="str">
        <f>IF($AB$6=TRUE(),228.8,"")</f>
        <v/>
      </c>
      <c r="F35" s="10" t="str">
        <f>IF($AB$6=TRUE(),291.7,"")</f>
        <v/>
      </c>
      <c r="G35" s="10" t="str">
        <f>IF($AB$6=TRUE(),308.8,"")</f>
        <v/>
      </c>
      <c r="H35" s="10" t="str">
        <f>IF($AB$6=TRUE(),381.3,"")</f>
        <v/>
      </c>
      <c r="I35" s="10" t="str">
        <f>IF($AB$6=TRUE(),465.2,"")</f>
        <v/>
      </c>
      <c r="J35" s="10" t="str">
        <f>IF($AB$6=TRUE(),467.5,"")</f>
        <v/>
      </c>
      <c r="K35" s="10" t="str">
        <f>IF($AB$6=TRUE(),468,"")</f>
        <v/>
      </c>
      <c r="L35" s="10" t="str">
        <f>IF($AB$6=TRUE(),468.7,"")</f>
        <v/>
      </c>
      <c r="M35" s="10" t="str">
        <f>IF($AB$6=TRUE(),469.4,"")</f>
        <v/>
      </c>
      <c r="N35" s="10" t="str">
        <f>IF($AB$6=TRUE(),495,"")</f>
        <v/>
      </c>
      <c r="O35" s="10" t="str">
        <f>IF($AB$6=TRUE(),495.5,"")</f>
        <v/>
      </c>
      <c r="P35" s="10" t="str">
        <f>IF($AB$6=TRUE(),518.1,"")</f>
        <v/>
      </c>
      <c r="Q35" s="10" t="str">
        <f>IF($AB$6=TRUE(),518.5,"")</f>
        <v/>
      </c>
      <c r="R35" s="10" t="str">
        <f>IF($AB$6=TRUE(),521.2,"")</f>
        <v/>
      </c>
      <c r="S35" s="10" t="str">
        <f>IF($AB$6=TRUE(),521.4,"")</f>
        <v/>
      </c>
      <c r="T35" s="10" t="str">
        <f>IF($AB$6=TRUE(),521.6,"")</f>
        <v/>
      </c>
      <c r="U35" s="10" t="str">
        <f>IF($AB$6=TRUE(),521.8,"")</f>
        <v/>
      </c>
      <c r="V35" s="10" t="str">
        <f>IF($AB$6=TRUE(),524.3,"")</f>
        <v/>
      </c>
      <c r="W35" s="10" t="str">
        <f>IF($AB$6=TRUE(),524.6,"")</f>
        <v/>
      </c>
      <c r="X35" s="10" t="str">
        <f>IF($AB$6=TRUE(),549.4,"")</f>
        <v/>
      </c>
      <c r="Y35" s="10" t="str">
        <f>IF($AB$6=TRUE(),549.7,"")</f>
        <v/>
      </c>
      <c r="Z35" s="10" t="str">
        <f>IF($AB$6=TRUE(),578.3,"")</f>
        <v/>
      </c>
      <c r="AA35" s="10" t="str">
        <f>IF($AB$6=TRUE(),604.2,"")</f>
        <v/>
      </c>
      <c r="AB35" s="10" t="str">
        <f>IF($AB$6=TRUE(),656.2,"")</f>
        <v/>
      </c>
      <c r="AC35" s="10" t="str">
        <f>IF($AB$6=TRUE(),682.3,"")</f>
        <v/>
      </c>
      <c r="AD35" s="10" t="str">
        <f>IF($AB$6=TRUE(),803.5,"")</f>
        <v/>
      </c>
      <c r="AE35" s="10" t="str">
        <f>IF($AB$6=TRUE(),851.3,"")</f>
        <v/>
      </c>
      <c r="AF35" s="10" t="str">
        <f>IF($AB$6=TRUE(),897.2,"")</f>
        <v/>
      </c>
      <c r="AG35" s="10" t="str">
        <f>IF($AB$6=TRUE(),1071.6,"")</f>
        <v/>
      </c>
      <c r="AH35" s="10" t="str">
        <f>IF($AB$6=TRUE(),1072.4,"")</f>
        <v/>
      </c>
      <c r="AI35" s="10" t="str">
        <f>IF($AB$6=TRUE(),1074.1,"")</f>
        <v/>
      </c>
      <c r="AJ35" s="10" t="str">
        <f>IF($AB$6=TRUE(),1186.4,"")</f>
        <v/>
      </c>
      <c r="AK35" s="10" t="str">
        <f>IF($AB$6=TRUE(),1189.6,"")</f>
        <v/>
      </c>
      <c r="AL35" s="10" t="str">
        <f>IF($AB$6=TRUE(),1293.5,"")</f>
        <v/>
      </c>
      <c r="AM35" s="10" t="str">
        <f>IF($AB$6=TRUE(),1397.9,"")</f>
        <v/>
      </c>
      <c r="AN35" s="10" t="str">
        <f>IF($AB$6=TRUE(),1803.3,"")</f>
        <v/>
      </c>
      <c r="AO35" s="10" t="str">
        <f>IF($AB$6=TRUE(),1915.4,"")</f>
        <v/>
      </c>
      <c r="AP35" s="10" t="str">
        <f>IF($AB$6=TRUE(),2076.4,"")</f>
        <v/>
      </c>
      <c r="AQ35" s="10" t="str">
        <f>IF($AB$6=TRUE(),2205.6,"")</f>
        <v/>
      </c>
      <c r="AR35" s="10" t="str">
        <f>IF($AB$6=TRUE(),2432.4,"")</f>
        <v/>
      </c>
      <c r="AS35" s="10" t="str">
        <f>IF($AB$6=TRUE(),2438,"")</f>
        <v/>
      </c>
      <c r="AT35" s="10" t="str">
        <f>IF($AB$6=TRUE(),2774.3,"")</f>
        <v/>
      </c>
      <c r="AU35" s="10" t="str">
        <f>IF($AB$6=TRUE(),3016.1,"")</f>
        <v/>
      </c>
      <c r="AV35" s="10" t="str">
        <f>IF($AB$6=TRUE(),3109.8,"")</f>
        <v/>
      </c>
      <c r="AW35" s="10" t="str">
        <f>IF($AB$6=TRUE(),3112.3,"")</f>
        <v/>
      </c>
      <c r="AX35" s="10" t="str">
        <f>IF($AB$6=TRUE(),3661.3,"")</f>
        <v/>
      </c>
      <c r="AY35" s="10" t="str">
        <f>IF($AB$6=TRUE(),3666.4,"")</f>
        <v/>
      </c>
      <c r="AZ35" s="10" t="str">
        <f>IF($AB$6=TRUE(),3673.7,"")</f>
        <v/>
      </c>
      <c r="BA35" s="10" t="str">
        <f>IF($AB$6=TRUE(),4315.3,"")</f>
        <v/>
      </c>
      <c r="BB35" s="10" t="str">
        <f>IF($AB$6=TRUE(),4315.3,"")</f>
        <v/>
      </c>
      <c r="BC35" s="10" t="str">
        <f>IF($AB$6=TRUE(),4315.3,"")</f>
        <v/>
      </c>
      <c r="BD35" s="10" t="str">
        <f>IF($AB$6=TRUE(),5020.6,"")</f>
        <v/>
      </c>
      <c r="BE35" s="10" t="str">
        <f>IF($AB$6=TRUE(),5031.7,"")</f>
        <v/>
      </c>
      <c r="BF35" s="10" t="str">
        <f>IF($AB$6=TRUE(),5035.3,"")</f>
        <v/>
      </c>
      <c r="BG35" s="10" t="str">
        <f>IF($AB$6=TRUE(),5293,"")</f>
        <v/>
      </c>
      <c r="BH35" s="10" t="str">
        <f>IF($AB$6=TRUE(),6253,"")</f>
        <v/>
      </c>
      <c r="BI35" s="10" t="str">
        <f>IF($AB$6=TRUE(),6611.2,"")</f>
        <v/>
      </c>
      <c r="BJ35" s="10" t="str">
        <f>IF($AB$6=TRUE(),7331.7,"")</f>
        <v/>
      </c>
      <c r="BK35" s="10" t="str">
        <f>IF($AB$6=TRUE(),8404.3,"")</f>
        <v/>
      </c>
      <c r="BL35" s="10" t="str">
        <f>IF($AB$6=TRUE(),8408.7,"")</f>
        <v/>
      </c>
      <c r="BM35" s="10" t="str">
        <f>IF($AB$6=TRUE(),8541.1,"")</f>
        <v/>
      </c>
      <c r="BN35" s="11"/>
      <c r="BO35" s="11"/>
    </row>
    <row r="36" spans="1:67" ht="15" customHeight="1">
      <c r="A36" s="12" t="s">
        <v>123</v>
      </c>
      <c r="B36" s="13" t="str">
        <f>IF($AC$6=TRUE(),308,"")</f>
        <v/>
      </c>
      <c r="C36" s="13" t="str">
        <f>IF($AC$6=TRUE(),348,"")</f>
        <v/>
      </c>
      <c r="D36" s="13" t="str">
        <f>IF($AC$6=TRUE(),365,"")</f>
        <v/>
      </c>
      <c r="E36" s="13" t="str">
        <f>IF($AC$6=TRUE(),365.9,"")</f>
        <v/>
      </c>
      <c r="F36" s="13" t="str">
        <f>IF($AC$6=TRUE(),383.4,"")</f>
        <v/>
      </c>
      <c r="G36" s="13" t="str">
        <f>IF($AC$6=TRUE(),389.7,"")</f>
        <v/>
      </c>
      <c r="H36" s="13" t="str">
        <f>IF($AC$6=TRUE(),407.4,"")</f>
        <v/>
      </c>
      <c r="I36" s="13" t="str">
        <f>IF($AC$6=TRUE(),414.6,"")</f>
        <v/>
      </c>
      <c r="J36" s="13" t="str">
        <f>IF($AC$6=TRUE(),456.5,"")</f>
        <v/>
      </c>
      <c r="K36" s="13" t="str">
        <f>IF($AC$6=TRUE(),457.4,"")</f>
        <v/>
      </c>
      <c r="L36" s="13" t="str">
        <f>IF($AC$6=TRUE(),454.6,"")</f>
        <v/>
      </c>
      <c r="M36" s="13" t="str">
        <f>IF($AC$6=TRUE(),472.1,"")</f>
        <v/>
      </c>
      <c r="N36" s="13" t="str">
        <f>IF($AC$6=TRUE(),525.3,"")</f>
        <v/>
      </c>
      <c r="O36" s="13" t="str">
        <f>IF($AC$6=TRUE(),526.2,"")</f>
        <v/>
      </c>
      <c r="P36" s="13" t="str">
        <f>IF($AC$6=TRUE(),519.9,"")</f>
        <v/>
      </c>
      <c r="Q36" s="13" t="str">
        <f>IF($AC$6=TRUE(),544.9,"")</f>
        <v/>
      </c>
      <c r="R36" s="13" t="str">
        <f>IF($AC$6=TRUE(),574.3,"")</f>
        <v/>
      </c>
      <c r="S36" s="13" t="str">
        <f>IF($AC$6=TRUE(),574.7,"")</f>
        <v/>
      </c>
      <c r="T36" s="13" t="str">
        <f>IF($AC$6=TRUE(),575.1,"")</f>
        <v/>
      </c>
      <c r="U36" s="13" t="str">
        <f>IF($AC$6=TRUE(),575.4,"")</f>
        <v/>
      </c>
      <c r="V36" s="13" t="str">
        <f>IF($AC$6=TRUE(),579.8,"")</f>
        <v/>
      </c>
      <c r="W36" s="13" t="str">
        <f>IF($AC$6=TRUE(),580.4,"")</f>
        <v/>
      </c>
      <c r="X36" s="13" t="str">
        <f>IF($AC$6=TRUE(),581,"")</f>
        <v/>
      </c>
      <c r="Y36" s="13" t="str">
        <f>IF($AC$6=TRUE(),581.6,"")</f>
        <v/>
      </c>
      <c r="Z36" s="13" t="str">
        <f>IF($AC$6=TRUE(),586.9,"")</f>
        <v/>
      </c>
      <c r="AA36" s="13" t="str">
        <f>IF($AC$6=TRUE(),649,"")</f>
        <v/>
      </c>
      <c r="AB36" s="13" t="str">
        <f>IF($AC$6=TRUE(),691.4,"")</f>
        <v/>
      </c>
      <c r="AC36" s="13" t="str">
        <f>IF($AC$6=TRUE(),692.1,"")</f>
        <v/>
      </c>
      <c r="AD36" s="13" t="str">
        <f>IF($AC$6=TRUE(),764,"")</f>
        <v/>
      </c>
      <c r="AE36" s="13" t="str">
        <f>IF($AC$6=TRUE(),862.6,"")</f>
        <v/>
      </c>
      <c r="AF36" s="13" t="str">
        <f>IF($AC$6=TRUE(),895.7,"")</f>
        <v/>
      </c>
      <c r="AG36" s="13" t="str">
        <f>IF($AC$6=TRUE(),1021.1,"")</f>
        <v/>
      </c>
      <c r="AH36" s="13" t="str">
        <f>IF($AC$6=TRUE(),1022.6,"")</f>
        <v/>
      </c>
      <c r="AI36" s="13" t="str">
        <f>IF($AC$6=TRUE(),1026.3,"")</f>
        <v/>
      </c>
      <c r="AJ36" s="13" t="str">
        <f>IF($AC$6=TRUE(),1137.9,"")</f>
        <v/>
      </c>
      <c r="AK36" s="13" t="str">
        <f>IF($AC$6=TRUE(),1144.1,"")</f>
        <v/>
      </c>
      <c r="AL36" s="13" t="str">
        <f>IF($AC$6=TRUE(),1240.9,"")</f>
        <v/>
      </c>
      <c r="AM36" s="13" t="str">
        <f>IF($AC$6=TRUE(),1338.1,"")</f>
        <v/>
      </c>
      <c r="AN36" s="13" t="str">
        <f>IF($AC$6=TRUE(),1702.6,"")</f>
        <v/>
      </c>
      <c r="AO36" s="13" t="str">
        <f>IF($AC$6=TRUE(),1806.3,"")</f>
        <v/>
      </c>
      <c r="AP36" s="13" t="str">
        <f>IF($AC$6=TRUE(),1954.6,"")</f>
        <v/>
      </c>
      <c r="AQ36" s="13" t="str">
        <f>IF($AC$6=TRUE(),2059,"")</f>
        <v/>
      </c>
      <c r="AR36" s="13" t="str">
        <f>IF($AC$6=TRUE(),2318.9,"")</f>
        <v/>
      </c>
      <c r="AS36" s="13" t="str">
        <f>IF($AC$6=TRUE(),2330,"")</f>
        <v/>
      </c>
      <c r="AT36" s="13" t="str">
        <f>IF($AC$6=TRUE(),2818,"")</f>
        <v/>
      </c>
      <c r="AU36" s="13" t="str">
        <f>IF($AC$6=TRUE(),2837.3,"")</f>
        <v/>
      </c>
      <c r="AV36" s="13" t="str">
        <f>IF($AC$6=TRUE(),2986.7,"")</f>
        <v/>
      </c>
      <c r="AW36" s="13" t="str">
        <f>IF($AC$6=TRUE(),2992.7,"")</f>
        <v/>
      </c>
      <c r="AX36" s="13" t="str">
        <f>IF($AC$6=TRUE(),3536.7,"")</f>
        <v/>
      </c>
      <c r="AY36" s="13" t="str">
        <f>IF($AC$6=TRUE(),3547.2,"")</f>
        <v/>
      </c>
      <c r="AZ36" s="13" t="str">
        <f>IF($AC$6=TRUE(),3860.9,"")</f>
        <v/>
      </c>
      <c r="BA36" s="13" t="str">
        <f>IF($AC$6=TRUE(),4474.8,"")</f>
        <v/>
      </c>
      <c r="BB36" s="13" t="str">
        <f>IF($AC$6=TRUE(),4474.9,"")</f>
        <v/>
      </c>
      <c r="BC36" s="13" t="str">
        <f>IF($AC$6=TRUE(),4474.9,"")</f>
        <v/>
      </c>
      <c r="BD36" s="13" t="str">
        <f>IF($AC$6=TRUE(),5379,"")</f>
        <v/>
      </c>
      <c r="BE36" s="13" t="str">
        <f>IF($AC$6=TRUE(),5602.2,"")</f>
        <v/>
      </c>
      <c r="BF36" s="13" t="str">
        <f>IF($AC$6=TRUE(),5616.7,"")</f>
        <v/>
      </c>
      <c r="BG36" s="13" t="str">
        <f>IF($AC$6=TRUE(),5634,"")</f>
        <v/>
      </c>
      <c r="BH36" s="13" t="str">
        <f>IF($AC$6=TRUE(),6273.2,"")</f>
        <v/>
      </c>
      <c r="BI36" s="13" t="str">
        <f>IF($AC$6=TRUE(),6859.4,"")</f>
        <v/>
      </c>
      <c r="BJ36" s="13" t="str">
        <f>IF($AC$6=TRUE(),7572.7,"")</f>
        <v/>
      </c>
      <c r="BK36" s="13" t="str">
        <f>IF($AC$6=TRUE(),8534.9,"")</f>
        <v/>
      </c>
      <c r="BL36" s="13" t="str">
        <f>IF($AC$6=TRUE(),8544.4,"")</f>
        <v/>
      </c>
      <c r="BM36" s="13" t="str">
        <f>IF($AC$6=TRUE(),9507.4,"")</f>
        <v/>
      </c>
      <c r="BN36" s="14"/>
      <c r="BO36" s="14"/>
    </row>
    <row r="37" spans="1:67" ht="15" customHeight="1">
      <c r="A37" s="9" t="s">
        <v>124</v>
      </c>
      <c r="B37" s="10" t="str">
        <f>IF($AD$6=TRUE(),302.3,"")</f>
        <v/>
      </c>
      <c r="C37" s="10" t="str">
        <f>IF($AD$6=TRUE(),303.5,"")</f>
        <v/>
      </c>
      <c r="D37" s="10" t="str">
        <f>IF($AD$6=TRUE(),333.1,"")</f>
        <v/>
      </c>
      <c r="E37" s="10" t="str">
        <f>IF($AD$6=TRUE(),334.6,"")</f>
        <v/>
      </c>
      <c r="F37" s="10" t="str">
        <f>IF($AD$6=TRUE(),355,"")</f>
        <v/>
      </c>
      <c r="G37" s="10" t="str">
        <f>IF($AD$6=TRUE(),399.2,"")</f>
        <v/>
      </c>
      <c r="H37" s="10" t="str">
        <f>IF($AD$6=TRUE(),443.6,"")</f>
        <v/>
      </c>
      <c r="I37" s="10" t="str">
        <f>IF($AD$6=TRUE(),482.7,"")</f>
        <v/>
      </c>
      <c r="J37" s="10" t="str">
        <f>IF($AD$6=TRUE(),501.3,"")</f>
        <v/>
      </c>
      <c r="K37" s="10" t="str">
        <f>IF($AD$6=TRUE(),504.7,"")</f>
        <v/>
      </c>
      <c r="L37" s="10" t="str">
        <f>IF($AD$6=TRUE(),510,"")</f>
        <v/>
      </c>
      <c r="M37" s="10" t="str">
        <f>IF($AD$6=TRUE(),511.6,"")</f>
        <v/>
      </c>
      <c r="N37" s="10" t="str">
        <f>IF($AD$6=TRUE(),576.9,"")</f>
        <v/>
      </c>
      <c r="O37" s="10" t="str">
        <f>IF($AD$6=TRUE(),579.4,"")</f>
        <v/>
      </c>
      <c r="P37" s="10" t="str">
        <f>IF($AD$6=TRUE(),578.9,"")</f>
        <v/>
      </c>
      <c r="Q37" s="10" t="str">
        <f>IF($AD$6=TRUE(),580.8,"")</f>
        <v/>
      </c>
      <c r="R37" s="10" t="str">
        <f>IF($AD$6=TRUE(),594.6,"")</f>
        <v/>
      </c>
      <c r="S37" s="10" t="str">
        <f>IF($AD$6=TRUE(),596.1,"")</f>
        <v/>
      </c>
      <c r="T37" s="10" t="str">
        <f>IF($AD$6=TRUE(),597.6,"")</f>
        <v/>
      </c>
      <c r="U37" s="10" t="str">
        <f>IF($AD$6=TRUE(),598.7,"")</f>
        <v/>
      </c>
      <c r="V37" s="10" t="str">
        <f>IF($AD$6=TRUE(),627.9,"")</f>
        <v/>
      </c>
      <c r="W37" s="10" t="str">
        <f>IF($AD$6=TRUE(),629.6,"")</f>
        <v/>
      </c>
      <c r="X37" s="10" t="str">
        <f>IF($AD$6=TRUE(),658.6,"")</f>
        <v/>
      </c>
      <c r="Y37" s="10" t="str">
        <f>IF($AD$6=TRUE(),681.8,"")</f>
        <v/>
      </c>
      <c r="Z37" s="10" t="str">
        <f>IF($AD$6=TRUE(),722.3,"")</f>
        <v/>
      </c>
      <c r="AA37" s="10" t="str">
        <f>IF($AD$6=TRUE(),754.4,"")</f>
        <v/>
      </c>
      <c r="AB37" s="10" t="str">
        <f>IF($AD$6=TRUE(),776.1,"")</f>
        <v/>
      </c>
      <c r="AC37" s="10" t="str">
        <f>IF($AD$6=TRUE(),799.7,"")</f>
        <v/>
      </c>
      <c r="AD37" s="10" t="str">
        <f>IF($AD$6=TRUE(),889,"")</f>
        <v/>
      </c>
      <c r="AE37" s="10" t="str">
        <f>IF($AD$6=TRUE(),959.7,"")</f>
        <v/>
      </c>
      <c r="AF37" s="10" t="str">
        <f>IF($AD$6=TRUE(),1083,"")</f>
        <v/>
      </c>
      <c r="AG37" s="10" t="str">
        <f>IF($AD$6=TRUE(),1084.3,"")</f>
        <v/>
      </c>
      <c r="AH37" s="10" t="str">
        <f>IF($AD$6=TRUE(),1038.8,"")</f>
        <v/>
      </c>
      <c r="AI37" s="10" t="str">
        <f>IF($AD$6=TRUE(),1099,"")</f>
        <v/>
      </c>
      <c r="AJ37" s="10" t="str">
        <f>IF($AD$6=TRUE(),1318.8,"")</f>
        <v/>
      </c>
      <c r="AK37" s="10" t="str">
        <f>IF($AD$6=TRUE(),1332.7,"")</f>
        <v/>
      </c>
      <c r="AL37" s="10" t="str">
        <f>IF($AD$6=TRUE(),1378.9,"")</f>
        <v/>
      </c>
      <c r="AM37" s="10" t="str">
        <f>IF($AD$6=TRUE(),1406.9,"")</f>
        <v/>
      </c>
      <c r="AN37" s="10" t="str">
        <f>IF($AD$6=TRUE(),1640.9,"")</f>
        <v/>
      </c>
      <c r="AO37" s="10" t="str">
        <f>IF($AD$6=TRUE(),1862.3,"")</f>
        <v/>
      </c>
      <c r="AP37" s="10" t="str">
        <f>IF($AD$6=TRUE(),1949.8,"")</f>
        <v/>
      </c>
      <c r="AQ37" s="10" t="str">
        <f>IF($AD$6=TRUE(),2085.3,"")</f>
        <v/>
      </c>
      <c r="AR37" s="10" t="str">
        <f>IF($AD$6=TRUE(),2212.5,"")</f>
        <v/>
      </c>
      <c r="AS37" s="10" t="str">
        <f>IF($AD$6=TRUE(),2286.2,"")</f>
        <v/>
      </c>
      <c r="AT37" s="10" t="str">
        <f>IF($AD$6=TRUE(),2855.8,"")</f>
        <v/>
      </c>
      <c r="AU37" s="10" t="str">
        <f>IF($AD$6=TRUE(),3057.6,"")</f>
        <v/>
      </c>
      <c r="AV37" s="10" t="str">
        <f>IF($AD$6=TRUE(),3101.4,"")</f>
        <v/>
      </c>
      <c r="AW37" s="10" t="str">
        <f>IF($AD$6=TRUE(),3187.2,"")</f>
        <v/>
      </c>
      <c r="AX37" s="10" t="str">
        <f>IF($AD$6=TRUE(),3842.5,"")</f>
        <v/>
      </c>
      <c r="AY37" s="10" t="str">
        <f>IF($AD$6=TRUE(),3901.5,"")</f>
        <v/>
      </c>
      <c r="AZ37" s="10" t="str">
        <f>IF($AD$6=TRUE(),4038.6,"")</f>
        <v/>
      </c>
      <c r="BA37" s="10" t="str">
        <f>IF($AD$6=TRUE(),4797.9,"")</f>
        <v/>
      </c>
      <c r="BB37" s="10" t="str">
        <f>IF($AD$6=TRUE(),4798.3,"")</f>
        <v/>
      </c>
      <c r="BC37" s="10" t="str">
        <f>IF($AD$6=TRUE(),4799.1,"")</f>
        <v/>
      </c>
      <c r="BD37" s="10" t="str">
        <f>IF($AD$6=TRUE(),5371.7,"")</f>
        <v/>
      </c>
      <c r="BE37" s="10" t="str">
        <f>IF($AD$6=TRUE(),5701.9,"")</f>
        <v/>
      </c>
      <c r="BF37" s="10" t="str">
        <f>IF($AD$6=TRUE(),6106.9,"")</f>
        <v/>
      </c>
      <c r="BG37" s="10" t="str">
        <f>IF($AD$6=TRUE(),6243.4,"")</f>
        <v/>
      </c>
      <c r="BH37" s="10" t="str">
        <f>IF($AD$6=TRUE(),7058.8,"")</f>
        <v/>
      </c>
      <c r="BI37" s="10" t="str">
        <f>IF($AD$6=TRUE(),7154,"")</f>
        <v/>
      </c>
      <c r="BJ37" s="10" t="str">
        <f>IF($AD$6=TRUE(),7870.8,"")</f>
        <v/>
      </c>
      <c r="BK37" s="10" t="str">
        <f>IF($AD$6=TRUE(),8356.2,"")</f>
        <v/>
      </c>
      <c r="BL37" s="10" t="str">
        <f>IF($AD$6=TRUE(),9017.5,"")</f>
        <v/>
      </c>
      <c r="BM37" s="10" t="str">
        <f>IF($AD$6=TRUE(),9037.5,"")</f>
        <v/>
      </c>
      <c r="BN37" s="11"/>
      <c r="BO37" s="11"/>
    </row>
    <row r="38" spans="1:67" ht="15" customHeight="1">
      <c r="A38" s="12" t="s">
        <v>125</v>
      </c>
      <c r="B38" s="13" t="str">
        <f>IF($AE$6=TRUE(),277.9,"")</f>
        <v/>
      </c>
      <c r="C38" s="13" t="str">
        <f>IF($AE$6=TRUE(),312.8,"")</f>
        <v/>
      </c>
      <c r="D38" s="13" t="str">
        <f>IF($AE$6=TRUE(),336,"")</f>
        <v/>
      </c>
      <c r="E38" s="13" t="str">
        <f>IF($AE$6=TRUE(),336.6,"")</f>
        <v/>
      </c>
      <c r="F38" s="13" t="str">
        <f>IF($AE$6=TRUE(),378.4,"")</f>
        <v/>
      </c>
      <c r="G38" s="13" t="str">
        <f>IF($AE$6=TRUE(),412.2,"")</f>
        <v/>
      </c>
      <c r="H38" s="13" t="str">
        <f>IF($AE$6=TRUE(),478.3,"")</f>
        <v/>
      </c>
      <c r="I38" s="13" t="str">
        <f>IF($AE$6=TRUE(),546.8,"")</f>
        <v/>
      </c>
      <c r="J38" s="13" t="str">
        <f>IF($AE$6=TRUE(),510.7,"")</f>
        <v/>
      </c>
      <c r="K38" s="13" t="str">
        <f>IF($AE$6=TRUE(),637.7,"")</f>
        <v/>
      </c>
      <c r="L38" s="13" t="str">
        <f>IF($AE$6=TRUE(),642.5,"")</f>
        <v/>
      </c>
      <c r="M38" s="13" t="str">
        <f>IF($AE$6=TRUE(),643.8,"")</f>
        <v/>
      </c>
      <c r="N38" s="13" t="str">
        <f>IF($AE$6=TRUE(),633.6,"")</f>
        <v/>
      </c>
      <c r="O38" s="13" t="str">
        <f>IF($AE$6=TRUE(),694.8,"")</f>
        <v/>
      </c>
      <c r="P38" s="13" t="str">
        <f>IF($AE$6=TRUE(),703,"")</f>
        <v/>
      </c>
      <c r="Q38" s="13" t="str">
        <f>IF($AE$6=TRUE(),772.5,"")</f>
        <v/>
      </c>
      <c r="R38" s="13" t="str">
        <f>IF($AE$6=TRUE(),723.9,"")</f>
        <v/>
      </c>
      <c r="S38" s="13" t="str">
        <f>IF($AE$6=TRUE(),729.8,"")</f>
        <v/>
      </c>
      <c r="T38" s="13" t="str">
        <f>IF($AE$6=TRUE(),753.1,"")</f>
        <v/>
      </c>
      <c r="U38" s="13" t="str">
        <f>IF($AE$6=TRUE(),753.5,"")</f>
        <v/>
      </c>
      <c r="V38" s="13" t="str">
        <f>IF($AE$6=TRUE(),753.5,"")</f>
        <v/>
      </c>
      <c r="W38" s="13" t="str">
        <f>IF($AE$6=TRUE(),776.4,"")</f>
        <v/>
      </c>
      <c r="X38" s="13" t="str">
        <f>IF($AE$6=TRUE(),898.7,"")</f>
        <v/>
      </c>
      <c r="Y38" s="13" t="str">
        <f>IF($AE$6=TRUE(),919.2,"")</f>
        <v/>
      </c>
      <c r="Z38" s="13" t="str">
        <f>IF($AE$6=TRUE(),969,"")</f>
        <v/>
      </c>
      <c r="AA38" s="13" t="str">
        <f>IF($AE$6=TRUE(),1028.6,"")</f>
        <v/>
      </c>
      <c r="AB38" s="13" t="str">
        <f>IF($AE$6=TRUE(),1059.7,"")</f>
        <v/>
      </c>
      <c r="AC38" s="13" t="str">
        <f>IF($AE$6=TRUE(),1080.6,"")</f>
        <v/>
      </c>
      <c r="AD38" s="13" t="str">
        <f>IF($AE$6=TRUE(),1301.9,"")</f>
        <v/>
      </c>
      <c r="AE38" s="13" t="str">
        <f>IF($AE$6=TRUE(),1695.1,"")</f>
        <v/>
      </c>
      <c r="AF38" s="13" t="str">
        <f>IF($AE$6=TRUE(),1696.7,"")</f>
        <v/>
      </c>
      <c r="AG38" s="13" t="str">
        <f>IF($AE$6=TRUE(),1897.9,"")</f>
        <v/>
      </c>
      <c r="AH38" s="13" t="str">
        <f>IF($AE$6=TRUE(),1864.1,"")</f>
        <v/>
      </c>
      <c r="AI38" s="13" t="str">
        <f>IF($AE$6=TRUE(),1953.7,"")</f>
        <v/>
      </c>
      <c r="AJ38" s="13" t="str">
        <f>IF($AE$6=TRUE(),2214.2,"")</f>
        <v/>
      </c>
      <c r="AK38" s="13" t="str">
        <f>IF($AE$6=TRUE(),2294.6,"")</f>
        <v/>
      </c>
      <c r="AL38" s="13" t="str">
        <f>IF($AE$6=TRUE(),2234.9,"")</f>
        <v/>
      </c>
      <c r="AM38" s="13" t="str">
        <f>IF($AE$6=TRUE(),2396.8,"")</f>
        <v/>
      </c>
      <c r="AN38" s="13" t="str">
        <f>IF($AE$6=TRUE(),2724.3,"")</f>
        <v/>
      </c>
      <c r="AO38" s="13" t="str">
        <f>IF($AE$6=TRUE(),3407.3,"")</f>
        <v/>
      </c>
      <c r="AP38" s="13" t="str">
        <f>IF($AE$6=TRUE(),3759.1,"")</f>
        <v/>
      </c>
      <c r="AQ38" s="13" t="str">
        <f>IF($AE$6=TRUE(),5150.9,"")</f>
        <v/>
      </c>
      <c r="AR38" s="13" t="str">
        <f>IF($AE$6=TRUE(),4673,"")</f>
        <v/>
      </c>
      <c r="AS38" s="13" t="str">
        <f>IF($AE$6=TRUE(),4925.8,"")</f>
        <v/>
      </c>
      <c r="AT38" s="13" t="str">
        <f>IF($AE$6=TRUE(),4984.4,"")</f>
        <v/>
      </c>
      <c r="AU38" s="13" t="str">
        <f>IF($AE$6=TRUE(),5316.7,"")</f>
        <v/>
      </c>
      <c r="AV38" s="13" t="str">
        <f>IF($AE$6=TRUE(),5443,"")</f>
        <v/>
      </c>
      <c r="AW38" s="13" t="str">
        <f>IF($AE$6=TRUE(),5473,"")</f>
        <v/>
      </c>
      <c r="AX38" s="13" t="str">
        <f>IF($AE$6=TRUE(),6406.3,"")</f>
        <v/>
      </c>
      <c r="AY38" s="13" t="str">
        <f>IF($AE$6=TRUE(),6415.1,"")</f>
        <v/>
      </c>
      <c r="AZ38" s="13" t="str">
        <f>IF($AE$6=TRUE(),6979.7,"")</f>
        <v/>
      </c>
      <c r="BA38" s="13" t="str">
        <f>IF($AE$6=TRUE(),8039.6,"")</f>
        <v/>
      </c>
      <c r="BB38" s="13" t="str">
        <f>IF($AE$6=TRUE(),8039.7,"")</f>
        <v/>
      </c>
      <c r="BC38" s="13" t="str">
        <f>IF($AE$6=TRUE(),8039.8,"")</f>
        <v/>
      </c>
      <c r="BD38" s="13" t="str">
        <f>IF($AE$6=TRUE(),8897.5,"")</f>
        <v/>
      </c>
      <c r="BE38" s="13" t="str">
        <f>IF($AE$6=TRUE(),8917.7,"")</f>
        <v/>
      </c>
      <c r="BF38" s="13" t="str">
        <f>IF($AE$6=TRUE(),9369.4,"")</f>
        <v/>
      </c>
      <c r="BG38" s="13" t="str">
        <f>IF($AE$6=TRUE(),9871.2,"")</f>
        <v/>
      </c>
      <c r="BH38" s="13" t="str">
        <f>IF($AE$6=TRUE(),11818.3,"")</f>
        <v/>
      </c>
      <c r="BI38" s="13" t="str">
        <f>IF($AE$6=TRUE(),11848.5,"")</f>
        <v/>
      </c>
      <c r="BJ38" s="13" t="str">
        <f>IF($AE$6=TRUE(),11923.3,"")</f>
        <v/>
      </c>
      <c r="BK38" s="13" t="str">
        <f>IF($AE$6=TRUE(),14752.6,"")</f>
        <v/>
      </c>
      <c r="BL38" s="13" t="str">
        <f>IF($AE$6=TRUE(),14760.8,"")</f>
        <v/>
      </c>
      <c r="BM38" s="13" t="str">
        <f>IF($AE$6=TRUE(),14768.4,"")</f>
        <v/>
      </c>
      <c r="BN38" s="14"/>
      <c r="BO38" s="14"/>
    </row>
    <row r="39" spans="1:67" ht="15" customHeight="1">
      <c r="A39" s="9" t="s">
        <v>126</v>
      </c>
      <c r="B39" s="10" t="str">
        <f>IF($AF$6=TRUE(),290.6,"")</f>
        <v/>
      </c>
      <c r="C39" s="10" t="str">
        <f>IF($AF$6=TRUE(),291,"")</f>
        <v/>
      </c>
      <c r="D39" s="10" t="str">
        <f>IF($AF$6=TRUE(),332.7,"")</f>
        <v/>
      </c>
      <c r="E39" s="10" t="str">
        <f>IF($AF$6=TRUE(),333.2,"")</f>
        <v/>
      </c>
      <c r="F39" s="10" t="str">
        <f>IF($AF$6=TRUE(),335,"")</f>
        <v/>
      </c>
      <c r="G39" s="10" t="str">
        <f>IF($AF$6=TRUE(),343.7,"")</f>
        <v/>
      </c>
      <c r="H39" s="10" t="str">
        <f>IF($AF$6=TRUE(),354.9,"")</f>
        <v/>
      </c>
      <c r="I39" s="10" t="str">
        <f>IF($AF$6=TRUE(),355.6,"")</f>
        <v/>
      </c>
      <c r="J39" s="10" t="str">
        <f>IF($AF$6=TRUE(),358.1,"")</f>
        <v/>
      </c>
      <c r="K39" s="10" t="str">
        <f>IF($AF$6=TRUE(),358.7,"")</f>
        <v/>
      </c>
      <c r="L39" s="10" t="str">
        <f>IF($AF$6=TRUE(),359.4,"")</f>
        <v/>
      </c>
      <c r="M39" s="10" t="str">
        <f>IF($AF$6=TRUE(),360.1,"")</f>
        <v/>
      </c>
      <c r="N39" s="10" t="str">
        <f>IF($AF$6=TRUE(),373.7,"")</f>
        <v/>
      </c>
      <c r="O39" s="10" t="str">
        <f>IF($AF$6=TRUE(),374.2,"")</f>
        <v/>
      </c>
      <c r="P39" s="10" t="str">
        <f>IF($AF$6=TRUE(),371.6,"")</f>
        <v/>
      </c>
      <c r="Q39" s="10" t="str">
        <f>IF($AF$6=TRUE(),372,"")</f>
        <v/>
      </c>
      <c r="R39" s="10" t="str">
        <f>IF($AF$6=TRUE(),425.8,"")</f>
        <v/>
      </c>
      <c r="S39" s="10" t="str">
        <f>IF($AF$6=TRUE(),426.1,"")</f>
        <v/>
      </c>
      <c r="T39" s="10" t="str">
        <f>IF($AF$6=TRUE(),443,"")</f>
        <v/>
      </c>
      <c r="U39" s="10" t="str">
        <f>IF($AF$6=TRUE(),443.1,"")</f>
        <v/>
      </c>
      <c r="V39" s="10" t="str">
        <f>IF($AF$6=TRUE(),486,"")</f>
        <v/>
      </c>
      <c r="W39" s="10" t="str">
        <f>IF($AF$6=TRUE(),486.4,"")</f>
        <v/>
      </c>
      <c r="X39" s="10" t="str">
        <f>IF($AF$6=TRUE(),444.2,"")</f>
        <v/>
      </c>
      <c r="Y39" s="10" t="str">
        <f>IF($AF$6=TRUE(),444.5,"")</f>
        <v/>
      </c>
      <c r="Z39" s="10" t="str">
        <f>IF($AF$6=TRUE(),453.6,"")</f>
        <v/>
      </c>
      <c r="AA39" s="10" t="str">
        <f>IF($AF$6=TRUE(),453.9,"")</f>
        <v/>
      </c>
      <c r="AB39" s="10" t="str">
        <f>IF($AF$6=TRUE(),498.4,"")</f>
        <v/>
      </c>
      <c r="AC39" s="10" t="str">
        <f>IF($AF$6=TRUE(),498.8,"")</f>
        <v/>
      </c>
      <c r="AD39" s="10" t="str">
        <f>IF($AF$6=TRUE(),535.9,"")</f>
        <v/>
      </c>
      <c r="AE39" s="10" t="str">
        <f>IF($AF$6=TRUE(),539.2,"")</f>
        <v/>
      </c>
      <c r="AF39" s="10" t="str">
        <f>IF($AF$6=TRUE(),575.5,"")</f>
        <v/>
      </c>
      <c r="AG39" s="10" t="str">
        <f>IF($AF$6=TRUE(),592.1,"")</f>
        <v/>
      </c>
      <c r="AH39" s="10" t="str">
        <f>IF($AF$6=TRUE(),595.4,"")</f>
        <v/>
      </c>
      <c r="AI39" s="10" t="str">
        <f>IF($AF$6=TRUE(),597.6,"")</f>
        <v/>
      </c>
      <c r="AJ39" s="10" t="str">
        <f>IF($AF$6=TRUE(),688.5,"")</f>
        <v/>
      </c>
      <c r="AK39" s="10" t="str">
        <f>IF($AF$6=TRUE(),693.3,"")</f>
        <v/>
      </c>
      <c r="AL39" s="10" t="str">
        <f>IF($AF$6=TRUE(),652.8,"")</f>
        <v/>
      </c>
      <c r="AM39" s="10" t="str">
        <f>IF($AF$6=TRUE(),655.4,"")</f>
        <v/>
      </c>
      <c r="AN39" s="10" t="str">
        <f>IF($AF$6=TRUE(),713.5,"")</f>
        <v/>
      </c>
      <c r="AO39" s="10" t="str">
        <f>IF($AF$6=TRUE(),856.6,"")</f>
        <v/>
      </c>
      <c r="AP39" s="10" t="str">
        <f>IF($AF$6=TRUE(),997.6,"")</f>
        <v/>
      </c>
      <c r="AQ39" s="10" t="str">
        <f>IF($AF$6=TRUE(),1097.4,"")</f>
        <v/>
      </c>
      <c r="AR39" s="10" t="str">
        <f>IF($AF$6=TRUE(),1108.6,"")</f>
        <v/>
      </c>
      <c r="AS39" s="10" t="str">
        <f>IF($AF$6=TRUE(),1115,"")</f>
        <v/>
      </c>
      <c r="AT39" s="10" t="str">
        <f>IF($AF$6=TRUE(),1321.3,"")</f>
        <v/>
      </c>
      <c r="AU39" s="10" t="str">
        <f>IF($AF$6=TRUE(),1339.7,"")</f>
        <v/>
      </c>
      <c r="AV39" s="10" t="str">
        <f>IF($AF$6=TRUE(),1449.3,"")</f>
        <v/>
      </c>
      <c r="AW39" s="10" t="str">
        <f>IF($AF$6=TRUE(),1471.4,"")</f>
        <v/>
      </c>
      <c r="AX39" s="10" t="str">
        <f>IF($AF$6=TRUE(),1792.2,"")</f>
        <v/>
      </c>
      <c r="AY39" s="10" t="str">
        <f>IF($AF$6=TRUE(),1798.4,"")</f>
        <v/>
      </c>
      <c r="AZ39" s="10" t="str">
        <f>IF($AF$6=TRUE(),1965.7,"")</f>
        <v/>
      </c>
      <c r="BA39" s="10" t="str">
        <f>IF($AF$6=TRUE(),2152.3,"")</f>
        <v/>
      </c>
      <c r="BB39" s="10" t="str">
        <f>IF($AF$6=TRUE(),2152.4,"")</f>
        <v/>
      </c>
      <c r="BC39" s="10" t="str">
        <f>IF($AF$6=TRUE(),2152.5,"")</f>
        <v/>
      </c>
      <c r="BD39" s="10" t="str">
        <f>IF($AF$6=TRUE(),2588.3,"")</f>
        <v/>
      </c>
      <c r="BE39" s="10" t="str">
        <f>IF($AF$6=TRUE(),2602.5,"")</f>
        <v/>
      </c>
      <c r="BF39" s="10" t="str">
        <f>IF($AF$6=TRUE(),2626,"")</f>
        <v/>
      </c>
      <c r="BG39" s="10" t="str">
        <f>IF($AF$6=TRUE(),2635.8,"")</f>
        <v/>
      </c>
      <c r="BH39" s="10" t="str">
        <f>IF($AF$6=TRUE(),3172.4,"")</f>
        <v/>
      </c>
      <c r="BI39" s="10" t="str">
        <f>IF($AF$6=TRUE(),3192.7,"")</f>
        <v/>
      </c>
      <c r="BJ39" s="10" t="str">
        <f>IF($AF$6=TRUE(),3633.9,"")</f>
        <v/>
      </c>
      <c r="BK39" s="10" t="str">
        <f>IF($AF$6=TRUE(),3657.1,"")</f>
        <v/>
      </c>
      <c r="BL39" s="10" t="str">
        <f>IF($AF$6=TRUE(),3663.1,"")</f>
        <v/>
      </c>
      <c r="BM39" s="10" t="str">
        <f>IF($AF$6=TRUE(),3669.2,"")</f>
        <v/>
      </c>
      <c r="BN39" s="11"/>
      <c r="BO39" s="11"/>
    </row>
    <row r="40" spans="1:67" ht="15" customHeight="1">
      <c r="A40" s="12" t="s">
        <v>128</v>
      </c>
      <c r="B40" s="13" t="str">
        <f>IF($AG$6=TRUE(),240.8,"")</f>
        <v/>
      </c>
      <c r="C40" s="13" t="str">
        <f>IF($AG$6=TRUE(),242.2,"")</f>
        <v/>
      </c>
      <c r="D40" s="13" t="str">
        <f>IF($AG$6=TRUE(),259.8,"")</f>
        <v/>
      </c>
      <c r="E40" s="13" t="str">
        <f>IF($AG$6=TRUE(),261.3,"")</f>
        <v/>
      </c>
      <c r="F40" s="13" t="str">
        <f>IF($AG$6=TRUE(),282.3,"")</f>
        <v/>
      </c>
      <c r="G40" s="13" t="str">
        <f>IF($AG$6=TRUE(),292.2,"")</f>
        <v/>
      </c>
      <c r="H40" s="13" t="str">
        <f>IF($AG$6=TRUE(),390.4,"")</f>
        <v/>
      </c>
      <c r="I40" s="13" t="str">
        <f>IF($AG$6=TRUE(),392.8,"")</f>
        <v/>
      </c>
      <c r="J40" s="13" t="str">
        <f>IF($AG$6=TRUE(),413.6,"")</f>
        <v/>
      </c>
      <c r="K40" s="13" t="str">
        <f>IF($AG$6=TRUE(),419.2,"")</f>
        <v/>
      </c>
      <c r="L40" s="13" t="str">
        <f>IF($AG$6=TRUE(),434.9,"")</f>
        <v/>
      </c>
      <c r="M40" s="13" t="str">
        <f>IF($AG$6=TRUE(),438.1,"")</f>
        <v/>
      </c>
      <c r="N40" s="13" t="str">
        <f>IF($AG$6=TRUE(),468.8,"")</f>
        <v/>
      </c>
      <c r="O40" s="13" t="str">
        <f>IF($AG$6=TRUE(),471.2,"")</f>
        <v/>
      </c>
      <c r="P40" s="13" t="str">
        <f>IF($AG$6=TRUE(),470,"")</f>
        <v/>
      </c>
      <c r="Q40" s="13" t="str">
        <f>IF($AG$6=TRUE(),475.1,"")</f>
        <v/>
      </c>
      <c r="R40" s="13" t="str">
        <f>IF($AG$6=TRUE(),502.1,"")</f>
        <v/>
      </c>
      <c r="S40" s="13" t="str">
        <f>IF($AG$6=TRUE(),503.4,"")</f>
        <v/>
      </c>
      <c r="T40" s="13" t="str">
        <f>IF($AG$6=TRUE(),508.6,"")</f>
        <v/>
      </c>
      <c r="U40" s="13" t="str">
        <f>IF($AG$6=TRUE(),509.6,"")</f>
        <v/>
      </c>
      <c r="V40" s="13" t="str">
        <f>IF($AG$6=TRUE(),539.5,"")</f>
        <v/>
      </c>
      <c r="W40" s="13" t="str">
        <f>IF($AG$6=TRUE(),541.1,"")</f>
        <v/>
      </c>
      <c r="X40" s="13" t="str">
        <f>IF($AG$6=TRUE(),554.1,"")</f>
        <v/>
      </c>
      <c r="Y40" s="13" t="str">
        <f>IF($AG$6=TRUE(),555.6,"")</f>
        <v/>
      </c>
      <c r="Z40" s="13" t="str">
        <f>IF($AG$6=TRUE(),607.1,"")</f>
        <v/>
      </c>
      <c r="AA40" s="13" t="str">
        <f>IF($AG$6=TRUE(),627.1,"")</f>
        <v/>
      </c>
      <c r="AB40" s="13" t="str">
        <f>IF($AG$6=TRUE(),614.2,"")</f>
        <v/>
      </c>
      <c r="AC40" s="13" t="str">
        <f>IF($AG$6=TRUE(),615.9,"")</f>
        <v/>
      </c>
      <c r="AD40" s="13" t="str">
        <f>IF($AG$6=TRUE(),808.5,"")</f>
        <v/>
      </c>
      <c r="AE40" s="13" t="str">
        <f>IF($AG$6=TRUE(),839.6,"")</f>
        <v/>
      </c>
      <c r="AF40" s="13" t="str">
        <f>IF($AG$6=TRUE(),843.1,"")</f>
        <v/>
      </c>
      <c r="AG40" s="13" t="str">
        <f>IF($AG$6=TRUE(),845.9,"")</f>
        <v/>
      </c>
      <c r="AH40" s="13" t="str">
        <f>IF($AG$6=TRUE(),1068.2,"")</f>
        <v/>
      </c>
      <c r="AI40" s="13" t="str">
        <f>IF($AG$6=TRUE(),1107.2,"")</f>
        <v/>
      </c>
      <c r="AJ40" s="13" t="str">
        <f>IF($AG$6=TRUE(),1275.1,"")</f>
        <v/>
      </c>
      <c r="AK40" s="13" t="str">
        <f>IF($AG$6=TRUE(),1318.3,"")</f>
        <v/>
      </c>
      <c r="AL40" s="13" t="str">
        <f>IF($AG$6=TRUE(),1408.5,"")</f>
        <v/>
      </c>
      <c r="AM40" s="13" t="str">
        <f>IF($AG$6=TRUE(),1417,"")</f>
        <v/>
      </c>
      <c r="AN40" s="13" t="str">
        <f>IF($AG$6=TRUE(),1677.6,"")</f>
        <v/>
      </c>
      <c r="AO40" s="13" t="str">
        <f>IF($AG$6=TRUE(),1792,"")</f>
        <v/>
      </c>
      <c r="AP40" s="13" t="str">
        <f>IF($AG$6=TRUE(),1956.2,"")</f>
        <v/>
      </c>
      <c r="AQ40" s="13" t="str">
        <f>IF($AG$6=TRUE(),2349.9,"")</f>
        <v/>
      </c>
      <c r="AR40" s="13" t="str">
        <f>IF($AG$6=TRUE(),2326.2,"")</f>
        <v/>
      </c>
      <c r="AS40" s="13" t="str">
        <f>IF($AG$6=TRUE(),2472.8,"")</f>
        <v/>
      </c>
      <c r="AT40" s="13" t="str">
        <f>IF($AG$6=TRUE(),2849.7,"")</f>
        <v/>
      </c>
      <c r="AU40" s="13" t="str">
        <f>IF($AG$6=TRUE(),3032.9,"")</f>
        <v/>
      </c>
      <c r="AV40" s="13" t="str">
        <f>IF($AG$6=TRUE(),3180.9,"")</f>
        <v/>
      </c>
      <c r="AW40" s="13" t="str">
        <f>IF($AG$6=TRUE(),3263,"")</f>
        <v/>
      </c>
      <c r="AX40" s="13" t="str">
        <f>IF($AG$6=TRUE(),4090.6,"")</f>
        <v/>
      </c>
      <c r="AY40" s="13" t="str">
        <f>IF($AG$6=TRUE(),4415,"")</f>
        <v/>
      </c>
      <c r="AZ40" s="13" t="str">
        <f>IF($AG$6=TRUE(),4805.6,"")</f>
        <v/>
      </c>
      <c r="BA40" s="13" t="str">
        <f>IF($AG$6=TRUE(),5834.3,"")</f>
        <v/>
      </c>
      <c r="BB40" s="13" t="str">
        <f>IF($AG$6=TRUE(),5834.5,"")</f>
        <v/>
      </c>
      <c r="BC40" s="13" t="str">
        <f>IF($AG$6=TRUE(),5834.7,"")</f>
        <v/>
      </c>
      <c r="BD40" s="13" t="str">
        <f>IF($AG$6=TRUE(),6673.4,"")</f>
        <v/>
      </c>
      <c r="BE40" s="13" t="str">
        <f>IF($AG$6=TRUE(),6724.6,"")</f>
        <v/>
      </c>
      <c r="BF40" s="13" t="str">
        <f>IF($AG$6=TRUE(),6880.9,"")</f>
        <v/>
      </c>
      <c r="BG40" s="13" t="str">
        <f>IF($AG$6=TRUE(),7061.4,"")</f>
        <v/>
      </c>
      <c r="BH40" s="13" t="str">
        <f>IF($AG$6=TRUE(),7399.1,"")</f>
        <v/>
      </c>
      <c r="BI40" s="13" t="str">
        <f>IF($AG$6=TRUE(),7476.8,"")</f>
        <v/>
      </c>
      <c r="BJ40" s="13" t="str">
        <f>IF($AG$6=TRUE(),8388.4,"")</f>
        <v/>
      </c>
      <c r="BK40" s="13" t="str">
        <f>IF($AG$6=TRUE(),8523.1,"")</f>
        <v/>
      </c>
      <c r="BL40" s="13" t="str">
        <f>IF($AG$6=TRUE(),9229,"")</f>
        <v/>
      </c>
      <c r="BM40" s="13" t="str">
        <f>IF($AG$6=TRUE(),9662.8,"")</f>
        <v/>
      </c>
      <c r="BN40" s="14"/>
      <c r="BO40" s="14"/>
    </row>
    <row r="41" spans="1:67" ht="15" customHeight="1">
      <c r="A41" s="9" t="s">
        <v>129</v>
      </c>
      <c r="B41" s="10" t="str">
        <f>IF($AH$6=TRUE(),387.4,"")</f>
        <v/>
      </c>
      <c r="C41" s="10" t="str">
        <f>IF($AH$6=TRUE(),404.3,"")</f>
        <v/>
      </c>
      <c r="D41" s="10" t="str">
        <f>IF($AH$6=TRUE(),422.1,"")</f>
        <v/>
      </c>
      <c r="E41" s="10" t="str">
        <f>IF($AH$6=TRUE(),424.3,"")</f>
        <v/>
      </c>
      <c r="F41" s="10" t="str">
        <f>IF($AH$6=TRUE(),451.5,"")</f>
        <v/>
      </c>
      <c r="G41" s="10" t="str">
        <f>IF($AH$6=TRUE(),519.5,"")</f>
        <v/>
      </c>
      <c r="H41" s="10" t="str">
        <f>IF($AH$6=TRUE(),619.6,"")</f>
        <v/>
      </c>
      <c r="I41" s="10" t="str">
        <f>IF($AH$6=TRUE(),662.3,"")</f>
        <v/>
      </c>
      <c r="J41" s="10" t="str">
        <f>IF($AH$6=TRUE(),729,"")</f>
        <v/>
      </c>
      <c r="K41" s="10" t="str">
        <f>IF($AH$6=TRUE(),689,"")</f>
        <v/>
      </c>
      <c r="L41" s="10" t="str">
        <f>IF($AH$6=TRUE(),708.9,"")</f>
        <v/>
      </c>
      <c r="M41" s="10" t="str">
        <f>IF($AH$6=TRUE(),711.5,"")</f>
        <v/>
      </c>
      <c r="N41" s="10" t="str">
        <f>IF($AH$6=TRUE(),781.6,"")</f>
        <v/>
      </c>
      <c r="O41" s="10" t="str">
        <f>IF($AH$6=TRUE(),790.2,"")</f>
        <v/>
      </c>
      <c r="P41" s="10" t="str">
        <f>IF($AH$6=TRUE(),795.9,"")</f>
        <v/>
      </c>
      <c r="Q41" s="10" t="str">
        <f>IF($AH$6=TRUE(),797.2,"")</f>
        <v/>
      </c>
      <c r="R41" s="10" t="str">
        <f>IF($AH$6=TRUE(),789.3,"")</f>
        <v/>
      </c>
      <c r="S41" s="10" t="str">
        <f>IF($AH$6=TRUE(),784.6,"")</f>
        <v/>
      </c>
      <c r="T41" s="10" t="str">
        <f>IF($AH$6=TRUE(),723,"")</f>
        <v/>
      </c>
      <c r="U41" s="10" t="str">
        <f>IF($AH$6=TRUE(),708.6,"")</f>
        <v/>
      </c>
      <c r="V41" s="10" t="str">
        <f>IF($AH$6=TRUE(),791.5,"")</f>
        <v/>
      </c>
      <c r="W41" s="10" t="str">
        <f>IF($AH$6=TRUE(),798.9,"")</f>
        <v/>
      </c>
      <c r="X41" s="10" t="str">
        <f>IF($AH$6=TRUE(),858.8,"")</f>
        <v/>
      </c>
      <c r="Y41" s="10" t="str">
        <f>IF($AH$6=TRUE(),927.4,"")</f>
        <v/>
      </c>
      <c r="Z41" s="10" t="str">
        <f>IF($AH$6=TRUE(),939.5,"")</f>
        <v/>
      </c>
      <c r="AA41" s="10" t="str">
        <f>IF($AH$6=TRUE(),999.7,"")</f>
        <v/>
      </c>
      <c r="AB41" s="10" t="str">
        <f>IF($AH$6=TRUE(),1104.2,"")</f>
        <v/>
      </c>
      <c r="AC41" s="10" t="str">
        <f>IF($AH$6=TRUE(),1131,"")</f>
        <v/>
      </c>
      <c r="AD41" s="10" t="str">
        <f>IF($AH$6=TRUE(),1215.5,"")</f>
        <v/>
      </c>
      <c r="AE41" s="10" t="str">
        <f>IF($AH$6=TRUE(),1373,"")</f>
        <v/>
      </c>
      <c r="AF41" s="10" t="str">
        <f>IF($AH$6=TRUE(),1571.6,"")</f>
        <v/>
      </c>
      <c r="AG41" s="10" t="str">
        <f>IF($AH$6=TRUE(),1633.7,"")</f>
        <v/>
      </c>
      <c r="AH41" s="10" t="str">
        <f>IF($AH$6=TRUE(),1882.5,"")</f>
        <v/>
      </c>
      <c r="AI41" s="10" t="str">
        <f>IF($AH$6=TRUE(),1924.9,"")</f>
        <v/>
      </c>
      <c r="AJ41" s="10" t="str">
        <f>IF($AH$6=TRUE(),2344.8,"")</f>
        <v/>
      </c>
      <c r="AK41" s="10" t="str">
        <f>IF($AH$6=TRUE(),2168.2,"")</f>
        <v/>
      </c>
      <c r="AL41" s="10" t="str">
        <f>IF($AH$6=TRUE(),2182.6,"")</f>
        <v/>
      </c>
      <c r="AM41" s="10" t="str">
        <f>IF($AH$6=TRUE(),2667.9,"")</f>
        <v/>
      </c>
      <c r="AN41" s="10" t="str">
        <f>IF($AH$6=TRUE(),3081.2,"")</f>
        <v/>
      </c>
      <c r="AO41" s="10" t="str">
        <f>IF($AH$6=TRUE(),3879.3,"")</f>
        <v/>
      </c>
      <c r="AP41" s="10" t="str">
        <f>IF($AH$6=TRUE(),4273.4,"")</f>
        <v/>
      </c>
      <c r="AQ41" s="10" t="str">
        <f>IF($AH$6=TRUE(),4318.9,"")</f>
        <v/>
      </c>
      <c r="AR41" s="10" t="str">
        <f>IF($AH$6=TRUE(),5591.8,"")</f>
        <v/>
      </c>
      <c r="AS41" s="10" t="str">
        <f>IF($AH$6=TRUE(),6005.9,"")</f>
        <v/>
      </c>
      <c r="AT41" s="10" t="str">
        <f>IF($AH$6=TRUE(),7020.1,"")</f>
        <v/>
      </c>
      <c r="AU41" s="10" t="str">
        <f>IF($AH$6=TRUE(),7433.1,"")</f>
        <v/>
      </c>
      <c r="AV41" s="10" t="str">
        <f>IF($AH$6=TRUE(),7667.1,"")</f>
        <v/>
      </c>
      <c r="AW41" s="10" t="str">
        <f>IF($AH$6=TRUE(),7585.9,"")</f>
        <v/>
      </c>
      <c r="AX41" s="10" t="str">
        <f>IF($AH$6=TRUE(),8467.8,"")</f>
        <v/>
      </c>
      <c r="AY41" s="10" t="str">
        <f>IF($AH$6=TRUE(),8152.2,"")</f>
        <v/>
      </c>
      <c r="AZ41" s="10" t="str">
        <f>IF($AH$6=TRUE(),9062,"")</f>
        <v/>
      </c>
      <c r="BA41" s="10" t="str">
        <f>IF($AH$6=TRUE(),11156,"")</f>
        <v/>
      </c>
      <c r="BB41" s="10" t="str">
        <f>IF($AH$6=TRUE(),11399.8,"")</f>
        <v/>
      </c>
      <c r="BC41" s="10" t="str">
        <f>IF($AH$6=TRUE(),11730.5,"")</f>
        <v/>
      </c>
      <c r="BD41" s="10" t="str">
        <f>IF($AH$6=TRUE(),11946.5,"")</f>
        <v/>
      </c>
      <c r="BE41" s="10" t="str">
        <f>IF($AH$6=TRUE(),11902.7,"")</f>
        <v/>
      </c>
      <c r="BF41" s="10" t="str">
        <f>IF($AH$6=TRUE(),12091.9,"")</f>
        <v/>
      </c>
      <c r="BG41" s="10" t="str">
        <f>IF($AH$6=TRUE(),12616.6,"")</f>
        <v/>
      </c>
      <c r="BH41" s="10" t="str">
        <f>IF($AH$6=TRUE(),14782.4,"")</f>
        <v/>
      </c>
      <c r="BI41" s="10" t="str">
        <f>IF($AH$6=TRUE(),14335.4,"")</f>
        <v/>
      </c>
      <c r="BJ41" s="10" t="str">
        <f>IF($AH$6=TRUE(),14657.5,"")</f>
        <v/>
      </c>
      <c r="BK41" s="10" t="str">
        <f>IF($AH$6=TRUE(),15638.2,"")</f>
        <v/>
      </c>
      <c r="BL41" s="10" t="str">
        <f>IF($AH$6=TRUE(),16842.7,"")</f>
        <v/>
      </c>
      <c r="BM41" s="10" t="str">
        <f>IF($AH$6=TRUE(),17395.7,"")</f>
        <v/>
      </c>
      <c r="BN41" s="11"/>
      <c r="BO41" s="11"/>
    </row>
    <row r="42" spans="1:67" ht="15" customHeight="1">
      <c r="A42" s="12" t="s">
        <v>130</v>
      </c>
      <c r="B42" s="13" t="str">
        <f>IF($AI$6=TRUE(),258.4,"")</f>
        <v/>
      </c>
      <c r="C42" s="13" t="str">
        <f>IF($AI$6=TRUE(),260.2,"")</f>
        <v/>
      </c>
      <c r="D42" s="13" t="str">
        <f>IF($AI$6=TRUE(),263.5,"")</f>
        <v/>
      </c>
      <c r="E42" s="13" t="str">
        <f>IF($AI$6=TRUE(),265.7,"")</f>
        <v/>
      </c>
      <c r="F42" s="13" t="str">
        <f>IF($AI$6=TRUE(),284.6,"")</f>
        <v/>
      </c>
      <c r="G42" s="13" t="str">
        <f>IF($AI$6=TRUE(),319.6,"")</f>
        <v/>
      </c>
      <c r="H42" s="13" t="str">
        <f>IF($AI$6=TRUE(),377.6,"")</f>
        <v/>
      </c>
      <c r="I42" s="13" t="str">
        <f>IF($AI$6=TRUE(),397.4,"")</f>
        <v/>
      </c>
      <c r="J42" s="13" t="str">
        <f>IF($AI$6=TRUE(),423.1,"")</f>
        <v/>
      </c>
      <c r="K42" s="13" t="str">
        <f>IF($AI$6=TRUE(),410.4,"")</f>
        <v/>
      </c>
      <c r="L42" s="13" t="str">
        <f>IF($AI$6=TRUE(),402.9,"")</f>
        <v/>
      </c>
      <c r="M42" s="13" t="str">
        <f>IF($AI$6=TRUE(),406.4,"")</f>
        <v/>
      </c>
      <c r="N42" s="13" t="str">
        <f>IF($AI$6=TRUE(),455,"")</f>
        <v/>
      </c>
      <c r="O42" s="13" t="str">
        <f>IF($AI$6=TRUE(),458.6,"")</f>
        <v/>
      </c>
      <c r="P42" s="13" t="str">
        <f>IF($AI$6=TRUE(),438.9,"")</f>
        <v/>
      </c>
      <c r="Q42" s="13" t="str">
        <f>IF($AI$6=TRUE(),441.8,"")</f>
        <v/>
      </c>
      <c r="R42" s="13" t="str">
        <f>IF($AI$6=TRUE(),461.4,"")</f>
        <v/>
      </c>
      <c r="S42" s="13" t="str">
        <f>IF($AI$6=TRUE(),463.3,"")</f>
        <v/>
      </c>
      <c r="T42" s="13" t="str">
        <f>IF($AI$6=TRUE(),442,"")</f>
        <v/>
      </c>
      <c r="U42" s="13" t="str">
        <f>IF($AI$6=TRUE(),437.6,"")</f>
        <v/>
      </c>
      <c r="V42" s="13" t="str">
        <f>IF($AI$6=TRUE(),485.9,"")</f>
        <v/>
      </c>
      <c r="W42" s="13" t="str">
        <f>IF($AI$6=TRUE(),489.2,"")</f>
        <v/>
      </c>
      <c r="X42" s="13" t="str">
        <f>IF($AI$6=TRUE(),512.6,"")</f>
        <v/>
      </c>
      <c r="Y42" s="13" t="str">
        <f>IF($AI$6=TRUE(),514.7,"")</f>
        <v/>
      </c>
      <c r="Z42" s="13" t="str">
        <f>IF($AI$6=TRUE(),540,"")</f>
        <v/>
      </c>
      <c r="AA42" s="13" t="str">
        <f>IF($AI$6=TRUE(),564.6,"")</f>
        <v/>
      </c>
      <c r="AB42" s="13" t="str">
        <f>IF($AI$6=TRUE(),608.6,"")</f>
        <v/>
      </c>
      <c r="AC42" s="13" t="str">
        <f>IF($AI$6=TRUE(),638.1,"")</f>
        <v/>
      </c>
      <c r="AD42" s="13" t="str">
        <f>IF($AI$6=TRUE(),708.2,"")</f>
        <v/>
      </c>
      <c r="AE42" s="13" t="str">
        <f>IF($AI$6=TRUE(),786.7,"")</f>
        <v/>
      </c>
      <c r="AF42" s="13" t="str">
        <f>IF($AI$6=TRUE(),863.1,"")</f>
        <v/>
      </c>
      <c r="AG42" s="13" t="str">
        <f>IF($AI$6=TRUE(),882.7,"")</f>
        <v/>
      </c>
      <c r="AH42" s="13" t="str">
        <f>IF($AI$6=TRUE(),892.7,"")</f>
        <v/>
      </c>
      <c r="AI42" s="13" t="str">
        <f>IF($AI$6=TRUE(),907.7,"")</f>
        <v/>
      </c>
      <c r="AJ42" s="13" t="str">
        <f>IF($AI$6=TRUE(),1067.5,"")</f>
        <v/>
      </c>
      <c r="AK42" s="13" t="str">
        <f>IF($AI$6=TRUE(),974.7,"")</f>
        <v/>
      </c>
      <c r="AL42" s="13" t="str">
        <f>IF($AI$6=TRUE(),1000.3,"")</f>
        <v/>
      </c>
      <c r="AM42" s="13" t="str">
        <f>IF($AI$6=TRUE(),1149.6,"")</f>
        <v/>
      </c>
      <c r="AN42" s="13" t="str">
        <f>IF($AI$6=TRUE(),1318.2,"")</f>
        <v/>
      </c>
      <c r="AO42" s="13" t="str">
        <f>IF($AI$6=TRUE(),1688.8,"")</f>
        <v/>
      </c>
      <c r="AP42" s="13" t="str">
        <f>IF($AI$6=TRUE(),1834.6,"")</f>
        <v/>
      </c>
      <c r="AQ42" s="13" t="str">
        <f>IF($AI$6=TRUE(),1917.9,"")</f>
        <v/>
      </c>
      <c r="AR42" s="13" t="str">
        <f>IF($AI$6=TRUE(),1990.9,"")</f>
        <v/>
      </c>
      <c r="AS42" s="13" t="str">
        <f>IF($AI$6=TRUE(),2090,"")</f>
        <v/>
      </c>
      <c r="AT42" s="13" t="str">
        <f>IF($AI$6=TRUE(),2501.9,"")</f>
        <v/>
      </c>
      <c r="AU42" s="13" t="str">
        <f>IF($AI$6=TRUE(),2644.9,"")</f>
        <v/>
      </c>
      <c r="AV42" s="13" t="str">
        <f>IF($AI$6=TRUE(),2760.4,"")</f>
        <v/>
      </c>
      <c r="AW42" s="13" t="str">
        <f>IF($AI$6=TRUE(),2774.8,"")</f>
        <v/>
      </c>
      <c r="AX42" s="13" t="str">
        <f>IF($AI$6=TRUE(),3420.6,"")</f>
        <v/>
      </c>
      <c r="AY42" s="13" t="str">
        <f>IF($AI$6=TRUE(),3546.3,"")</f>
        <v/>
      </c>
      <c r="AZ42" s="13" t="str">
        <f>IF($AI$6=TRUE(),3450.9,"")</f>
        <v/>
      </c>
      <c r="BA42" s="13" t="str">
        <f>IF($AI$6=TRUE(),4006.4,"")</f>
        <v/>
      </c>
      <c r="BB42" s="13" t="str">
        <f>IF($AI$6=TRUE(),4028.9,"")</f>
        <v/>
      </c>
      <c r="BC42" s="13" t="str">
        <f>IF($AI$6=TRUE(),4053.8,"")</f>
        <v/>
      </c>
      <c r="BD42" s="13" t="str">
        <f>IF($AI$6=TRUE(),4447,"")</f>
        <v/>
      </c>
      <c r="BE42" s="13" t="str">
        <f>IF($AI$6=TRUE(),4533.1,"")</f>
        <v/>
      </c>
      <c r="BF42" s="13" t="str">
        <f>IF($AI$6=TRUE(),5041.9,"")</f>
        <v/>
      </c>
      <c r="BG42" s="13" t="str">
        <f>IF($AI$6=TRUE(),5180.6,"")</f>
        <v/>
      </c>
      <c r="BH42" s="13" t="str">
        <f>IF($AI$6=TRUE(),6274.5,"")</f>
        <v/>
      </c>
      <c r="BI42" s="13" t="str">
        <f>IF($AI$6=TRUE(),6544.5,"")</f>
        <v/>
      </c>
      <c r="BJ42" s="13" t="str">
        <f>IF($AI$6=TRUE(),6608.1,"")</f>
        <v/>
      </c>
      <c r="BK42" s="13" t="str">
        <f>IF($AI$6=TRUE(),6875.1,"")</f>
        <v/>
      </c>
      <c r="BL42" s="13" t="str">
        <f>IF($AI$6=TRUE(),7007.1,"")</f>
        <v/>
      </c>
      <c r="BM42" s="13" t="str">
        <f>IF($AI$6=TRUE(),7178.2,"")</f>
        <v/>
      </c>
      <c r="BN42" s="14"/>
      <c r="BO42" s="14"/>
    </row>
    <row r="43" spans="1:67" ht="15" customHeight="1">
      <c r="A43" s="9" t="s">
        <v>96</v>
      </c>
      <c r="B43" s="10" t="str">
        <f>IF($AJ$6=TRUE(),323.1,"")</f>
        <v/>
      </c>
      <c r="C43" s="10" t="str">
        <f>IF($AJ$6=TRUE(),329.7,"")</f>
        <v/>
      </c>
      <c r="D43" s="10" t="str">
        <f>IF($AJ$6=TRUE(),337.1,"")</f>
        <v/>
      </c>
      <c r="E43" s="10" t="str">
        <f>IF($AJ$6=TRUE(),342.6,"")</f>
        <v/>
      </c>
      <c r="F43" s="10" t="str">
        <f>IF($AJ$6=TRUE(),380.3,"")</f>
        <v/>
      </c>
      <c r="G43" s="10" t="str">
        <f>IF($AJ$6=TRUE(),399.9,"")</f>
        <v/>
      </c>
      <c r="H43" s="10" t="str">
        <f>IF($AJ$6=TRUE(),420.3,"")</f>
        <v/>
      </c>
      <c r="I43" s="10" t="str">
        <f>IF($AJ$6=TRUE(),429.7,"")</f>
        <v/>
      </c>
      <c r="J43" s="10" t="str">
        <f>IF($AJ$6=TRUE(),486.1,"")</f>
        <v/>
      </c>
      <c r="K43" s="10" t="str">
        <f>IF($AJ$6=TRUE(),495.3,"")</f>
        <v/>
      </c>
      <c r="L43" s="10" t="str">
        <f>IF($AJ$6=TRUE(),510.1,"")</f>
        <v/>
      </c>
      <c r="M43" s="10" t="str">
        <f>IF($AJ$6=TRUE(),524.1,"")</f>
        <v/>
      </c>
      <c r="N43" s="10" t="str">
        <f>IF($AJ$6=TRUE(),607.9,"")</f>
        <v/>
      </c>
      <c r="O43" s="10" t="str">
        <f>IF($AJ$6=TRUE(),618.6,"")</f>
        <v/>
      </c>
      <c r="P43" s="10" t="str">
        <f>IF($AJ$6=TRUE(),628.1,"")</f>
        <v/>
      </c>
      <c r="Q43" s="10" t="str">
        <f>IF($AJ$6=TRUE(),637.8,"")</f>
        <v/>
      </c>
      <c r="R43" s="10" t="str">
        <f>IF($AJ$6=TRUE(),703.7,"")</f>
        <v/>
      </c>
      <c r="S43" s="10" t="str">
        <f>IF($AJ$6=TRUE(),709.7,"")</f>
        <v/>
      </c>
      <c r="T43" s="10" t="str">
        <f>IF($AJ$6=TRUE(),715,"")</f>
        <v/>
      </c>
      <c r="U43" s="10" t="str">
        <f>IF($AJ$6=TRUE(),720.4,"")</f>
        <v/>
      </c>
      <c r="V43" s="10" t="str">
        <f>IF($AJ$6=TRUE(),778.8,"")</f>
        <v/>
      </c>
      <c r="W43" s="10" t="str">
        <f>IF($AJ$6=TRUE(),786,"")</f>
        <v/>
      </c>
      <c r="X43" s="10" t="str">
        <f>IF($AJ$6=TRUE(),793.2,"")</f>
        <v/>
      </c>
      <c r="Y43" s="10" t="str">
        <f>IF($AJ$6=TRUE(),800.4,"")</f>
        <v/>
      </c>
      <c r="Z43" s="10" t="str">
        <f>IF($AJ$6=TRUE(),871.2,"")</f>
        <v/>
      </c>
      <c r="AA43" s="10" t="str">
        <f>IF($AJ$6=TRUE(),875.6,"")</f>
        <v/>
      </c>
      <c r="AB43" s="10" t="str">
        <f>IF($AJ$6=TRUE(),888.4,"")</f>
        <v/>
      </c>
      <c r="AC43" s="10" t="str">
        <f>IF($AJ$6=TRUE(),896.4,"")</f>
        <v/>
      </c>
      <c r="AD43" s="10" t="str">
        <f>IF($AJ$6=TRUE(),1029.1,"")</f>
        <v/>
      </c>
      <c r="AE43" s="10" t="str">
        <f>IF($AJ$6=TRUE(),1075.7,"")</f>
        <v/>
      </c>
      <c r="AF43" s="10" t="str">
        <f>IF($AJ$6=TRUE(),1085.5,"")</f>
        <v/>
      </c>
      <c r="AG43" s="10" t="str">
        <f>IF($AJ$6=TRUE(),1095,"")</f>
        <v/>
      </c>
      <c r="AH43" s="10" t="str">
        <f>IF($AJ$6=TRUE(),1112.3,"")</f>
        <v/>
      </c>
      <c r="AI43" s="10" t="str">
        <f>IF($AJ$6=TRUE(),1141,"")</f>
        <v/>
      </c>
      <c r="AJ43" s="10" t="str">
        <f>IF($AJ$6=TRUE(),1390.2,"")</f>
        <v/>
      </c>
      <c r="AK43" s="10" t="str">
        <f>IF($AJ$6=TRUE(),1452.4,"")</f>
        <v/>
      </c>
      <c r="AL43" s="10" t="str">
        <f>IF($AJ$6=TRUE(),1479.2,"")</f>
        <v/>
      </c>
      <c r="AM43" s="10" t="str">
        <f>IF($AJ$6=TRUE(),1514,"")</f>
        <v/>
      </c>
      <c r="AN43" s="10" t="str">
        <f>IF($AJ$6=TRUE(),1848.6,"")</f>
        <v/>
      </c>
      <c r="AO43" s="10" t="str">
        <f>IF($AJ$6=TRUE(),2019.7,"")</f>
        <v/>
      </c>
      <c r="AP43" s="10" t="str">
        <f>IF($AJ$6=TRUE(),2033.3,"")</f>
        <v/>
      </c>
      <c r="AQ43" s="10" t="str">
        <f>IF($AJ$6=TRUE(),2063.6,"")</f>
        <v/>
      </c>
      <c r="AR43" s="10" t="str">
        <f>IF($AJ$6=TRUE(),2266.5,"")</f>
        <v/>
      </c>
      <c r="AS43" s="10" t="str">
        <f>IF($AJ$6=TRUE(),2380,"")</f>
        <v/>
      </c>
      <c r="AT43" s="10" t="str">
        <f>IF($AJ$6=TRUE(),3124.9,"")</f>
        <v/>
      </c>
      <c r="AU43" s="10" t="str">
        <f>IF($AJ$6=TRUE(),3272.5,"")</f>
        <v/>
      </c>
      <c r="AV43" s="10" t="str">
        <f>IF($AJ$6=TRUE(),3279.6,"")</f>
        <v/>
      </c>
      <c r="AW43" s="10" t="str">
        <f>IF($AJ$6=TRUE(),3296.3,"")</f>
        <v/>
      </c>
      <c r="AX43" s="10" t="str">
        <f>IF($AJ$6=TRUE(),4285.2,"")</f>
        <v/>
      </c>
      <c r="AY43" s="10" t="str">
        <f>IF($AJ$6=TRUE(),4367.6,"")</f>
        <v/>
      </c>
      <c r="AZ43" s="10" t="str">
        <f>IF($AJ$6=TRUE(),4641.2,"")</f>
        <v/>
      </c>
      <c r="BA43" s="10" t="str">
        <f>IF($AJ$6=TRUE(),4812.6,"")</f>
        <v/>
      </c>
      <c r="BB43" s="10" t="str">
        <f>IF($AJ$6=TRUE(),4812.6,"")</f>
        <v/>
      </c>
      <c r="BC43" s="10" t="str">
        <f>IF($AJ$6=TRUE(),4812.6,"")</f>
        <v/>
      </c>
      <c r="BD43" s="10" t="str">
        <f>IF($AJ$6=TRUE(),5948.4,"")</f>
        <v/>
      </c>
      <c r="BE43" s="10" t="str">
        <f>IF($AJ$6=TRUE(),6150.5,"")</f>
        <v/>
      </c>
      <c r="BF43" s="10" t="str">
        <f>IF($AJ$6=TRUE(),6309.3,"")</f>
        <v/>
      </c>
      <c r="BG43" s="10" t="str">
        <f>IF($AJ$6=TRUE(),6472.9,"")</f>
        <v/>
      </c>
      <c r="BH43" s="10" t="str">
        <f>IF($AJ$6=TRUE(),8058.8,"")</f>
        <v/>
      </c>
      <c r="BI43" s="10" t="str">
        <f>IF($AJ$6=TRUE(),8375.9,"")</f>
        <v/>
      </c>
      <c r="BJ43" s="10" t="str">
        <f>IF($AJ$6=TRUE(),8388.9,"")</f>
        <v/>
      </c>
      <c r="BK43" s="10" t="str">
        <f>IF($AJ$6=TRUE(),8738.4,"")</f>
        <v/>
      </c>
      <c r="BL43" s="10" t="str">
        <f>IF($AJ$6=TRUE(),8816.1,"")</f>
        <v/>
      </c>
      <c r="BM43" s="10" t="str">
        <f>IF($AJ$6=TRUE(),8893.8,"")</f>
        <v/>
      </c>
      <c r="BN43" s="11"/>
      <c r="BO43" s="11"/>
    </row>
  </sheetData>
  <mergeCells count="1">
    <mergeCell ref="A1:BO1"/>
  </mergeCells>
  <dataValidations count="1">
    <dataValidation type="list" sqref="B6:AJ6" xr:uid="{00000000-0002-0000-03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44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BO1"/>
    </sheetView>
  </sheetViews>
  <sheetFormatPr defaultColWidth="8.6640625" defaultRowHeight="14.25"/>
  <cols>
    <col min="1" max="1" width="25" customWidth="1"/>
    <col min="2" max="37" width="8" customWidth="1"/>
  </cols>
  <sheetData>
    <row r="1" spans="1:67" ht="30" customHeight="1">
      <c r="A1" s="85" t="s">
        <v>354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132</v>
      </c>
      <c r="C5" s="4" t="s">
        <v>133</v>
      </c>
      <c r="D5" s="4" t="s">
        <v>134</v>
      </c>
      <c r="E5" s="4" t="s">
        <v>135</v>
      </c>
      <c r="F5" s="4" t="s">
        <v>136</v>
      </c>
      <c r="G5" s="4" t="s">
        <v>137</v>
      </c>
      <c r="H5" s="4" t="s">
        <v>138</v>
      </c>
      <c r="I5" s="4" t="s">
        <v>139</v>
      </c>
      <c r="J5" s="4" t="s">
        <v>140</v>
      </c>
      <c r="K5" s="4" t="s">
        <v>141</v>
      </c>
      <c r="L5" s="4" t="s">
        <v>142</v>
      </c>
      <c r="M5" s="4" t="s">
        <v>98</v>
      </c>
      <c r="N5" s="4" t="s">
        <v>143</v>
      </c>
      <c r="O5" s="4" t="s">
        <v>144</v>
      </c>
      <c r="P5" s="4" t="s">
        <v>145</v>
      </c>
      <c r="Q5" s="4" t="s">
        <v>146</v>
      </c>
      <c r="R5" s="4" t="s">
        <v>147</v>
      </c>
      <c r="S5" s="4" t="s">
        <v>148</v>
      </c>
      <c r="T5" s="4" t="s">
        <v>149</v>
      </c>
      <c r="U5" s="4" t="s">
        <v>150</v>
      </c>
      <c r="V5" s="4" t="s">
        <v>151</v>
      </c>
      <c r="W5" s="4" t="s">
        <v>152</v>
      </c>
      <c r="X5" s="4" t="s">
        <v>153</v>
      </c>
      <c r="Y5" s="4" t="s">
        <v>154</v>
      </c>
      <c r="Z5" s="4" t="s">
        <v>155</v>
      </c>
      <c r="AA5" s="4" t="s">
        <v>156</v>
      </c>
      <c r="AB5" s="4" t="s">
        <v>157</v>
      </c>
      <c r="AC5" s="4" t="s">
        <v>158</v>
      </c>
      <c r="AD5" s="4" t="s">
        <v>159</v>
      </c>
      <c r="AE5" s="4" t="s">
        <v>160</v>
      </c>
      <c r="AF5" s="4" t="s">
        <v>161</v>
      </c>
      <c r="AG5" s="4" t="s">
        <v>162</v>
      </c>
      <c r="AH5" s="4" t="s">
        <v>163</v>
      </c>
      <c r="AI5" s="4" t="s">
        <v>164</v>
      </c>
      <c r="AJ5" s="4" t="s">
        <v>165</v>
      </c>
      <c r="AK5" s="4" t="s">
        <v>96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 t="b">
        <f>FALSE()</f>
        <v>0</v>
      </c>
      <c r="AF6" s="6" t="b">
        <f>FALSE()</f>
        <v>0</v>
      </c>
      <c r="AG6" s="6" t="b">
        <f>FALSE()</f>
        <v>0</v>
      </c>
      <c r="AH6" s="6" t="b">
        <f>FALSE()</f>
        <v>0</v>
      </c>
      <c r="AI6" s="6" t="b">
        <f>FALSE()</f>
        <v>0</v>
      </c>
      <c r="AJ6" s="6" t="b">
        <f>FALSE()</f>
        <v>0</v>
      </c>
      <c r="AK6" s="6" t="b">
        <f>FALSE()</f>
        <v>0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132</v>
      </c>
      <c r="B9" s="10">
        <f>IF($B$6=TRUE(),219,"")</f>
        <v>219</v>
      </c>
      <c r="C9" s="10">
        <f>IF($B$6=TRUE(),219.3,"")</f>
        <v>219.3</v>
      </c>
      <c r="D9" s="10">
        <f>IF($B$6=TRUE(),219.8,"")</f>
        <v>219.8</v>
      </c>
      <c r="E9" s="10">
        <f>IF($B$6=TRUE(),249.5,"")</f>
        <v>249.5</v>
      </c>
      <c r="F9" s="10">
        <f>IF($B$6=TRUE(),287.9,"")</f>
        <v>287.89999999999998</v>
      </c>
      <c r="G9" s="10">
        <f>IF($B$6=TRUE(),334.4,"")</f>
        <v>334.4</v>
      </c>
      <c r="H9" s="10">
        <f>IF($B$6=TRUE(),348.6,"")</f>
        <v>348.6</v>
      </c>
      <c r="I9" s="10">
        <f>IF($B$6=TRUE(),349.3,"")</f>
        <v>349.3</v>
      </c>
      <c r="J9" s="10">
        <f>IF($B$6=TRUE(),385.2,"")</f>
        <v>385.2</v>
      </c>
      <c r="K9" s="10">
        <f>IF($B$6=TRUE(),385.9,"")</f>
        <v>385.9</v>
      </c>
      <c r="L9" s="10">
        <f>IF($B$6=TRUE(),387.3,"")</f>
        <v>387.3</v>
      </c>
      <c r="M9" s="10">
        <f>IF($B$6=TRUE(),388.5,"")</f>
        <v>388.5</v>
      </c>
      <c r="N9" s="10">
        <f>IF($B$6=TRUE(),429.3,"")</f>
        <v>429.3</v>
      </c>
      <c r="O9" s="10">
        <f>IF($B$6=TRUE(),430.2,"")</f>
        <v>430.2</v>
      </c>
      <c r="P9" s="10">
        <f>IF($B$6=TRUE(),431.4,"")</f>
        <v>431.4</v>
      </c>
      <c r="Q9" s="10">
        <f>IF($B$6=TRUE(),432,"")</f>
        <v>432</v>
      </c>
      <c r="R9" s="10">
        <f>IF($B$6=TRUE(),449.9,"")</f>
        <v>449.9</v>
      </c>
      <c r="S9" s="10">
        <f>IF($B$6=TRUE(),450.5,"")</f>
        <v>450.5</v>
      </c>
      <c r="T9" s="10">
        <f>IF($B$6=TRUE(),457,"")</f>
        <v>457</v>
      </c>
      <c r="U9" s="10">
        <f>IF($B$6=TRUE(),457.5,"")</f>
        <v>457.5</v>
      </c>
      <c r="V9" s="10">
        <f>IF($B$6=TRUE(),461.9,"")</f>
        <v>461.9</v>
      </c>
      <c r="W9" s="10">
        <f>IF($B$6=TRUE(),462.6,"")</f>
        <v>462.6</v>
      </c>
      <c r="X9" s="10">
        <f>IF($B$6=TRUE(),508.4,"")</f>
        <v>508.4</v>
      </c>
      <c r="Y9" s="10">
        <f>IF($B$6=TRUE(),508.9,"")</f>
        <v>508.9</v>
      </c>
      <c r="Z9" s="10">
        <f>IF($B$6=TRUE(),563.3,"")</f>
        <v>563.29999999999995</v>
      </c>
      <c r="AA9" s="10">
        <f>IF($B$6=TRUE(),559.5,"")</f>
        <v>559.5</v>
      </c>
      <c r="AB9" s="10">
        <f>IF($B$6=TRUE(),560.2,"")</f>
        <v>560.20000000000005</v>
      </c>
      <c r="AC9" s="10">
        <f>IF($B$6=TRUE(),601,"")</f>
        <v>601</v>
      </c>
      <c r="AD9" s="10">
        <f>IF($B$6=TRUE(),733.7,"")</f>
        <v>733.7</v>
      </c>
      <c r="AE9" s="10">
        <f>IF($B$6=TRUE(),760.6,"")</f>
        <v>760.6</v>
      </c>
      <c r="AF9" s="10">
        <f>IF($B$6=TRUE(),887.1,"")</f>
        <v>887.1</v>
      </c>
      <c r="AG9" s="10">
        <f>IF($B$6=TRUE(),924.4,"")</f>
        <v>924.4</v>
      </c>
      <c r="AH9" s="10">
        <f>IF($B$6=TRUE(),936.9,"")</f>
        <v>936.9</v>
      </c>
      <c r="AI9" s="10">
        <f>IF($B$6=TRUE(),992.5,"")</f>
        <v>992.5</v>
      </c>
      <c r="AJ9" s="10">
        <f>IF($B$6=TRUE(),1082.5,"")</f>
        <v>1082.5</v>
      </c>
      <c r="AK9" s="10">
        <f>IF($B$6=TRUE(),1150.1,"")</f>
        <v>1150.0999999999999</v>
      </c>
      <c r="AL9" s="10">
        <f>IF($B$6=TRUE(),1163,"")</f>
        <v>1163</v>
      </c>
      <c r="AM9" s="10">
        <f>IF($B$6=TRUE(),1192.3,"")</f>
        <v>1192.3</v>
      </c>
      <c r="AN9" s="10">
        <f>IF($B$6=TRUE(),1400.6,"")</f>
        <v>1400.6</v>
      </c>
      <c r="AO9" s="10">
        <f>IF($B$6=TRUE(),1604.3,"")</f>
        <v>1604.3</v>
      </c>
      <c r="AP9" s="10">
        <f>IF($B$6=TRUE(),1668.2,"")</f>
        <v>1668.2</v>
      </c>
      <c r="AQ9" s="10">
        <f>IF($B$6=TRUE(),1849.3,"")</f>
        <v>1849.3</v>
      </c>
      <c r="AR9" s="10">
        <f>IF($B$6=TRUE(),1998,"")</f>
        <v>1998</v>
      </c>
      <c r="AS9" s="10">
        <f>IF($B$6=TRUE(),2108.9,"")</f>
        <v>2108.9</v>
      </c>
      <c r="AT9" s="10">
        <f>IF($B$6=TRUE(),2392.7,"")</f>
        <v>2392.6999999999998</v>
      </c>
      <c r="AU9" s="10">
        <f>IF($B$6=TRUE(),2505,"")</f>
        <v>2505</v>
      </c>
      <c r="AV9" s="10">
        <f>IF($B$6=TRUE(),2526.8,"")</f>
        <v>2526.8000000000002</v>
      </c>
      <c r="AW9" s="10">
        <f>IF($B$6=TRUE(),2607.9,"")</f>
        <v>2607.9</v>
      </c>
      <c r="AX9" s="10">
        <f>IF($B$6=TRUE(),2812.4,"")</f>
        <v>2812.4</v>
      </c>
      <c r="AY9" s="10">
        <f>IF($B$6=TRUE(),2951.3,"")</f>
        <v>2951.3</v>
      </c>
      <c r="AZ9" s="10">
        <f>IF($B$6=TRUE(),3292.7,"")</f>
        <v>3292.7</v>
      </c>
      <c r="BA9" s="10">
        <f>IF($B$6=TRUE(),3546.4,"")</f>
        <v>3546.4</v>
      </c>
      <c r="BB9" s="10">
        <f>IF($B$6=TRUE(),3781.8,"")</f>
        <v>3781.8</v>
      </c>
      <c r="BC9" s="10">
        <f>IF($B$6=TRUE(),4017.1,"")</f>
        <v>4017.1</v>
      </c>
      <c r="BD9" s="10">
        <f>IF($B$6=TRUE(),4336.3,"")</f>
        <v>4336.3</v>
      </c>
      <c r="BE9" s="10">
        <f>IF($B$6=TRUE(),4356.5,"")</f>
        <v>4356.5</v>
      </c>
      <c r="BF9" s="10">
        <f>IF($B$6=TRUE(),4571.7,"")</f>
        <v>4571.7</v>
      </c>
      <c r="BG9" s="10">
        <f>IF($B$6=TRUE(),4582.8,"")</f>
        <v>4582.8</v>
      </c>
      <c r="BH9" s="10">
        <f>IF($B$6=TRUE(),5125.4,"")</f>
        <v>5125.3999999999996</v>
      </c>
      <c r="BI9" s="10">
        <f>IF($B$6=TRUE(),5153,"")</f>
        <v>5153</v>
      </c>
      <c r="BJ9" s="10">
        <f>IF($B$6=TRUE(),5627.7,"")</f>
        <v>5627.7</v>
      </c>
      <c r="BK9" s="10">
        <f>IF($B$6=TRUE(),6114.8,"")</f>
        <v>6114.8</v>
      </c>
      <c r="BL9" s="10">
        <f>IF($B$6=TRUE(),6125.4,"")</f>
        <v>6125.4</v>
      </c>
      <c r="BM9" s="10">
        <f>IF($B$6=TRUE(),6644.9,"")</f>
        <v>6644.9</v>
      </c>
      <c r="BN9" s="11"/>
      <c r="BO9" s="11"/>
    </row>
    <row r="10" spans="1:67" ht="15" customHeight="1">
      <c r="A10" s="12" t="s">
        <v>133</v>
      </c>
      <c r="B10" s="13">
        <f>IF($C$6=TRUE(),268.3,"")</f>
        <v>268.3</v>
      </c>
      <c r="C10" s="13">
        <f>IF($C$6=TRUE(),269.3,"")</f>
        <v>269.3</v>
      </c>
      <c r="D10" s="13">
        <f>IF($C$6=TRUE(),271.1,"")</f>
        <v>271.10000000000002</v>
      </c>
      <c r="E10" s="13">
        <f>IF($C$6=TRUE(),296.7,"")</f>
        <v>296.7</v>
      </c>
      <c r="F10" s="13">
        <f>IF($C$6=TRUE(),358.4,"")</f>
        <v>358.4</v>
      </c>
      <c r="G10" s="13">
        <f>IF($C$6=TRUE(),397.7,"")</f>
        <v>397.7</v>
      </c>
      <c r="H10" s="13">
        <f>IF($C$6=TRUE(),469.7,"")</f>
        <v>469.7</v>
      </c>
      <c r="I10" s="13">
        <f>IF($C$6=TRUE(),471.8,"")</f>
        <v>471.8</v>
      </c>
      <c r="J10" s="13">
        <f>IF($C$6=TRUE(),522.1,"")</f>
        <v>522.1</v>
      </c>
      <c r="K10" s="13">
        <f>IF($C$6=TRUE(),524.7,"")</f>
        <v>524.70000000000005</v>
      </c>
      <c r="L10" s="13">
        <f>IF($C$6=TRUE(),530.2,"")</f>
        <v>530.20000000000005</v>
      </c>
      <c r="M10" s="13">
        <f>IF($C$6=TRUE(),535.1,"")</f>
        <v>535.1</v>
      </c>
      <c r="N10" s="13">
        <f>IF($C$6=TRUE(),597.7,"")</f>
        <v>597.70000000000005</v>
      </c>
      <c r="O10" s="13">
        <f>IF($C$6=TRUE(),600.8,"")</f>
        <v>600.79999999999995</v>
      </c>
      <c r="P10" s="13">
        <f>IF($C$6=TRUE(),604,"")</f>
        <v>604</v>
      </c>
      <c r="Q10" s="13">
        <f>IF($C$6=TRUE(),606.9,"")</f>
        <v>606.9</v>
      </c>
      <c r="R10" s="13">
        <f>IF($C$6=TRUE(),642.2,"")</f>
        <v>642.20000000000005</v>
      </c>
      <c r="S10" s="13">
        <f>IF($C$6=TRUE(),644.1,"")</f>
        <v>644.1</v>
      </c>
      <c r="T10" s="13">
        <f>IF($C$6=TRUE(),646.1,"")</f>
        <v>646.1</v>
      </c>
      <c r="U10" s="13">
        <f>IF($C$6=TRUE(),648,"")</f>
        <v>648</v>
      </c>
      <c r="V10" s="13">
        <f>IF($C$6=TRUE(),666.9,"")</f>
        <v>666.9</v>
      </c>
      <c r="W10" s="13">
        <f>IF($C$6=TRUE(),669.1,"")</f>
        <v>669.1</v>
      </c>
      <c r="X10" s="13">
        <f>IF($C$6=TRUE(),701.1,"")</f>
        <v>701.1</v>
      </c>
      <c r="Y10" s="13">
        <f>IF($C$6=TRUE(),703.2,"")</f>
        <v>703.2</v>
      </c>
      <c r="Z10" s="13">
        <f>IF($C$6=TRUE(),747.6,"")</f>
        <v>747.6</v>
      </c>
      <c r="AA10" s="13">
        <f>IF($C$6=TRUE(),773.4,"")</f>
        <v>773.4</v>
      </c>
      <c r="AB10" s="13">
        <f>IF($C$6=TRUE(),771.2,"")</f>
        <v>771.2</v>
      </c>
      <c r="AC10" s="13">
        <f>IF($C$6=TRUE(),787.5,"")</f>
        <v>787.5</v>
      </c>
      <c r="AD10" s="13">
        <f>IF($C$6=TRUE(),948.3,"")</f>
        <v>948.3</v>
      </c>
      <c r="AE10" s="13">
        <f>IF($C$6=TRUE(),984.1,"")</f>
        <v>984.1</v>
      </c>
      <c r="AF10" s="13">
        <f>IF($C$6=TRUE(),1104.4,"")</f>
        <v>1104.4000000000001</v>
      </c>
      <c r="AG10" s="13">
        <f>IF($C$6=TRUE(),1140.9,"")</f>
        <v>1140.9000000000001</v>
      </c>
      <c r="AH10" s="13">
        <f>IF($C$6=TRUE(),1156.9,"")</f>
        <v>1156.9000000000001</v>
      </c>
      <c r="AI10" s="13">
        <f>IF($C$6=TRUE(),1214.8,"")</f>
        <v>1214.8</v>
      </c>
      <c r="AJ10" s="13">
        <f>IF($C$6=TRUE(),1366.1,"")</f>
        <v>1366.1</v>
      </c>
      <c r="AK10" s="13">
        <f>IF($C$6=TRUE(),1462.2,"")</f>
        <v>1462.2</v>
      </c>
      <c r="AL10" s="13">
        <f>IF($C$6=TRUE(),1467.1,"")</f>
        <v>1467.1</v>
      </c>
      <c r="AM10" s="13">
        <f>IF($C$6=TRUE(),1491.6,"")</f>
        <v>1491.6</v>
      </c>
      <c r="AN10" s="13">
        <f>IF($C$6=TRUE(),1731.9,"")</f>
        <v>1731.9</v>
      </c>
      <c r="AO10" s="13">
        <f>IF($C$6=TRUE(),2002.5,"")</f>
        <v>2002.5</v>
      </c>
      <c r="AP10" s="13">
        <f>IF($C$6=TRUE(),2159.5,"")</f>
        <v>2159.5</v>
      </c>
      <c r="AQ10" s="13">
        <f>IF($C$6=TRUE(),2338.4,"")</f>
        <v>2338.4</v>
      </c>
      <c r="AR10" s="13">
        <f>IF($C$6=TRUE(),2394.3,"")</f>
        <v>2394.3000000000002</v>
      </c>
      <c r="AS10" s="13">
        <f>IF($C$6=TRUE(),2566,"")</f>
        <v>2566</v>
      </c>
      <c r="AT10" s="13">
        <f>IF($C$6=TRUE(),2995.4,"")</f>
        <v>2995.4</v>
      </c>
      <c r="AU10" s="13">
        <f>IF($C$6=TRUE(),3132.9,"")</f>
        <v>3132.9</v>
      </c>
      <c r="AV10" s="13">
        <f>IF($C$6=TRUE(),3153.4,"")</f>
        <v>3153.4</v>
      </c>
      <c r="AW10" s="13">
        <f>IF($C$6=TRUE(),3232.1,"")</f>
        <v>3232.1</v>
      </c>
      <c r="AX10" s="13">
        <f>IF($C$6=TRUE(),3630.9,"")</f>
        <v>3630.9</v>
      </c>
      <c r="AY10" s="13">
        <f>IF($C$6=TRUE(),3729.3,"")</f>
        <v>3729.3</v>
      </c>
      <c r="AZ10" s="13">
        <f>IF($C$6=TRUE(),4188.3,"")</f>
        <v>4188.3</v>
      </c>
      <c r="BA10" s="13">
        <f>IF($C$6=TRUE(),4468.8,"")</f>
        <v>4468.8</v>
      </c>
      <c r="BB10" s="13">
        <f>IF($C$6=TRUE(),4695.8,"")</f>
        <v>4695.8</v>
      </c>
      <c r="BC10" s="13">
        <f>IF($C$6=TRUE(),4908.3,"")</f>
        <v>4908.3</v>
      </c>
      <c r="BD10" s="13">
        <f>IF($C$6=TRUE(),5461,"")</f>
        <v>5461</v>
      </c>
      <c r="BE10" s="13">
        <f>IF($C$6=TRUE(),5516.7,"")</f>
        <v>5516.7</v>
      </c>
      <c r="BF10" s="13">
        <f>IF($C$6=TRUE(),5669.3,"")</f>
        <v>5669.3</v>
      </c>
      <c r="BG10" s="13">
        <f>IF($C$6=TRUE(),5713.6,"")</f>
        <v>5713.6</v>
      </c>
      <c r="BH10" s="13">
        <f>IF($C$6=TRUE(),6525.5,"")</f>
        <v>6525.5</v>
      </c>
      <c r="BI10" s="13">
        <f>IF($C$6=TRUE(),6614.7,"")</f>
        <v>6614.7</v>
      </c>
      <c r="BJ10" s="13">
        <f>IF($C$6=TRUE(),7036.6,"")</f>
        <v>7036.6</v>
      </c>
      <c r="BK10" s="13">
        <f>IF($C$6=TRUE(),7615.9,"")</f>
        <v>7615.9</v>
      </c>
      <c r="BL10" s="13">
        <f>IF($C$6=TRUE(),7636.4,"")</f>
        <v>7636.4</v>
      </c>
      <c r="BM10" s="13">
        <f>IF($C$6=TRUE(),8325,"")</f>
        <v>8325</v>
      </c>
      <c r="BN10" s="14"/>
      <c r="BO10" s="14"/>
    </row>
    <row r="11" spans="1:67" ht="15" customHeight="1">
      <c r="A11" s="9" t="s">
        <v>134</v>
      </c>
      <c r="B11" s="10">
        <f>IF($D$6=TRUE(),253.6,"")</f>
        <v>253.6</v>
      </c>
      <c r="C11" s="10">
        <f>IF($D$6=TRUE(),254.1,"")</f>
        <v>254.1</v>
      </c>
      <c r="D11" s="10">
        <f>IF($D$6=TRUE(),254.7,"")</f>
        <v>254.7</v>
      </c>
      <c r="E11" s="10">
        <f>IF($D$6=TRUE(),288.1,"")</f>
        <v>288.10000000000002</v>
      </c>
      <c r="F11" s="10">
        <f>IF($D$6=TRUE(),350,"")</f>
        <v>350</v>
      </c>
      <c r="G11" s="10">
        <f>IF($D$6=TRUE(),398.3,"")</f>
        <v>398.3</v>
      </c>
      <c r="H11" s="10">
        <f>IF($D$6=TRUE(),411.6,"")</f>
        <v>411.6</v>
      </c>
      <c r="I11" s="10">
        <f>IF($D$6=TRUE(),412.5,"")</f>
        <v>412.5</v>
      </c>
      <c r="J11" s="10">
        <f>IF($D$6=TRUE(),455.3,"")</f>
        <v>455.3</v>
      </c>
      <c r="K11" s="10">
        <f>IF($D$6=TRUE(),456.4,"")</f>
        <v>456.4</v>
      </c>
      <c r="L11" s="10">
        <f>IF($D$6=TRUE(),458.4,"")</f>
        <v>458.4</v>
      </c>
      <c r="M11" s="10">
        <f>IF($D$6=TRUE(),460.3,"")</f>
        <v>460.3</v>
      </c>
      <c r="N11" s="10">
        <f>IF($D$6=TRUE(),525.1,"")</f>
        <v>525.1</v>
      </c>
      <c r="O11" s="10">
        <f>IF($D$6=TRUE(),526.4,"")</f>
        <v>526.4</v>
      </c>
      <c r="P11" s="10">
        <f>IF($D$6=TRUE(),512.2,"")</f>
        <v>512.20000000000005</v>
      </c>
      <c r="Q11" s="10">
        <f>IF($D$6=TRUE(),513.2,"")</f>
        <v>513.20000000000005</v>
      </c>
      <c r="R11" s="10">
        <f>IF($D$6=TRUE(),536.6,"")</f>
        <v>536.6</v>
      </c>
      <c r="S11" s="10">
        <f>IF($D$6=TRUE(),537.5,"")</f>
        <v>537.5</v>
      </c>
      <c r="T11" s="10">
        <f>IF($D$6=TRUE(),539.8,"")</f>
        <v>539.79999999999995</v>
      </c>
      <c r="U11" s="10">
        <f>IF($D$6=TRUE(),540.4,"")</f>
        <v>540.4</v>
      </c>
      <c r="V11" s="10">
        <f>IF($D$6=TRUE(),561,"")</f>
        <v>561</v>
      </c>
      <c r="W11" s="10">
        <f>IF($D$6=TRUE(),561.9,"")</f>
        <v>561.9</v>
      </c>
      <c r="X11" s="10">
        <f>IF($D$6=TRUE(),591.6,"")</f>
        <v>591.6</v>
      </c>
      <c r="Y11" s="10">
        <f>IF($D$6=TRUE(),592.3,"")</f>
        <v>592.29999999999995</v>
      </c>
      <c r="Z11" s="10">
        <f>IF($D$6=TRUE(),625.1,"")</f>
        <v>625.1</v>
      </c>
      <c r="AA11" s="10">
        <f>IF($D$6=TRUE(),651.4,"")</f>
        <v>651.4</v>
      </c>
      <c r="AB11" s="10">
        <f>IF($D$6=TRUE(),652.3,"")</f>
        <v>652.29999999999995</v>
      </c>
      <c r="AC11" s="10">
        <f>IF($D$6=TRUE(),678.2,"")</f>
        <v>678.2</v>
      </c>
      <c r="AD11" s="10">
        <f>IF($D$6=TRUE(),849.3,"")</f>
        <v>849.3</v>
      </c>
      <c r="AE11" s="10">
        <f>IF($D$6=TRUE(),934.2,"")</f>
        <v>934.2</v>
      </c>
      <c r="AF11" s="10">
        <f>IF($D$6=TRUE(),1044.8,"")</f>
        <v>1044.8</v>
      </c>
      <c r="AG11" s="10">
        <f>IF($D$6=TRUE(),1091,"")</f>
        <v>1091</v>
      </c>
      <c r="AH11" s="10">
        <f>IF($D$6=TRUE(),1162.6,"")</f>
        <v>1162.5999999999999</v>
      </c>
      <c r="AI11" s="10">
        <f>IF($D$6=TRUE(),1280.8,"")</f>
        <v>1280.8</v>
      </c>
      <c r="AJ11" s="10">
        <f>IF($D$6=TRUE(),1376.6,"")</f>
        <v>1376.6</v>
      </c>
      <c r="AK11" s="10">
        <f>IF($D$6=TRUE(),1486.7,"")</f>
        <v>1486.7</v>
      </c>
      <c r="AL11" s="10">
        <f>IF($D$6=TRUE(),1490.6,"")</f>
        <v>1490.6</v>
      </c>
      <c r="AM11" s="10">
        <f>IF($D$6=TRUE(),1516.5,"")</f>
        <v>1516.5</v>
      </c>
      <c r="AN11" s="10">
        <f>IF($D$6=TRUE(),1753.4,"")</f>
        <v>1753.4</v>
      </c>
      <c r="AO11" s="10">
        <f>IF($D$6=TRUE(),1965.9,"")</f>
        <v>1965.9</v>
      </c>
      <c r="AP11" s="10">
        <f>IF($D$6=TRUE(),2044.2,"")</f>
        <v>2044.2</v>
      </c>
      <c r="AQ11" s="10">
        <f>IF($D$6=TRUE(),2304.9,"")</f>
        <v>2304.9</v>
      </c>
      <c r="AR11" s="10">
        <f>IF($D$6=TRUE(),2544.2,"")</f>
        <v>2544.1999999999998</v>
      </c>
      <c r="AS11" s="10">
        <f>IF($D$6=TRUE(),2335.2,"")</f>
        <v>2335.1999999999998</v>
      </c>
      <c r="AT11" s="10">
        <f>IF($D$6=TRUE(),2702.7,"")</f>
        <v>2702.7</v>
      </c>
      <c r="AU11" s="10">
        <f>IF($D$6=TRUE(),2826.5,"")</f>
        <v>2826.5</v>
      </c>
      <c r="AV11" s="10">
        <f>IF($D$6=TRUE(),2828.7,"")</f>
        <v>2828.7</v>
      </c>
      <c r="AW11" s="10">
        <f>IF($D$6=TRUE(),2977.4,"")</f>
        <v>2977.4</v>
      </c>
      <c r="AX11" s="10">
        <f>IF($D$6=TRUE(),3208.4,"")</f>
        <v>3208.4</v>
      </c>
      <c r="AY11" s="10">
        <f>IF($D$6=TRUE(),3377.1,"")</f>
        <v>3377.1</v>
      </c>
      <c r="AZ11" s="10">
        <f>IF($D$6=TRUE(),3766.6,"")</f>
        <v>3766.6</v>
      </c>
      <c r="BA11" s="10">
        <f>IF($D$6=TRUE(),4055.2,"")</f>
        <v>4055.2</v>
      </c>
      <c r="BB11" s="10">
        <f>IF($D$6=TRUE(),4317.1,"")</f>
        <v>4317.1000000000004</v>
      </c>
      <c r="BC11" s="10">
        <f>IF($D$6=TRUE(),4585.6,"")</f>
        <v>4585.6000000000004</v>
      </c>
      <c r="BD11" s="10">
        <f>IF($D$6=TRUE(),5155.7,"")</f>
        <v>5155.7</v>
      </c>
      <c r="BE11" s="10">
        <f>IF($D$6=TRUE(),5184.8,"")</f>
        <v>5184.8</v>
      </c>
      <c r="BF11" s="10">
        <f>IF($D$6=TRUE(),5368.5,"")</f>
        <v>5368.5</v>
      </c>
      <c r="BG11" s="10">
        <f>IF($D$6=TRUE(),5385.2,"")</f>
        <v>5385.2</v>
      </c>
      <c r="BH11" s="10">
        <f>IF($D$6=TRUE(),6001.3,"")</f>
        <v>6001.3</v>
      </c>
      <c r="BI11" s="10">
        <f>IF($D$6=TRUE(),6038.8,"")</f>
        <v>6038.8</v>
      </c>
      <c r="BJ11" s="10">
        <f>IF($D$6=TRUE(),6572.9,"")</f>
        <v>6572.9</v>
      </c>
      <c r="BK11" s="10">
        <f>IF($D$6=TRUE(),7116.3,"")</f>
        <v>7116.3</v>
      </c>
      <c r="BL11" s="10">
        <f>IF($D$6=TRUE(),7128.1,"")</f>
        <v>7128.1</v>
      </c>
      <c r="BM11" s="10">
        <f>IF($D$6=TRUE(),7981.6,"")</f>
        <v>7981.6</v>
      </c>
      <c r="BN11" s="11"/>
      <c r="BO11" s="11"/>
    </row>
    <row r="12" spans="1:67" ht="15" customHeight="1">
      <c r="A12" s="12" t="s">
        <v>135</v>
      </c>
      <c r="B12" s="13">
        <f>IF($E$6=TRUE(),230.8,"")</f>
        <v>230.8</v>
      </c>
      <c r="C12" s="13">
        <f>IF($E$6=TRUE(),232.1,"")</f>
        <v>232.1</v>
      </c>
      <c r="D12" s="13">
        <f>IF($E$6=TRUE(),233.8,"")</f>
        <v>233.8</v>
      </c>
      <c r="E12" s="13">
        <f>IF($E$6=TRUE(),275,"")</f>
        <v>275</v>
      </c>
      <c r="F12" s="13">
        <f>IF($E$6=TRUE(),325.8,"")</f>
        <v>325.8</v>
      </c>
      <c r="G12" s="13">
        <f>IF($E$6=TRUE(),364.6,"")</f>
        <v>364.6</v>
      </c>
      <c r="H12" s="13">
        <f>IF($E$6=TRUE(),394.2,"")</f>
        <v>394.2</v>
      </c>
      <c r="I12" s="13">
        <f>IF($E$6=TRUE(),396.4,"")</f>
        <v>396.4</v>
      </c>
      <c r="J12" s="13">
        <f>IF($E$6=TRUE(),436.3,"")</f>
        <v>436.3</v>
      </c>
      <c r="K12" s="13">
        <f>IF($E$6=TRUE(),437.9,"")</f>
        <v>437.9</v>
      </c>
      <c r="L12" s="13">
        <f>IF($E$6=TRUE(),439.7,"")</f>
        <v>439.7</v>
      </c>
      <c r="M12" s="13">
        <f>IF($E$6=TRUE(),441.3,"")</f>
        <v>441.3</v>
      </c>
      <c r="N12" s="13">
        <f>IF($E$6=TRUE(),505.7,"")</f>
        <v>505.7</v>
      </c>
      <c r="O12" s="13">
        <f>IF($E$6=TRUE(),507.4,"")</f>
        <v>507.4</v>
      </c>
      <c r="P12" s="13">
        <f>IF($E$6=TRUE(),490,"")</f>
        <v>490</v>
      </c>
      <c r="Q12" s="13">
        <f>IF($E$6=TRUE(),490.8,"")</f>
        <v>490.8</v>
      </c>
      <c r="R12" s="13">
        <f>IF($E$6=TRUE(),512.2,"")</f>
        <v>512.20000000000005</v>
      </c>
      <c r="S12" s="13">
        <f>IF($E$6=TRUE(),513,"")</f>
        <v>513</v>
      </c>
      <c r="T12" s="13">
        <f>IF($E$6=TRUE(),519,"")</f>
        <v>519</v>
      </c>
      <c r="U12" s="13">
        <f>IF($E$6=TRUE(),519.3,"")</f>
        <v>519.29999999999995</v>
      </c>
      <c r="V12" s="13">
        <f>IF($E$6=TRUE(),537.9,"")</f>
        <v>537.9</v>
      </c>
      <c r="W12" s="13">
        <f>IF($E$6=TRUE(),539,"")</f>
        <v>539</v>
      </c>
      <c r="X12" s="13">
        <f>IF($E$6=TRUE(),578.7,"")</f>
        <v>578.70000000000005</v>
      </c>
      <c r="Y12" s="13">
        <f>IF($E$6=TRUE(),579.5,"")</f>
        <v>579.5</v>
      </c>
      <c r="Z12" s="13">
        <f>IF($E$6=TRUE(),610.4,"")</f>
        <v>610.4</v>
      </c>
      <c r="AA12" s="13">
        <f>IF($E$6=TRUE(),635.3,"")</f>
        <v>635.29999999999995</v>
      </c>
      <c r="AB12" s="13">
        <f>IF($E$6=TRUE(),661.2,"")</f>
        <v>661.2</v>
      </c>
      <c r="AC12" s="13">
        <f>IF($E$6=TRUE(),700.5,"")</f>
        <v>700.5</v>
      </c>
      <c r="AD12" s="13">
        <f>IF($E$6=TRUE(),862.2,"")</f>
        <v>862.2</v>
      </c>
      <c r="AE12" s="13">
        <f>IF($E$6=TRUE(),943.7,"")</f>
        <v>943.7</v>
      </c>
      <c r="AF12" s="13">
        <f>IF($E$6=TRUE(),1008,"")</f>
        <v>1008</v>
      </c>
      <c r="AG12" s="13">
        <f>IF($E$6=TRUE(),1076.6,"")</f>
        <v>1076.5999999999999</v>
      </c>
      <c r="AH12" s="13">
        <f>IF($E$6=TRUE(),1091.1,"")</f>
        <v>1091.0999999999999</v>
      </c>
      <c r="AI12" s="13">
        <f>IF($E$6=TRUE(),1157.7,"")</f>
        <v>1157.7</v>
      </c>
      <c r="AJ12" s="13">
        <f>IF($E$6=TRUE(),1254.4,"")</f>
        <v>1254.4000000000001</v>
      </c>
      <c r="AK12" s="13">
        <f>IF($E$6=TRUE(),1324.5,"")</f>
        <v>1324.5</v>
      </c>
      <c r="AL12" s="13">
        <f>IF($E$6=TRUE(),1334.6,"")</f>
        <v>1334.6</v>
      </c>
      <c r="AM12" s="13">
        <f>IF($E$6=TRUE(),1372.9,"")</f>
        <v>1372.9</v>
      </c>
      <c r="AN12" s="13">
        <f>IF($E$6=TRUE(),1554.9,"")</f>
        <v>1554.9</v>
      </c>
      <c r="AO12" s="13">
        <f>IF($E$6=TRUE(),1748.3,"")</f>
        <v>1748.3</v>
      </c>
      <c r="AP12" s="13">
        <f>IF($E$6=TRUE(),1857.3,"")</f>
        <v>1857.3</v>
      </c>
      <c r="AQ12" s="13">
        <f>IF($E$6=TRUE(),2077.1,"")</f>
        <v>2077.1</v>
      </c>
      <c r="AR12" s="13">
        <f>IF($E$6=TRUE(),2040.1,"")</f>
        <v>2040.1</v>
      </c>
      <c r="AS12" s="13">
        <f>IF($E$6=TRUE(),2050.8,"")</f>
        <v>2050.8000000000002</v>
      </c>
      <c r="AT12" s="13">
        <f>IF($E$6=TRUE(),2373.8,"")</f>
        <v>2373.8000000000002</v>
      </c>
      <c r="AU12" s="13">
        <f>IF($E$6=TRUE(),2496.3,"")</f>
        <v>2496.3000000000002</v>
      </c>
      <c r="AV12" s="13">
        <f>IF($E$6=TRUE(),2502.2,"")</f>
        <v>2502.1999999999998</v>
      </c>
      <c r="AW12" s="13">
        <f>IF($E$6=TRUE(),2635.2,"")</f>
        <v>2635.2</v>
      </c>
      <c r="AX12" s="13">
        <f>IF($E$6=TRUE(),2859.6,"")</f>
        <v>2859.6</v>
      </c>
      <c r="AY12" s="13">
        <f>IF($E$6=TRUE(),3028.9,"")</f>
        <v>3028.9</v>
      </c>
      <c r="AZ12" s="13">
        <f>IF($E$6=TRUE(),3361.4,"")</f>
        <v>3361.4</v>
      </c>
      <c r="BA12" s="13">
        <f>IF($E$6=TRUE(),3620.2,"")</f>
        <v>3620.2</v>
      </c>
      <c r="BB12" s="13">
        <f>IF($E$6=TRUE(),3781.7,"")</f>
        <v>3781.7</v>
      </c>
      <c r="BC12" s="13">
        <f>IF($E$6=TRUE(),4035.2,"")</f>
        <v>4035.2</v>
      </c>
      <c r="BD12" s="13">
        <f>IF($E$6=TRUE(),4448.9,"")</f>
        <v>4448.8999999999996</v>
      </c>
      <c r="BE12" s="13">
        <f>IF($E$6=TRUE(),4494.3,"")</f>
        <v>4494.3</v>
      </c>
      <c r="BF12" s="13">
        <f>IF($E$6=TRUE(),4646.9,"")</f>
        <v>4646.8999999999996</v>
      </c>
      <c r="BG12" s="13">
        <f>IF($E$6=TRUE(),4674.7,"")</f>
        <v>4674.7</v>
      </c>
      <c r="BH12" s="13">
        <f>IF($E$6=TRUE(),5280.4,"")</f>
        <v>5280.4</v>
      </c>
      <c r="BI12" s="13">
        <f>IF($E$6=TRUE(),5341.5,"")</f>
        <v>5341.5</v>
      </c>
      <c r="BJ12" s="13">
        <f>IF($E$6=TRUE(),5761.3,"")</f>
        <v>5761.3</v>
      </c>
      <c r="BK12" s="13">
        <f>IF($E$6=TRUE(),6248,"")</f>
        <v>6248</v>
      </c>
      <c r="BL12" s="13">
        <f>IF($E$6=TRUE(),6269.5,"")</f>
        <v>6269.5</v>
      </c>
      <c r="BM12" s="13">
        <f>IF($E$6=TRUE(),6731.1,"")</f>
        <v>6731.1</v>
      </c>
      <c r="BN12" s="14"/>
      <c r="BO12" s="14"/>
    </row>
    <row r="13" spans="1:67" ht="15" customHeight="1">
      <c r="A13" s="9" t="s">
        <v>136</v>
      </c>
      <c r="B13" s="10">
        <f>IF($F$6=TRUE(),238.1,"")</f>
        <v>238.1</v>
      </c>
      <c r="C13" s="10">
        <f>IF($F$6=TRUE(),238.6,"")</f>
        <v>238.6</v>
      </c>
      <c r="D13" s="10">
        <f>IF($F$6=TRUE(),239.1,"")</f>
        <v>239.1</v>
      </c>
      <c r="E13" s="10">
        <f>IF($F$6=TRUE(),275.6,"")</f>
        <v>275.60000000000002</v>
      </c>
      <c r="F13" s="10">
        <f>IF($F$6=TRUE(),330.8,"")</f>
        <v>330.8</v>
      </c>
      <c r="G13" s="10">
        <f>IF($F$6=TRUE(),391.8,"")</f>
        <v>391.8</v>
      </c>
      <c r="H13" s="10">
        <f>IF($F$6=TRUE(),396.3,"")</f>
        <v>396.3</v>
      </c>
      <c r="I13" s="10">
        <f>IF($F$6=TRUE(),409.8,"")</f>
        <v>409.8</v>
      </c>
      <c r="J13" s="10">
        <f>IF($F$6=TRUE(),451.2,"")</f>
        <v>451.2</v>
      </c>
      <c r="K13" s="10">
        <f>IF($F$6=TRUE(),451.9,"")</f>
        <v>451.9</v>
      </c>
      <c r="L13" s="10">
        <f>IF($F$6=TRUE(),453.2,"")</f>
        <v>453.2</v>
      </c>
      <c r="M13" s="10">
        <f>IF($F$6=TRUE(),454.1,"")</f>
        <v>454.1</v>
      </c>
      <c r="N13" s="10">
        <f>IF($F$6=TRUE(),521.7,"")</f>
        <v>521.70000000000005</v>
      </c>
      <c r="O13" s="10">
        <f>IF($F$6=TRUE(),522.5,"")</f>
        <v>522.5</v>
      </c>
      <c r="P13" s="10">
        <f>IF($F$6=TRUE(),502.3,"")</f>
        <v>502.3</v>
      </c>
      <c r="Q13" s="10">
        <f>IF($F$6=TRUE(),502.7,"")</f>
        <v>502.7</v>
      </c>
      <c r="R13" s="10">
        <f>IF($F$6=TRUE(),522.4,"")</f>
        <v>522.4</v>
      </c>
      <c r="S13" s="10">
        <f>IF($F$6=TRUE(),522.9,"")</f>
        <v>522.9</v>
      </c>
      <c r="T13" s="10">
        <f>IF($F$6=TRUE(),525.7,"")</f>
        <v>525.70000000000005</v>
      </c>
      <c r="U13" s="10">
        <f>IF($F$6=TRUE(),526,"")</f>
        <v>526</v>
      </c>
      <c r="V13" s="10">
        <f>IF($F$6=TRUE(),553.3,"")</f>
        <v>553.29999999999995</v>
      </c>
      <c r="W13" s="10">
        <f>IF($F$6=TRUE(),553.9,"")</f>
        <v>553.9</v>
      </c>
      <c r="X13" s="10">
        <f>IF($F$6=TRUE(),556.7,"")</f>
        <v>556.70000000000005</v>
      </c>
      <c r="Y13" s="10">
        <f>IF($F$6=TRUE(),557,"")</f>
        <v>557</v>
      </c>
      <c r="Z13" s="10">
        <f>IF($F$6=TRUE(),586.2,"")</f>
        <v>586.20000000000005</v>
      </c>
      <c r="AA13" s="10">
        <f>IF($F$6=TRUE(),612.2,"")</f>
        <v>612.20000000000005</v>
      </c>
      <c r="AB13" s="10">
        <f>IF($F$6=TRUE(),643.2,"")</f>
        <v>643.20000000000005</v>
      </c>
      <c r="AC13" s="10">
        <f>IF($F$6=TRUE(),684.1,"")</f>
        <v>684.1</v>
      </c>
      <c r="AD13" s="10">
        <f>IF($F$6=TRUE(),886.3,"")</f>
        <v>886.3</v>
      </c>
      <c r="AE13" s="10">
        <f>IF($F$6=TRUE(),965.4,"")</f>
        <v>965.4</v>
      </c>
      <c r="AF13" s="10">
        <f>IF($F$6=TRUE(),1042.5,"")</f>
        <v>1042.5</v>
      </c>
      <c r="AG13" s="10">
        <f>IF($F$6=TRUE(),1118.5,"")</f>
        <v>1118.5</v>
      </c>
      <c r="AH13" s="10">
        <f>IF($F$6=TRUE(),1201.4,"")</f>
        <v>1201.4000000000001</v>
      </c>
      <c r="AI13" s="10">
        <f>IF($F$6=TRUE(),1329.5,"")</f>
        <v>1329.5</v>
      </c>
      <c r="AJ13" s="10">
        <f>IF($F$6=TRUE(),1444,"")</f>
        <v>1444</v>
      </c>
      <c r="AK13" s="10">
        <f>IF($F$6=TRUE(),1548.5,"")</f>
        <v>1548.5</v>
      </c>
      <c r="AL13" s="10">
        <f>IF($F$6=TRUE(),1552.9,"")</f>
        <v>1552.9</v>
      </c>
      <c r="AM13" s="10">
        <f>IF($F$6=TRUE(),1593.4,"")</f>
        <v>1593.4</v>
      </c>
      <c r="AN13" s="10">
        <f>IF($F$6=TRUE(),1781.4,"")</f>
        <v>1781.4</v>
      </c>
      <c r="AO13" s="10">
        <f>IF($F$6=TRUE(),2056.3,"")</f>
        <v>2056.3000000000002</v>
      </c>
      <c r="AP13" s="10">
        <f>IF($F$6=TRUE(),2159.4,"")</f>
        <v>2159.4</v>
      </c>
      <c r="AQ13" s="10">
        <f>IF($F$6=TRUE(),2524.9,"")</f>
        <v>2524.9</v>
      </c>
      <c r="AR13" s="10">
        <f>IF($F$6=TRUE(),2452.1,"")</f>
        <v>2452.1</v>
      </c>
      <c r="AS13" s="10">
        <f>IF($F$6=TRUE(),2513.3,"")</f>
        <v>2513.3000000000002</v>
      </c>
      <c r="AT13" s="10">
        <f>IF($F$6=TRUE(),2866.3,"")</f>
        <v>2866.3</v>
      </c>
      <c r="AU13" s="10">
        <f>IF($F$6=TRUE(),2976.8,"")</f>
        <v>2976.8</v>
      </c>
      <c r="AV13" s="10">
        <f>IF($F$6=TRUE(),3143.7,"")</f>
        <v>3143.7</v>
      </c>
      <c r="AW13" s="10">
        <f>IF($F$6=TRUE(),3219.6,"")</f>
        <v>3219.6</v>
      </c>
      <c r="AX13" s="10">
        <f>IF($F$6=TRUE(),3492.2,"")</f>
        <v>3492.2</v>
      </c>
      <c r="AY13" s="10">
        <f>IF($F$6=TRUE(),3718.3,"")</f>
        <v>3718.3</v>
      </c>
      <c r="AZ13" s="10">
        <f>IF($F$6=TRUE(),4055.4,"")</f>
        <v>4055.4</v>
      </c>
      <c r="BA13" s="10">
        <f>IF($F$6=TRUE(),4371.3,"")</f>
        <v>4371.3</v>
      </c>
      <c r="BB13" s="10">
        <f>IF($F$6=TRUE(),4580,"")</f>
        <v>4580</v>
      </c>
      <c r="BC13" s="10">
        <f>IF($F$6=TRUE(),4967.2,"")</f>
        <v>4967.2</v>
      </c>
      <c r="BD13" s="10">
        <f>IF($F$6=TRUE(),5684.4,"")</f>
        <v>5684.4</v>
      </c>
      <c r="BE13" s="10">
        <f>IF($F$6=TRUE(),5705,"")</f>
        <v>5705</v>
      </c>
      <c r="BF13" s="10">
        <f>IF($F$6=TRUE(),5588.5,"")</f>
        <v>5588.5</v>
      </c>
      <c r="BG13" s="10">
        <f>IF($F$6=TRUE(),5599.9,"")</f>
        <v>5599.9</v>
      </c>
      <c r="BH13" s="10">
        <f>IF($F$6=TRUE(),6323.5,"")</f>
        <v>6323.5</v>
      </c>
      <c r="BI13" s="10">
        <f>IF($F$6=TRUE(),6351,"")</f>
        <v>6351</v>
      </c>
      <c r="BJ13" s="10">
        <f>IF($F$6=TRUE(),6765.4,"")</f>
        <v>6765.4</v>
      </c>
      <c r="BK13" s="10">
        <f>IF($F$6=TRUE(),7504.5,"")</f>
        <v>7504.5</v>
      </c>
      <c r="BL13" s="10">
        <f>IF($F$6=TRUE(),7515.2,"")</f>
        <v>7515.2</v>
      </c>
      <c r="BM13" s="10">
        <f>IF($F$6=TRUE(),8291.2,"")</f>
        <v>8291.2000000000007</v>
      </c>
      <c r="BN13" s="11"/>
      <c r="BO13" s="11"/>
    </row>
    <row r="14" spans="1:67" ht="15" customHeight="1">
      <c r="A14" s="12" t="s">
        <v>137</v>
      </c>
      <c r="B14" s="13" t="str">
        <f>IF($G$6=TRUE(),362.8,"")</f>
        <v/>
      </c>
      <c r="C14" s="13" t="str">
        <f>IF($G$6=TRUE(),363.9,"")</f>
        <v/>
      </c>
      <c r="D14" s="13" t="str">
        <f>IF($G$6=TRUE(),366,"")</f>
        <v/>
      </c>
      <c r="E14" s="13" t="str">
        <f>IF($G$6=TRUE(),422.4,"")</f>
        <v/>
      </c>
      <c r="F14" s="13" t="str">
        <f>IF($G$6=TRUE(),493.6,"")</f>
        <v/>
      </c>
      <c r="G14" s="13" t="str">
        <f>IF($G$6=TRUE(),653.7,"")</f>
        <v/>
      </c>
      <c r="H14" s="13" t="str">
        <f>IF($G$6=TRUE(),900.4,"")</f>
        <v/>
      </c>
      <c r="I14" s="13" t="str">
        <f>IF($G$6=TRUE(),803.8,"")</f>
        <v/>
      </c>
      <c r="J14" s="13" t="str">
        <f>IF($G$6=TRUE(),888.2,"")</f>
        <v/>
      </c>
      <c r="K14" s="13" t="str">
        <f>IF($G$6=TRUE(),850.3,"")</f>
        <v/>
      </c>
      <c r="L14" s="13" t="str">
        <f>IF($G$6=TRUE(),767.5,"")</f>
        <v/>
      </c>
      <c r="M14" s="13" t="str">
        <f>IF($G$6=TRUE(),773.2,"")</f>
        <v/>
      </c>
      <c r="N14" s="13" t="str">
        <f>IF($G$6=TRUE(),868.4,"")</f>
        <v/>
      </c>
      <c r="O14" s="13" t="str">
        <f>IF($G$6=TRUE(),921.6,"")</f>
        <v/>
      </c>
      <c r="P14" s="13" t="str">
        <f>IF($G$6=TRUE(),832.6,"")</f>
        <v/>
      </c>
      <c r="Q14" s="13" t="str">
        <f>IF($G$6=TRUE(),836.1,"")</f>
        <v/>
      </c>
      <c r="R14" s="13" t="str">
        <f>IF($G$6=TRUE(),776,"")</f>
        <v/>
      </c>
      <c r="S14" s="13" t="str">
        <f>IF($G$6=TRUE(),778.2,"")</f>
        <v/>
      </c>
      <c r="T14" s="13" t="str">
        <f>IF($G$6=TRUE(),771.2,"")</f>
        <v/>
      </c>
      <c r="U14" s="13" t="str">
        <f>IF($G$6=TRUE(),773.3,"")</f>
        <v/>
      </c>
      <c r="V14" s="13" t="str">
        <f>IF($G$6=TRUE(),776.9,"")</f>
        <v/>
      </c>
      <c r="W14" s="13" t="str">
        <f>IF($G$6=TRUE(),779.4,"")</f>
        <v/>
      </c>
      <c r="X14" s="13" t="str">
        <f>IF($G$6=TRUE(),866.1,"")</f>
        <v/>
      </c>
      <c r="Y14" s="13" t="str">
        <f>IF($G$6=TRUE(),906.2,"")</f>
        <v/>
      </c>
      <c r="Z14" s="13" t="str">
        <f>IF($G$6=TRUE(),998.9,"")</f>
        <v/>
      </c>
      <c r="AA14" s="13" t="str">
        <f>IF($G$6=TRUE(),1050,"")</f>
        <v/>
      </c>
      <c r="AB14" s="13" t="str">
        <f>IF($G$6=TRUE(),1091.6,"")</f>
        <v/>
      </c>
      <c r="AC14" s="13" t="str">
        <f>IF($G$6=TRUE(),1169.3,"")</f>
        <v/>
      </c>
      <c r="AD14" s="13" t="str">
        <f>IF($G$6=TRUE(),1388.9,"")</f>
        <v/>
      </c>
      <c r="AE14" s="13" t="str">
        <f>IF($G$6=TRUE(),1424.9,"")</f>
        <v/>
      </c>
      <c r="AF14" s="13" t="str">
        <f>IF($G$6=TRUE(),1656.3,"")</f>
        <v/>
      </c>
      <c r="AG14" s="13" t="str">
        <f>IF($G$6=TRUE(),1882.5,"")</f>
        <v/>
      </c>
      <c r="AH14" s="13" t="str">
        <f>IF($G$6=TRUE(),1806,"")</f>
        <v/>
      </c>
      <c r="AI14" s="13" t="str">
        <f>IF($G$6=TRUE(),1633.4,"")</f>
        <v/>
      </c>
      <c r="AJ14" s="13" t="str">
        <f>IF($G$6=TRUE(),2102.2,"")</f>
        <v/>
      </c>
      <c r="AK14" s="13" t="str">
        <f>IF($G$6=TRUE(),2084.2,"")</f>
        <v/>
      </c>
      <c r="AL14" s="13" t="str">
        <f>IF($G$6=TRUE(),2066.3,"")</f>
        <v/>
      </c>
      <c r="AM14" s="13" t="str">
        <f>IF($G$6=TRUE(),2142.6,"")</f>
        <v/>
      </c>
      <c r="AN14" s="13" t="str">
        <f>IF($G$6=TRUE(),2417.8,"")</f>
        <v/>
      </c>
      <c r="AO14" s="13" t="str">
        <f>IF($G$6=TRUE(),2997,"")</f>
        <v/>
      </c>
      <c r="AP14" s="13" t="str">
        <f>IF($G$6=TRUE(),3231.6,"")</f>
        <v/>
      </c>
      <c r="AQ14" s="13" t="str">
        <f>IF($G$6=TRUE(),3529.2,"")</f>
        <v/>
      </c>
      <c r="AR14" s="13" t="str">
        <f>IF($G$6=TRUE(),3991.8,"")</f>
        <v/>
      </c>
      <c r="AS14" s="13" t="str">
        <f>IF($G$6=TRUE(),4526.2,"")</f>
        <v/>
      </c>
      <c r="AT14" s="13" t="str">
        <f>IF($G$6=TRUE(),4946.9,"")</f>
        <v/>
      </c>
      <c r="AU14" s="13" t="str">
        <f>IF($G$6=TRUE(),4956.8,"")</f>
        <v/>
      </c>
      <c r="AV14" s="13" t="str">
        <f>IF($G$6=TRUE(),5485.9,"")</f>
        <v/>
      </c>
      <c r="AW14" s="13" t="str">
        <f>IF($G$6=TRUE(),5714.1,"")</f>
        <v/>
      </c>
      <c r="AX14" s="13" t="str">
        <f>IF($G$6=TRUE(),6135.1,"")</f>
        <v/>
      </c>
      <c r="AY14" s="13" t="str">
        <f>IF($G$6=TRUE(),6150.6,"")</f>
        <v/>
      </c>
      <c r="AZ14" s="13" t="str">
        <f>IF($G$6=TRUE(),6752.8,"")</f>
        <v/>
      </c>
      <c r="BA14" s="13" t="str">
        <f>IF($G$6=TRUE(),7161.1,"")</f>
        <v/>
      </c>
      <c r="BB14" s="13" t="str">
        <f>IF($G$6=TRUE(),8384,"")</f>
        <v/>
      </c>
      <c r="BC14" s="13" t="str">
        <f>IF($G$6=TRUE(),8749.2,"")</f>
        <v/>
      </c>
      <c r="BD14" s="13" t="str">
        <f>IF($G$6=TRUE(),9033.4,"")</f>
        <v/>
      </c>
      <c r="BE14" s="13" t="str">
        <f>IF($G$6=TRUE(),9006.3,"")</f>
        <v/>
      </c>
      <c r="BF14" s="13" t="str">
        <f>IF($G$6=TRUE(),9382.7,"")</f>
        <v/>
      </c>
      <c r="BG14" s="13" t="str">
        <f>IF($G$6=TRUE(),10038.2,"")</f>
        <v/>
      </c>
      <c r="BH14" s="13" t="str">
        <f>IF($G$6=TRUE(),11925.1,"")</f>
        <v/>
      </c>
      <c r="BI14" s="13" t="str">
        <f>IF($G$6=TRUE(),12028.3,"")</f>
        <v/>
      </c>
      <c r="BJ14" s="13" t="str">
        <f>IF($G$6=TRUE(),12657.6,"")</f>
        <v/>
      </c>
      <c r="BK14" s="13" t="str">
        <f>IF($G$6=TRUE(),14259.7,"")</f>
        <v/>
      </c>
      <c r="BL14" s="13" t="str">
        <f>IF($G$6=TRUE(),14282.4,"")</f>
        <v/>
      </c>
      <c r="BM14" s="13" t="str">
        <f>IF($G$6=TRUE(),15445.1,"")</f>
        <v/>
      </c>
      <c r="BN14" s="14"/>
      <c r="BO14" s="14"/>
    </row>
    <row r="15" spans="1:67" ht="15" customHeight="1">
      <c r="A15" s="9" t="s">
        <v>138</v>
      </c>
      <c r="B15" s="10" t="str">
        <f>IF($H$6=TRUE(),416.7,"")</f>
        <v/>
      </c>
      <c r="C15" s="10" t="str">
        <f>IF($H$6=TRUE(),424.3,"")</f>
        <v/>
      </c>
      <c r="D15" s="10" t="str">
        <f>IF($H$6=TRUE(),424.8,"")</f>
        <v/>
      </c>
      <c r="E15" s="10" t="str">
        <f>IF($H$6=TRUE(),490.9,"")</f>
        <v/>
      </c>
      <c r="F15" s="10" t="str">
        <f>IF($H$6=TRUE(),569,"")</f>
        <v/>
      </c>
      <c r="G15" s="10" t="str">
        <f>IF($H$6=TRUE(),704.5,"")</f>
        <v/>
      </c>
      <c r="H15" s="10" t="str">
        <f>IF($H$6=TRUE(),897.2,"")</f>
        <v/>
      </c>
      <c r="I15" s="10" t="str">
        <f>IF($H$6=TRUE(),866,"")</f>
        <v/>
      </c>
      <c r="J15" s="10" t="str">
        <f>IF($H$6=TRUE(),860,"")</f>
        <v/>
      </c>
      <c r="K15" s="10" t="str">
        <f>IF($H$6=TRUE(),791.1,"")</f>
        <v/>
      </c>
      <c r="L15" s="10" t="str">
        <f>IF($H$6=TRUE(),756.2,"")</f>
        <v/>
      </c>
      <c r="M15" s="10" t="str">
        <f>IF($H$6=TRUE(),775.6,"")</f>
        <v/>
      </c>
      <c r="N15" s="10" t="str">
        <f>IF($H$6=TRUE(),798.7,"")</f>
        <v/>
      </c>
      <c r="O15" s="10" t="str">
        <f>IF($H$6=TRUE(),865.1,"")</f>
        <v/>
      </c>
      <c r="P15" s="10" t="str">
        <f>IF($H$6=TRUE(),868.1,"")</f>
        <v/>
      </c>
      <c r="Q15" s="10" t="str">
        <f>IF($H$6=TRUE(),868.5,"")</f>
        <v/>
      </c>
      <c r="R15" s="10" t="str">
        <f>IF($H$6=TRUE(),880.7,"")</f>
        <v/>
      </c>
      <c r="S15" s="10" t="str">
        <f>IF($H$6=TRUE(),881.1,"")</f>
        <v/>
      </c>
      <c r="T15" s="10" t="str">
        <f>IF($H$6=TRUE(),740.9,"")</f>
        <v/>
      </c>
      <c r="U15" s="10" t="str">
        <f>IF($H$6=TRUE(),741.2,"")</f>
        <v/>
      </c>
      <c r="V15" s="10" t="str">
        <f>IF($H$6=TRUE(),740.4,"")</f>
        <v/>
      </c>
      <c r="W15" s="10" t="str">
        <f>IF($H$6=TRUE(),740.9,"")</f>
        <v/>
      </c>
      <c r="X15" s="10" t="str">
        <f>IF($H$6=TRUE(),845.5,"")</f>
        <v/>
      </c>
      <c r="Y15" s="10" t="str">
        <f>IF($H$6=TRUE(),896,"")</f>
        <v/>
      </c>
      <c r="Z15" s="10" t="str">
        <f>IF($H$6=TRUE(),1009.5,"")</f>
        <v/>
      </c>
      <c r="AA15" s="10" t="str">
        <f>IF($H$6=TRUE(),1030.8,"")</f>
        <v/>
      </c>
      <c r="AB15" s="10" t="str">
        <f>IF($H$6=TRUE(),1108.2,"")</f>
        <v/>
      </c>
      <c r="AC15" s="10" t="str">
        <f>IF($H$6=TRUE(),1218.3,"")</f>
        <v/>
      </c>
      <c r="AD15" s="10" t="str">
        <f>IF($H$6=TRUE(),1459.9,"")</f>
        <v/>
      </c>
      <c r="AE15" s="10" t="str">
        <f>IF($H$6=TRUE(),1819,"")</f>
        <v/>
      </c>
      <c r="AF15" s="10" t="str">
        <f>IF($H$6=TRUE(),1839.8,"")</f>
        <v/>
      </c>
      <c r="AG15" s="10" t="str">
        <f>IF($H$6=TRUE(),2206.7,"")</f>
        <v/>
      </c>
      <c r="AH15" s="10" t="str">
        <f>IF($H$6=TRUE(),2313,"")</f>
        <v/>
      </c>
      <c r="AI15" s="10" t="str">
        <f>IF($H$6=TRUE(),2058.6,"")</f>
        <v/>
      </c>
      <c r="AJ15" s="10" t="str">
        <f>IF($H$6=TRUE(),2568,"")</f>
        <v/>
      </c>
      <c r="AK15" s="10" t="str">
        <f>IF($H$6=TRUE(),2504.6,"")</f>
        <v/>
      </c>
      <c r="AL15" s="10" t="str">
        <f>IF($H$6=TRUE(),2480.9,"")</f>
        <v/>
      </c>
      <c r="AM15" s="10" t="str">
        <f>IF($H$6=TRUE(),2590.8,"")</f>
        <v/>
      </c>
      <c r="AN15" s="10" t="str">
        <f>IF($H$6=TRUE(),2853.4,"")</f>
        <v/>
      </c>
      <c r="AO15" s="10" t="str">
        <f>IF($H$6=TRUE(),3690.8,"")</f>
        <v/>
      </c>
      <c r="AP15" s="10" t="str">
        <f>IF($H$6=TRUE(),4041.5,"")</f>
        <v/>
      </c>
      <c r="AQ15" s="10" t="str">
        <f>IF($H$6=TRUE(),4545.5,"")</f>
        <v/>
      </c>
      <c r="AR15" s="10" t="str">
        <f>IF($H$6=TRUE(),6138.6,"")</f>
        <v/>
      </c>
      <c r="AS15" s="10" t="str">
        <f>IF($H$6=TRUE(),6841,"")</f>
        <v/>
      </c>
      <c r="AT15" s="10" t="str">
        <f>IF($H$6=TRUE(),7216,"")</f>
        <v/>
      </c>
      <c r="AU15" s="10" t="str">
        <f>IF($H$6=TRUE(),7227,"")</f>
        <v/>
      </c>
      <c r="AV15" s="10" t="str">
        <f>IF($H$6=TRUE(),7898.9,"")</f>
        <v/>
      </c>
      <c r="AW15" s="10" t="str">
        <f>IF($H$6=TRUE(),8505.4,"")</f>
        <v/>
      </c>
      <c r="AX15" s="10" t="str">
        <f>IF($H$6=TRUE(),8719.7,"")</f>
        <v/>
      </c>
      <c r="AY15" s="10" t="str">
        <f>IF($H$6=TRUE(),8773.4,"")</f>
        <v/>
      </c>
      <c r="AZ15" s="10" t="str">
        <f>IF($H$6=TRUE(),9868.4,"")</f>
        <v/>
      </c>
      <c r="BA15" s="10" t="str">
        <f>IF($H$6=TRUE(),10109.9,"")</f>
        <v/>
      </c>
      <c r="BB15" s="10" t="str">
        <f>IF($H$6=TRUE(),12372.6,"")</f>
        <v/>
      </c>
      <c r="BC15" s="10" t="str">
        <f>IF($H$6=TRUE(),12481.5,"")</f>
        <v/>
      </c>
      <c r="BD15" s="10" t="str">
        <f>IF($H$6=TRUE(),12297.7,"")</f>
        <v/>
      </c>
      <c r="BE15" s="10" t="str">
        <f>IF($H$6=TRUE(),12145.4,"")</f>
        <v/>
      </c>
      <c r="BF15" s="10" t="str">
        <f>IF($H$6=TRUE(),12811.7,"")</f>
        <v/>
      </c>
      <c r="BG15" s="10" t="str">
        <f>IF($H$6=TRUE(),13798,"")</f>
        <v/>
      </c>
      <c r="BH15" s="10" t="str">
        <f>IF($H$6=TRUE(),16391.8,"")</f>
        <v/>
      </c>
      <c r="BI15" s="10" t="str">
        <f>IF($H$6=TRUE(),16412,"")</f>
        <v/>
      </c>
      <c r="BJ15" s="10" t="str">
        <f>IF($H$6=TRUE(),17094.6,"")</f>
        <v/>
      </c>
      <c r="BK15" s="10" t="str">
        <f>IF($H$6=TRUE(),19595,"")</f>
        <v/>
      </c>
      <c r="BL15" s="10" t="str">
        <f>IF($H$6=TRUE(),19652.6,"")</f>
        <v/>
      </c>
      <c r="BM15" s="10" t="str">
        <f>IF($H$6=TRUE(),21302.4,"")</f>
        <v/>
      </c>
      <c r="BN15" s="11"/>
      <c r="BO15" s="11"/>
    </row>
    <row r="16" spans="1:67" ht="15" customHeight="1">
      <c r="A16" s="12" t="s">
        <v>139</v>
      </c>
      <c r="B16" s="13" t="str">
        <f>IF($I$6=TRUE(),386.2,"")</f>
        <v/>
      </c>
      <c r="C16" s="13" t="str">
        <f>IF($I$6=TRUE(),389.2,"")</f>
        <v/>
      </c>
      <c r="D16" s="13" t="str">
        <f>IF($I$6=TRUE(),394.3,"")</f>
        <v/>
      </c>
      <c r="E16" s="13" t="str">
        <f>IF($I$6=TRUE(),426.9,"")</f>
        <v/>
      </c>
      <c r="F16" s="13" t="str">
        <f>IF($I$6=TRUE(),474.7,"")</f>
        <v/>
      </c>
      <c r="G16" s="13" t="str">
        <f>IF($I$6=TRUE(),510.1,"")</f>
        <v/>
      </c>
      <c r="H16" s="13" t="str">
        <f>IF($I$6=TRUE(),587,"")</f>
        <v/>
      </c>
      <c r="I16" s="13" t="str">
        <f>IF($I$6=TRUE(),593.4,"")</f>
        <v/>
      </c>
      <c r="J16" s="13" t="str">
        <f>IF($I$6=TRUE(),651.1,"")</f>
        <v/>
      </c>
      <c r="K16" s="13" t="str">
        <f>IF($I$6=TRUE(),658.5,"")</f>
        <v/>
      </c>
      <c r="L16" s="13" t="str">
        <f>IF($I$6=TRUE(),635.3,"")</f>
        <v/>
      </c>
      <c r="M16" s="13" t="str">
        <f>IF($I$6=TRUE(),649.4,"")</f>
        <v/>
      </c>
      <c r="N16" s="13" t="str">
        <f>IF($I$6=TRUE(),735.9,"")</f>
        <v/>
      </c>
      <c r="O16" s="13" t="str">
        <f>IF($I$6=TRUE(),745.1,"")</f>
        <v/>
      </c>
      <c r="P16" s="13" t="str">
        <f>IF($I$6=TRUE(),754.6,"")</f>
        <v/>
      </c>
      <c r="Q16" s="13" t="str">
        <f>IF($I$6=TRUE(),762.8,"")</f>
        <v/>
      </c>
      <c r="R16" s="13" t="str">
        <f>IF($I$6=TRUE(),820.1,"")</f>
        <v/>
      </c>
      <c r="S16" s="13" t="str">
        <f>IF($I$6=TRUE(),826,"")</f>
        <v/>
      </c>
      <c r="T16" s="13" t="str">
        <f>IF($I$6=TRUE(),832.3,"")</f>
        <v/>
      </c>
      <c r="U16" s="13" t="str">
        <f>IF($I$6=TRUE(),837.5,"")</f>
        <v/>
      </c>
      <c r="V16" s="13" t="str">
        <f>IF($I$6=TRUE(),862.4,"")</f>
        <v/>
      </c>
      <c r="W16" s="13" t="str">
        <f>IF($I$6=TRUE(),868.9,"")</f>
        <v/>
      </c>
      <c r="X16" s="13" t="str">
        <f>IF($I$6=TRUE(),914.8,"")</f>
        <v/>
      </c>
      <c r="Y16" s="13" t="str">
        <f>IF($I$6=TRUE(),920.7,"")</f>
        <v/>
      </c>
      <c r="Z16" s="13" t="str">
        <f>IF($I$6=TRUE(),1034.2,"")</f>
        <v/>
      </c>
      <c r="AA16" s="13" t="str">
        <f>IF($I$6=TRUE(),1042.1,"")</f>
        <v/>
      </c>
      <c r="AB16" s="13" t="str">
        <f>IF($I$6=TRUE(),1041.8,"")</f>
        <v/>
      </c>
      <c r="AC16" s="13" t="str">
        <f>IF($I$6=TRUE(),1055.6,"")</f>
        <v/>
      </c>
      <c r="AD16" s="13" t="str">
        <f>IF($I$6=TRUE(),1202.8,"")</f>
        <v/>
      </c>
      <c r="AE16" s="13" t="str">
        <f>IF($I$6=TRUE(),1286.3,"")</f>
        <v/>
      </c>
      <c r="AF16" s="13" t="str">
        <f>IF($I$6=TRUE(),1347.1,"")</f>
        <v/>
      </c>
      <c r="AG16" s="13" t="str">
        <f>IF($I$6=TRUE(),1438.2,"")</f>
        <v/>
      </c>
      <c r="AH16" s="13" t="str">
        <f>IF($I$6=TRUE(),1409.7,"")</f>
        <v/>
      </c>
      <c r="AI16" s="13" t="str">
        <f>IF($I$6=TRUE(),1428.3,"")</f>
        <v/>
      </c>
      <c r="AJ16" s="13" t="str">
        <f>IF($I$6=TRUE(),1817.6,"")</f>
        <v/>
      </c>
      <c r="AK16" s="13" t="str">
        <f>IF($I$6=TRUE(),1865.2,"")</f>
        <v/>
      </c>
      <c r="AL16" s="13" t="str">
        <f>IF($I$6=TRUE(),1812.1,"")</f>
        <v/>
      </c>
      <c r="AM16" s="13" t="str">
        <f>IF($I$6=TRUE(),1876.5,"")</f>
        <v/>
      </c>
      <c r="AN16" s="13" t="str">
        <f>IF($I$6=TRUE(),2268.7,"")</f>
        <v/>
      </c>
      <c r="AO16" s="13" t="str">
        <f>IF($I$6=TRUE(),2525.7,"")</f>
        <v/>
      </c>
      <c r="AP16" s="13" t="str">
        <f>IF($I$6=TRUE(),2613.4,"")</f>
        <v/>
      </c>
      <c r="AQ16" s="13" t="str">
        <f>IF($I$6=TRUE(),2690,"")</f>
        <v/>
      </c>
      <c r="AR16" s="13" t="str">
        <f>IF($I$6=TRUE(),3255.2,"")</f>
        <v/>
      </c>
      <c r="AS16" s="13" t="str">
        <f>IF($I$6=TRUE(),3385.8,"")</f>
        <v/>
      </c>
      <c r="AT16" s="13" t="str">
        <f>IF($I$6=TRUE(),4025.1,"")</f>
        <v/>
      </c>
      <c r="AU16" s="13" t="str">
        <f>IF($I$6=TRUE(),4155.6,"")</f>
        <v/>
      </c>
      <c r="AV16" s="13" t="str">
        <f>IF($I$6=TRUE(),4413.9,"")</f>
        <v/>
      </c>
      <c r="AW16" s="13" t="str">
        <f>IF($I$6=TRUE(),4485.1,"")</f>
        <v/>
      </c>
      <c r="AX16" s="13" t="str">
        <f>IF($I$6=TRUE(),5416.2,"")</f>
        <v/>
      </c>
      <c r="AY16" s="13" t="str">
        <f>IF($I$6=TRUE(),5489.7,"")</f>
        <v/>
      </c>
      <c r="AZ16" s="13" t="str">
        <f>IF($I$6=TRUE(),5784.8,"")</f>
        <v/>
      </c>
      <c r="BA16" s="13" t="str">
        <f>IF($I$6=TRUE(),6110.5,"")</f>
        <v/>
      </c>
      <c r="BB16" s="13" t="str">
        <f>IF($I$6=TRUE(),6249,"")</f>
        <v/>
      </c>
      <c r="BC16" s="13" t="str">
        <f>IF($I$6=TRUE(),6441.7,"")</f>
        <v/>
      </c>
      <c r="BD16" s="13" t="str">
        <f>IF($I$6=TRUE(),7276.3,"")</f>
        <v/>
      </c>
      <c r="BE16" s="13" t="str">
        <f>IF($I$6=TRUE(),7396,"")</f>
        <v/>
      </c>
      <c r="BF16" s="13" t="str">
        <f>IF($I$6=TRUE(),8010.9,"")</f>
        <v/>
      </c>
      <c r="BG16" s="13" t="str">
        <f>IF($I$6=TRUE(),8347.6,"")</f>
        <v/>
      </c>
      <c r="BH16" s="13" t="str">
        <f>IF($I$6=TRUE(),10636.8,"")</f>
        <v/>
      </c>
      <c r="BI16" s="13" t="str">
        <f>IF($I$6=TRUE(),10716,"")</f>
        <v/>
      </c>
      <c r="BJ16" s="13" t="str">
        <f>IF($I$6=TRUE(),10824.8,"")</f>
        <v/>
      </c>
      <c r="BK16" s="13" t="str">
        <f>IF($I$6=TRUE(),11571.9,"")</f>
        <v/>
      </c>
      <c r="BL16" s="13" t="str">
        <f>IF($I$6=TRUE(),11766.4,"")</f>
        <v/>
      </c>
      <c r="BM16" s="13" t="str">
        <f>IF($I$6=TRUE(),12292.7,"")</f>
        <v/>
      </c>
      <c r="BN16" s="14"/>
      <c r="BO16" s="14"/>
    </row>
    <row r="17" spans="1:67" ht="15" customHeight="1">
      <c r="A17" s="9" t="s">
        <v>140</v>
      </c>
      <c r="B17" s="10" t="str">
        <f>IF($J$6=TRUE(),278,"")</f>
        <v/>
      </c>
      <c r="C17" s="10" t="str">
        <f>IF($J$6=TRUE(),283.3,"")</f>
        <v/>
      </c>
      <c r="D17" s="10" t="str">
        <f>IF($J$6=TRUE(),284,"")</f>
        <v/>
      </c>
      <c r="E17" s="10" t="str">
        <f>IF($J$6=TRUE(),329.2,"")</f>
        <v/>
      </c>
      <c r="F17" s="10" t="str">
        <f>IF($J$6=TRUE(),376.9,"")</f>
        <v/>
      </c>
      <c r="G17" s="10" t="str">
        <f>IF($J$6=TRUE(),450.7,"")</f>
        <v/>
      </c>
      <c r="H17" s="10" t="str">
        <f>IF($J$6=TRUE(),583.9,"")</f>
        <v/>
      </c>
      <c r="I17" s="10" t="str">
        <f>IF($J$6=TRUE(),574.1,"")</f>
        <v/>
      </c>
      <c r="J17" s="10" t="str">
        <f>IF($J$6=TRUE(),563.9,"")</f>
        <v/>
      </c>
      <c r="K17" s="10" t="str">
        <f>IF($J$6=TRUE(),527.6,"")</f>
        <v/>
      </c>
      <c r="L17" s="10" t="str">
        <f>IF($J$6=TRUE(),570.2,"")</f>
        <v/>
      </c>
      <c r="M17" s="10" t="str">
        <f>IF($J$6=TRUE(),571.8,"")</f>
        <v/>
      </c>
      <c r="N17" s="10" t="str">
        <f>IF($J$6=TRUE(),585.2,"")</f>
        <v/>
      </c>
      <c r="O17" s="10" t="str">
        <f>IF($J$6=TRUE(),586.3,"")</f>
        <v/>
      </c>
      <c r="P17" s="10" t="str">
        <f>IF($J$6=TRUE(),634,"")</f>
        <v/>
      </c>
      <c r="Q17" s="10" t="str">
        <f>IF($J$6=TRUE(),635,"")</f>
        <v/>
      </c>
      <c r="R17" s="10" t="str">
        <f>IF($J$6=TRUE(),641.8,"")</f>
        <v/>
      </c>
      <c r="S17" s="10" t="str">
        <f>IF($J$6=TRUE(),642.4,"")</f>
        <v/>
      </c>
      <c r="T17" s="10" t="str">
        <f>IF($J$6=TRUE(),556.1,"")</f>
        <v/>
      </c>
      <c r="U17" s="10" t="str">
        <f>IF($J$6=TRUE(),556.7,"")</f>
        <v/>
      </c>
      <c r="V17" s="10" t="str">
        <f>IF($J$6=TRUE(),544.4,"")</f>
        <v/>
      </c>
      <c r="W17" s="10" t="str">
        <f>IF($J$6=TRUE(),545.2,"")</f>
        <v/>
      </c>
      <c r="X17" s="10" t="str">
        <f>IF($J$6=TRUE(),622.1,"")</f>
        <v/>
      </c>
      <c r="Y17" s="10" t="str">
        <f>IF($J$6=TRUE(),657.4,"")</f>
        <v/>
      </c>
      <c r="Z17" s="10" t="str">
        <f>IF($J$6=TRUE(),699,"")</f>
        <v/>
      </c>
      <c r="AA17" s="10" t="str">
        <f>IF($J$6=TRUE(),734.3,"")</f>
        <v/>
      </c>
      <c r="AB17" s="10" t="str">
        <f>IF($J$6=TRUE(),809.8,"")</f>
        <v/>
      </c>
      <c r="AC17" s="10" t="str">
        <f>IF($J$6=TRUE(),879,"")</f>
        <v/>
      </c>
      <c r="AD17" s="10" t="str">
        <f>IF($J$6=TRUE(),1187.2,"")</f>
        <v/>
      </c>
      <c r="AE17" s="10" t="str">
        <f>IF($J$6=TRUE(),1232.2,"")</f>
        <v/>
      </c>
      <c r="AF17" s="10" t="str">
        <f>IF($J$6=TRUE(),1349.7,"")</f>
        <v/>
      </c>
      <c r="AG17" s="10" t="str">
        <f>IF($J$6=TRUE(),1582.5,"")</f>
        <v/>
      </c>
      <c r="AH17" s="10" t="str">
        <f>IF($J$6=TRUE(),1498.6,"")</f>
        <v/>
      </c>
      <c r="AI17" s="10" t="str">
        <f>IF($J$6=TRUE(),1338.7,"")</f>
        <v/>
      </c>
      <c r="AJ17" s="10" t="str">
        <f>IF($J$6=TRUE(),1614.9,"")</f>
        <v/>
      </c>
      <c r="AK17" s="10" t="str">
        <f>IF($J$6=TRUE(),1569.3,"")</f>
        <v/>
      </c>
      <c r="AL17" s="10" t="str">
        <f>IF($J$6=TRUE(),1597.6,"")</f>
        <v/>
      </c>
      <c r="AM17" s="10" t="str">
        <f>IF($J$6=TRUE(),1734.5,"")</f>
        <v/>
      </c>
      <c r="AN17" s="10" t="str">
        <f>IF($J$6=TRUE(),1868.3,"")</f>
        <v/>
      </c>
      <c r="AO17" s="10" t="str">
        <f>IF($J$6=TRUE(),2425.6,"")</f>
        <v/>
      </c>
      <c r="AP17" s="10" t="str">
        <f>IF($J$6=TRUE(),2708.1,"")</f>
        <v/>
      </c>
      <c r="AQ17" s="10" t="str">
        <f>IF($J$6=TRUE(),2923.7,"")</f>
        <v/>
      </c>
      <c r="AR17" s="10" t="str">
        <f>IF($J$6=TRUE(),3573.9,"")</f>
        <v/>
      </c>
      <c r="AS17" s="10" t="str">
        <f>IF($J$6=TRUE(),3872.4,"")</f>
        <v/>
      </c>
      <c r="AT17" s="10" t="str">
        <f>IF($J$6=TRUE(),4160.1,"")</f>
        <v/>
      </c>
      <c r="AU17" s="10" t="str">
        <f>IF($J$6=TRUE(),4363.2,"")</f>
        <v/>
      </c>
      <c r="AV17" s="10" t="str">
        <f>IF($J$6=TRUE(),4724.5,"")</f>
        <v/>
      </c>
      <c r="AW17" s="10" t="str">
        <f>IF($J$6=TRUE(),4835.6,"")</f>
        <v/>
      </c>
      <c r="AX17" s="10" t="str">
        <f>IF($J$6=TRUE(),5165.3,"")</f>
        <v/>
      </c>
      <c r="AY17" s="10" t="str">
        <f>IF($J$6=TRUE(),5031.3,"")</f>
        <v/>
      </c>
      <c r="AZ17" s="10" t="str">
        <f>IF($J$6=TRUE(),5541.6,"")</f>
        <v/>
      </c>
      <c r="BA17" s="10" t="str">
        <f>IF($J$6=TRUE(),6424.4,"")</f>
        <v/>
      </c>
      <c r="BB17" s="10" t="str">
        <f>IF($J$6=TRUE(),7597.9,"")</f>
        <v/>
      </c>
      <c r="BC17" s="10" t="str">
        <f>IF($J$6=TRUE(),8049.3,"")</f>
        <v/>
      </c>
      <c r="BD17" s="10" t="str">
        <f>IF($J$6=TRUE(),8083.7,"")</f>
        <v/>
      </c>
      <c r="BE17" s="10" t="str">
        <f>IF($J$6=TRUE(),8104.6,"")</f>
        <v/>
      </c>
      <c r="BF17" s="10" t="str">
        <f>IF($J$6=TRUE(),8881.1,"")</f>
        <v/>
      </c>
      <c r="BG17" s="10" t="str">
        <f>IF($J$6=TRUE(),9580,"")</f>
        <v/>
      </c>
      <c r="BH17" s="10" t="str">
        <f>IF($J$6=TRUE(),11826.9,"")</f>
        <v/>
      </c>
      <c r="BI17" s="10" t="str">
        <f>IF($J$6=TRUE(),12042.9,"")</f>
        <v/>
      </c>
      <c r="BJ17" s="10" t="str">
        <f>IF($J$6=TRUE(),12043.6,"")</f>
        <v/>
      </c>
      <c r="BK17" s="10" t="str">
        <f>IF($J$6=TRUE(),13645,"")</f>
        <v/>
      </c>
      <c r="BL17" s="10" t="str">
        <f>IF($J$6=TRUE(),14279,"")</f>
        <v/>
      </c>
      <c r="BM17" s="10" t="str">
        <f>IF($J$6=TRUE(),15181.1,"")</f>
        <v/>
      </c>
      <c r="BN17" s="11"/>
      <c r="BO17" s="11"/>
    </row>
    <row r="18" spans="1:67" ht="15" customHeight="1">
      <c r="A18" s="12" t="s">
        <v>141</v>
      </c>
      <c r="B18" s="13" t="str">
        <f>IF($K$6=TRUE(),187.9,"")</f>
        <v/>
      </c>
      <c r="C18" s="13" t="str">
        <f>IF($K$6=TRUE(),189.1,"")</f>
        <v/>
      </c>
      <c r="D18" s="13" t="str">
        <f>IF($K$6=TRUE(),191.3,"")</f>
        <v/>
      </c>
      <c r="E18" s="13" t="str">
        <f>IF($K$6=TRUE(),200.8,"")</f>
        <v/>
      </c>
      <c r="F18" s="13" t="str">
        <f>IF($K$6=TRUE(),219.9,"")</f>
        <v/>
      </c>
      <c r="G18" s="13" t="str">
        <f>IF($K$6=TRUE(),232.8,"")</f>
        <v/>
      </c>
      <c r="H18" s="13" t="str">
        <f>IF($K$6=TRUE(),240.7,"")</f>
        <v/>
      </c>
      <c r="I18" s="13" t="str">
        <f>IF($K$6=TRUE(),251.7,"")</f>
        <v/>
      </c>
      <c r="J18" s="13" t="str">
        <f>IF($K$6=TRUE(),281.3,"")</f>
        <v/>
      </c>
      <c r="K18" s="13" t="str">
        <f>IF($K$6=TRUE(),324.5,"")</f>
        <v/>
      </c>
      <c r="L18" s="13" t="str">
        <f>IF($K$6=TRUE(),331.3,"")</f>
        <v/>
      </c>
      <c r="M18" s="13" t="str">
        <f>IF($K$6=TRUE(),337.5,"")</f>
        <v/>
      </c>
      <c r="N18" s="13" t="str">
        <f>IF($K$6=TRUE(),365,"")</f>
        <v/>
      </c>
      <c r="O18" s="13" t="str">
        <f>IF($K$6=TRUE(),368.8,"")</f>
        <v/>
      </c>
      <c r="P18" s="13" t="str">
        <f>IF($K$6=TRUE(),385.9,"")</f>
        <v/>
      </c>
      <c r="Q18" s="13" t="str">
        <f>IF($K$6=TRUE(),389.6,"")</f>
        <v/>
      </c>
      <c r="R18" s="13" t="str">
        <f>IF($K$6=TRUE(),414.5,"")</f>
        <v/>
      </c>
      <c r="S18" s="13" t="str">
        <f>IF($K$6=TRUE(),417,"")</f>
        <v/>
      </c>
      <c r="T18" s="13" t="str">
        <f>IF($K$6=TRUE(),419.5,"")</f>
        <v/>
      </c>
      <c r="U18" s="13" t="str">
        <f>IF($K$6=TRUE(),421.7,"")</f>
        <v/>
      </c>
      <c r="V18" s="13" t="str">
        <f>IF($K$6=TRUE(),418.2,"")</f>
        <v/>
      </c>
      <c r="W18" s="13" t="str">
        <f>IF($K$6=TRUE(),420.9,"")</f>
        <v/>
      </c>
      <c r="X18" s="13" t="str">
        <f>IF($K$6=TRUE(),458.3,"")</f>
        <v/>
      </c>
      <c r="Y18" s="13" t="str">
        <f>IF($K$6=TRUE(),460.9,"")</f>
        <v/>
      </c>
      <c r="Z18" s="13" t="str">
        <f>IF($K$6=TRUE(),502.6,"")</f>
        <v/>
      </c>
      <c r="AA18" s="13" t="str">
        <f>IF($K$6=TRUE(),505.8,"")</f>
        <v/>
      </c>
      <c r="AB18" s="13" t="str">
        <f>IF($K$6=TRUE(),526.3,"")</f>
        <v/>
      </c>
      <c r="AC18" s="13" t="str">
        <f>IF($K$6=TRUE(),534.2,"")</f>
        <v/>
      </c>
      <c r="AD18" s="13" t="str">
        <f>IF($K$6=TRUE(),606.4,"")</f>
        <v/>
      </c>
      <c r="AE18" s="13" t="str">
        <f>IF($K$6=TRUE(),686.7,"")</f>
        <v/>
      </c>
      <c r="AF18" s="13" t="str">
        <f>IF($K$6=TRUE(),784.5,"")</f>
        <v/>
      </c>
      <c r="AG18" s="13" t="str">
        <f>IF($K$6=TRUE(),913.7,"")</f>
        <v/>
      </c>
      <c r="AH18" s="13" t="str">
        <f>IF($K$6=TRUE(),909.8,"")</f>
        <v/>
      </c>
      <c r="AI18" s="13" t="str">
        <f>IF($K$6=TRUE(),917.1,"")</f>
        <v/>
      </c>
      <c r="AJ18" s="13" t="str">
        <f>IF($K$6=TRUE(),1204.7,"")</f>
        <v/>
      </c>
      <c r="AK18" s="13" t="str">
        <f>IF($K$6=TRUE(),1225.1,"")</f>
        <v/>
      </c>
      <c r="AL18" s="13" t="str">
        <f>IF($K$6=TRUE(),1113.9,"")</f>
        <v/>
      </c>
      <c r="AM18" s="13" t="str">
        <f>IF($K$6=TRUE(),1122.4,"")</f>
        <v/>
      </c>
      <c r="AN18" s="13" t="str">
        <f>IF($K$6=TRUE(),1340.4,"")</f>
        <v/>
      </c>
      <c r="AO18" s="13" t="str">
        <f>IF($K$6=TRUE(),1518.5,"")</f>
        <v/>
      </c>
      <c r="AP18" s="13" t="str">
        <f>IF($K$6=TRUE(),1596.5,"")</f>
        <v/>
      </c>
      <c r="AQ18" s="13" t="str">
        <f>IF($K$6=TRUE(),1660.3,"")</f>
        <v/>
      </c>
      <c r="AR18" s="13" t="str">
        <f>IF($K$6=TRUE(),1549.2,"")</f>
        <v/>
      </c>
      <c r="AS18" s="13" t="str">
        <f>IF($K$6=TRUE(),1596.7,"")</f>
        <v/>
      </c>
      <c r="AT18" s="13" t="str">
        <f>IF($K$6=TRUE(),1875.7,"")</f>
        <v/>
      </c>
      <c r="AU18" s="13" t="str">
        <f>IF($K$6=TRUE(),1927.5,"")</f>
        <v/>
      </c>
      <c r="AV18" s="13" t="str">
        <f>IF($K$6=TRUE(),2063.4,"")</f>
        <v/>
      </c>
      <c r="AW18" s="13" t="str">
        <f>IF($K$6=TRUE(),2097.7,"")</f>
        <v/>
      </c>
      <c r="AX18" s="13" t="str">
        <f>IF($K$6=TRUE(),2615.9,"")</f>
        <v/>
      </c>
      <c r="AY18" s="13" t="str">
        <f>IF($K$6=TRUE(),2708.3,"")</f>
        <v/>
      </c>
      <c r="AZ18" s="13" t="str">
        <f>IF($K$6=TRUE(),2720.9,"")</f>
        <v/>
      </c>
      <c r="BA18" s="13" t="str">
        <f>IF($K$6=TRUE(),2842.6,"")</f>
        <v/>
      </c>
      <c r="BB18" s="13" t="str">
        <f>IF($K$6=TRUE(),2862.4,"")</f>
        <v/>
      </c>
      <c r="BC18" s="13" t="str">
        <f>IF($K$6=TRUE(),3056.3,"")</f>
        <v/>
      </c>
      <c r="BD18" s="13" t="str">
        <f>IF($K$6=TRUE(),3588,"")</f>
        <v/>
      </c>
      <c r="BE18" s="13" t="str">
        <f>IF($K$6=TRUE(),3642.7,"")</f>
        <v/>
      </c>
      <c r="BF18" s="13" t="str">
        <f>IF($K$6=TRUE(),3885.4,"")</f>
        <v/>
      </c>
      <c r="BG18" s="13" t="str">
        <f>IF($K$6=TRUE(),3940.4,"")</f>
        <v/>
      </c>
      <c r="BH18" s="13" t="str">
        <f>IF($K$6=TRUE(),4676.4,"")</f>
        <v/>
      </c>
      <c r="BI18" s="13" t="str">
        <f>IF($K$6=TRUE(),4909.9,"")</f>
        <v/>
      </c>
      <c r="BJ18" s="13" t="str">
        <f>IF($K$6=TRUE(),5035.8,"")</f>
        <v/>
      </c>
      <c r="BK18" s="13" t="str">
        <f>IF($K$6=TRUE(),5513.3,"")</f>
        <v/>
      </c>
      <c r="BL18" s="13" t="str">
        <f>IF($K$6=TRUE(),5608.9,"")</f>
        <v/>
      </c>
      <c r="BM18" s="13" t="str">
        <f>IF($K$6=TRUE(),5719.4,"")</f>
        <v/>
      </c>
      <c r="BN18" s="14"/>
      <c r="BO18" s="14"/>
    </row>
    <row r="19" spans="1:67" ht="15" customHeight="1">
      <c r="A19" s="9" t="s">
        <v>142</v>
      </c>
      <c r="B19" s="10" t="str">
        <f>IF($L$6=TRUE(),318.4,"")</f>
        <v/>
      </c>
      <c r="C19" s="10" t="str">
        <f>IF($L$6=TRUE(),319.9,"")</f>
        <v/>
      </c>
      <c r="D19" s="10" t="str">
        <f>IF($L$6=TRUE(),322.9,"")</f>
        <v/>
      </c>
      <c r="E19" s="10" t="str">
        <f>IF($L$6=TRUE(),325.1,"")</f>
        <v/>
      </c>
      <c r="F19" s="10" t="str">
        <f>IF($L$6=TRUE(),343.3,"")</f>
        <v/>
      </c>
      <c r="G19" s="10" t="str">
        <f>IF($L$6=TRUE(),379.4,"")</f>
        <v/>
      </c>
      <c r="H19" s="10" t="str">
        <f>IF($L$6=TRUE(),433.4,"")</f>
        <v/>
      </c>
      <c r="I19" s="10" t="str">
        <f>IF($L$6=TRUE(),436.7,"")</f>
        <v/>
      </c>
      <c r="J19" s="10" t="str">
        <f>IF($L$6=TRUE(),472.9,"")</f>
        <v/>
      </c>
      <c r="K19" s="10" t="str">
        <f>IF($L$6=TRUE(),477,"")</f>
        <v/>
      </c>
      <c r="L19" s="10" t="str">
        <f>IF($L$6=TRUE(),479.3,"")</f>
        <v/>
      </c>
      <c r="M19" s="10" t="str">
        <f>IF($L$6=TRUE(),493.8,"")</f>
        <v/>
      </c>
      <c r="N19" s="10" t="str">
        <f>IF($L$6=TRUE(),535.1,"")</f>
        <v/>
      </c>
      <c r="O19" s="10" t="str">
        <f>IF($L$6=TRUE(),540.2,"")</f>
        <v/>
      </c>
      <c r="P19" s="10" t="str">
        <f>IF($L$6=TRUE(),544.3,"")</f>
        <v/>
      </c>
      <c r="Q19" s="10" t="str">
        <f>IF($L$6=TRUE(),549.3,"")</f>
        <v/>
      </c>
      <c r="R19" s="10" t="str">
        <f>IF($L$6=TRUE(),583.3,"")</f>
        <v/>
      </c>
      <c r="S19" s="10" t="str">
        <f>IF($L$6=TRUE(),586.4,"")</f>
        <v/>
      </c>
      <c r="T19" s="10" t="str">
        <f>IF($L$6=TRUE(),585.3,"")</f>
        <v/>
      </c>
      <c r="U19" s="10" t="str">
        <f>IF($L$6=TRUE(),588.3,"")</f>
        <v/>
      </c>
      <c r="V19" s="10" t="str">
        <f>IF($L$6=TRUE(),629.7,"")</f>
        <v/>
      </c>
      <c r="W19" s="10" t="str">
        <f>IF($L$6=TRUE(),633.2,"")</f>
        <v/>
      </c>
      <c r="X19" s="10" t="str">
        <f>IF($L$6=TRUE(),636.8,"")</f>
        <v/>
      </c>
      <c r="Y19" s="10" t="str">
        <f>IF($L$6=TRUE(),640.3,"")</f>
        <v/>
      </c>
      <c r="Z19" s="10" t="str">
        <f>IF($L$6=TRUE(),735.9,"")</f>
        <v/>
      </c>
      <c r="AA19" s="10" t="str">
        <f>IF($L$6=TRUE(),739.9,"")</f>
        <v/>
      </c>
      <c r="AB19" s="10" t="str">
        <f>IF($L$6=TRUE(),758.1,"")</f>
        <v/>
      </c>
      <c r="AC19" s="10" t="str">
        <f>IF($L$6=TRUE(),762.6,"")</f>
        <v/>
      </c>
      <c r="AD19" s="10" t="str">
        <f>IF($L$6=TRUE(),1029.1,"")</f>
        <v/>
      </c>
      <c r="AE19" s="10" t="str">
        <f>IF($L$6=TRUE(),1073.3,"")</f>
        <v/>
      </c>
      <c r="AF19" s="10" t="str">
        <f>IF($L$6=TRUE(),1110.1,"")</f>
        <v/>
      </c>
      <c r="AG19" s="10" t="str">
        <f>IF($L$6=TRUE(),1297.1,"")</f>
        <v/>
      </c>
      <c r="AH19" s="10" t="str">
        <f>IF($L$6=TRUE(),1228.4,"")</f>
        <v/>
      </c>
      <c r="AI19" s="10" t="str">
        <f>IF($L$6=TRUE(),1237.6,"")</f>
        <v/>
      </c>
      <c r="AJ19" s="10" t="str">
        <f>IF($L$6=TRUE(),1489.5,"")</f>
        <v/>
      </c>
      <c r="AK19" s="10" t="str">
        <f>IF($L$6=TRUE(),1516.6,"")</f>
        <v/>
      </c>
      <c r="AL19" s="10" t="str">
        <f>IF($L$6=TRUE(),1578.8,"")</f>
        <v/>
      </c>
      <c r="AM19" s="10" t="str">
        <f>IF($L$6=TRUE(),1608.9,"")</f>
        <v/>
      </c>
      <c r="AN19" s="10" t="str">
        <f>IF($L$6=TRUE(),1826.8,"")</f>
        <v/>
      </c>
      <c r="AO19" s="10" t="str">
        <f>IF($L$6=TRUE(),2059.8,"")</f>
        <v/>
      </c>
      <c r="AP19" s="10" t="str">
        <f>IF($L$6=TRUE(),2201.5,"")</f>
        <v/>
      </c>
      <c r="AQ19" s="10" t="str">
        <f>IF($L$6=TRUE(),2335.1,"")</f>
        <v/>
      </c>
      <c r="AR19" s="10" t="str">
        <f>IF($L$6=TRUE(),2382.4,"")</f>
        <v/>
      </c>
      <c r="AS19" s="10" t="str">
        <f>IF($L$6=TRUE(),2741.2,"")</f>
        <v/>
      </c>
      <c r="AT19" s="10" t="str">
        <f>IF($L$6=TRUE(),3236.9,"")</f>
        <v/>
      </c>
      <c r="AU19" s="10" t="str">
        <f>IF($L$6=TRUE(),3336,"")</f>
        <v/>
      </c>
      <c r="AV19" s="10" t="str">
        <f>IF($L$6=TRUE(),3488,"")</f>
        <v/>
      </c>
      <c r="AW19" s="10" t="str">
        <f>IF($L$6=TRUE(),3506.2,"")</f>
        <v/>
      </c>
      <c r="AX19" s="10" t="str">
        <f>IF($L$6=TRUE(),4121.1,"")</f>
        <v/>
      </c>
      <c r="AY19" s="10" t="str">
        <f>IF($L$6=TRUE(),4158.3,"")</f>
        <v/>
      </c>
      <c r="AZ19" s="10" t="str">
        <f>IF($L$6=TRUE(),4454.9,"")</f>
        <v/>
      </c>
      <c r="BA19" s="10" t="str">
        <f>IF($L$6=TRUE(),4765.6,"")</f>
        <v/>
      </c>
      <c r="BB19" s="10" t="str">
        <f>IF($L$6=TRUE(),4774.6,"")</f>
        <v/>
      </c>
      <c r="BC19" s="10" t="str">
        <f>IF($L$6=TRUE(),4875.3,"")</f>
        <v/>
      </c>
      <c r="BD19" s="10" t="str">
        <f>IF($L$6=TRUE(),5911.7,"")</f>
        <v/>
      </c>
      <c r="BE19" s="10" t="str">
        <f>IF($L$6=TRUE(),5999.9,"")</f>
        <v/>
      </c>
      <c r="BF19" s="10" t="str">
        <f>IF($L$6=TRUE(),6310.9,"")</f>
        <v/>
      </c>
      <c r="BG19" s="10" t="str">
        <f>IF($L$6=TRUE(),6417.4,"")</f>
        <v/>
      </c>
      <c r="BH19" s="10" t="str">
        <f>IF($L$6=TRUE(),7904.5,"")</f>
        <v/>
      </c>
      <c r="BI19" s="10" t="str">
        <f>IF($L$6=TRUE(),8048.7,"")</f>
        <v/>
      </c>
      <c r="BJ19" s="10" t="str">
        <f>IF($L$6=TRUE(),7847.9,"")</f>
        <v/>
      </c>
      <c r="BK19" s="10" t="str">
        <f>IF($L$6=TRUE(),8501.9,"")</f>
        <v/>
      </c>
      <c r="BL19" s="10" t="str">
        <f>IF($L$6=TRUE(),8640.5,"")</f>
        <v/>
      </c>
      <c r="BM19" s="10" t="str">
        <f>IF($L$6=TRUE(),8965.7,"")</f>
        <v/>
      </c>
      <c r="BN19" s="11"/>
      <c r="BO19" s="11"/>
    </row>
    <row r="20" spans="1:67" ht="15" customHeight="1">
      <c r="A20" s="12" t="s">
        <v>98</v>
      </c>
      <c r="B20" s="13" t="str">
        <f>IF($M$6=TRUE(),302.9,"")</f>
        <v/>
      </c>
      <c r="C20" s="13" t="str">
        <f>IF($M$6=TRUE(),305.9,"")</f>
        <v/>
      </c>
      <c r="D20" s="13" t="str">
        <f>IF($M$6=TRUE(),316.7,"")</f>
        <v/>
      </c>
      <c r="E20" s="13" t="str">
        <f>IF($M$6=TRUE(),327,"")</f>
        <v/>
      </c>
      <c r="F20" s="13" t="str">
        <f>IF($M$6=TRUE(),375.8,"")</f>
        <v/>
      </c>
      <c r="G20" s="13" t="str">
        <f>IF($M$6=TRUE(),408.1,"")</f>
        <v/>
      </c>
      <c r="H20" s="13" t="str">
        <f>IF($M$6=TRUE(),489,"")</f>
        <v/>
      </c>
      <c r="I20" s="13" t="str">
        <f>IF($M$6=TRUE(),494.4,"")</f>
        <v/>
      </c>
      <c r="J20" s="13" t="str">
        <f>IF($M$6=TRUE(),524.9,"")</f>
        <v/>
      </c>
      <c r="K20" s="13" t="str">
        <f>IF($M$6=TRUE(),528.1,"")</f>
        <v/>
      </c>
      <c r="L20" s="13" t="str">
        <f>IF($M$6=TRUE(),535.1,"")</f>
        <v/>
      </c>
      <c r="M20" s="13" t="str">
        <f>IF($M$6=TRUE(),541.4,"")</f>
        <v/>
      </c>
      <c r="N20" s="13" t="str">
        <f>IF($M$6=TRUE(),584.9,"")</f>
        <v/>
      </c>
      <c r="O20" s="13" t="str">
        <f>IF($M$6=TRUE(),564.6,"")</f>
        <v/>
      </c>
      <c r="P20" s="13" t="str">
        <f>IF($M$6=TRUE(),560.1,"")</f>
        <v/>
      </c>
      <c r="Q20" s="13" t="str">
        <f>IF($M$6=TRUE(),563.8,"")</f>
        <v/>
      </c>
      <c r="R20" s="13" t="str">
        <f>IF($M$6=TRUE(),589.5,"")</f>
        <v/>
      </c>
      <c r="S20" s="13" t="str">
        <f>IF($M$6=TRUE(),592,"")</f>
        <v/>
      </c>
      <c r="T20" s="13" t="str">
        <f>IF($M$6=TRUE(),587.9,"")</f>
        <v/>
      </c>
      <c r="U20" s="13" t="str">
        <f>IF($M$6=TRUE(),590.2,"")</f>
        <v/>
      </c>
      <c r="V20" s="13" t="str">
        <f>IF($M$6=TRUE(),614.3,"")</f>
        <v/>
      </c>
      <c r="W20" s="13" t="str">
        <f>IF($M$6=TRUE(),617,"")</f>
        <v/>
      </c>
      <c r="X20" s="13" t="str">
        <f>IF($M$6=TRUE(),671.4,"")</f>
        <v/>
      </c>
      <c r="Y20" s="13" t="str">
        <f>IF($M$6=TRUE(),697.7,"")</f>
        <v/>
      </c>
      <c r="Z20" s="13" t="str">
        <f>IF($M$6=TRUE(),736.6,"")</f>
        <v/>
      </c>
      <c r="AA20" s="13" t="str">
        <f>IF($M$6=TRUE(),775.1,"")</f>
        <v/>
      </c>
      <c r="AB20" s="13" t="str">
        <f>IF($M$6=TRUE(),795.1,"")</f>
        <v/>
      </c>
      <c r="AC20" s="13" t="str">
        <f>IF($M$6=TRUE(),821.4,"")</f>
        <v/>
      </c>
      <c r="AD20" s="13" t="str">
        <f>IF($M$6=TRUE(),873.7,"")</f>
        <v/>
      </c>
      <c r="AE20" s="13" t="str">
        <f>IF($M$6=TRUE(),902,"")</f>
        <v/>
      </c>
      <c r="AF20" s="13" t="str">
        <f>IF($M$6=TRUE(),1077.4,"")</f>
        <v/>
      </c>
      <c r="AG20" s="13" t="str">
        <f>IF($M$6=TRUE(),1205.3,"")</f>
        <v/>
      </c>
      <c r="AH20" s="13" t="str">
        <f>IF($M$6=TRUE(),1228,"")</f>
        <v/>
      </c>
      <c r="AI20" s="13" t="str">
        <f>IF($M$6=TRUE(),1216.6,"")</f>
        <v/>
      </c>
      <c r="AJ20" s="13" t="str">
        <f>IF($M$6=TRUE(),1268.6,"")</f>
        <v/>
      </c>
      <c r="AK20" s="13" t="str">
        <f>IF($M$6=TRUE(),1262.8,"")</f>
        <v/>
      </c>
      <c r="AL20" s="13" t="str">
        <f>IF($M$6=TRUE(),1373.7,"")</f>
        <v/>
      </c>
      <c r="AM20" s="13" t="str">
        <f>IF($M$6=TRUE(),1435.8,"")</f>
        <v/>
      </c>
      <c r="AN20" s="13" t="str">
        <f>IF($M$6=TRUE(),1810.3,"")</f>
        <v/>
      </c>
      <c r="AO20" s="13" t="str">
        <f>IF($M$6=TRUE(),2101.4,"")</f>
        <v/>
      </c>
      <c r="AP20" s="13" t="str">
        <f>IF($M$6=TRUE(),2236.7,"")</f>
        <v/>
      </c>
      <c r="AQ20" s="13" t="str">
        <f>IF($M$6=TRUE(),2361.2,"")</f>
        <v/>
      </c>
      <c r="AR20" s="13" t="str">
        <f>IF($M$6=TRUE(),2369.5,"")</f>
        <v/>
      </c>
      <c r="AS20" s="13" t="str">
        <f>IF($M$6=TRUE(),2662.6,"")</f>
        <v/>
      </c>
      <c r="AT20" s="13" t="str">
        <f>IF($M$6=TRUE(),3208.3,"")</f>
        <v/>
      </c>
      <c r="AU20" s="13" t="str">
        <f>IF($M$6=TRUE(),3294.7,"")</f>
        <v/>
      </c>
      <c r="AV20" s="13" t="str">
        <f>IF($M$6=TRUE(),3399.8,"")</f>
        <v/>
      </c>
      <c r="AW20" s="13" t="str">
        <f>IF($M$6=TRUE(),3322.4,"")</f>
        <v/>
      </c>
      <c r="AX20" s="13" t="str">
        <f>IF($M$6=TRUE(),3847.9,"")</f>
        <v/>
      </c>
      <c r="AY20" s="13" t="str">
        <f>IF($M$6=TRUE(),3899.5,"")</f>
        <v/>
      </c>
      <c r="AZ20" s="13" t="str">
        <f>IF($M$6=TRUE(),4076.8,"")</f>
        <v/>
      </c>
      <c r="BA20" s="13" t="str">
        <f>IF($M$6=TRUE(),4326.9,"")</f>
        <v/>
      </c>
      <c r="BB20" s="13" t="str">
        <f>IF($M$6=TRUE(),4680.9,"")</f>
        <v/>
      </c>
      <c r="BC20" s="13" t="str">
        <f>IF($M$6=TRUE(),4837.8,"")</f>
        <v/>
      </c>
      <c r="BD20" s="13" t="str">
        <f>IF($M$6=TRUE(),5369.9,"")</f>
        <v/>
      </c>
      <c r="BE20" s="13" t="str">
        <f>IF($M$6=TRUE(),5441.8,"")</f>
        <v/>
      </c>
      <c r="BF20" s="13" t="str">
        <f>IF($M$6=TRUE(),5859.1,"")</f>
        <v/>
      </c>
      <c r="BG20" s="13" t="str">
        <f>IF($M$6=TRUE(),5943.1,"")</f>
        <v/>
      </c>
      <c r="BH20" s="13" t="str">
        <f>IF($M$6=TRUE(),6836.9,"")</f>
        <v/>
      </c>
      <c r="BI20" s="13" t="str">
        <f>IF($M$6=TRUE(),6967.6,"")</f>
        <v/>
      </c>
      <c r="BJ20" s="13" t="str">
        <f>IF($M$6=TRUE(),7225.3,"")</f>
        <v/>
      </c>
      <c r="BK20" s="13" t="str">
        <f>IF($M$6=TRUE(),7573.6,"")</f>
        <v/>
      </c>
      <c r="BL20" s="13" t="str">
        <f>IF($M$6=TRUE(),7670.9,"")</f>
        <v/>
      </c>
      <c r="BM20" s="13" t="str">
        <f>IF($M$6=TRUE(),7769.3,"")</f>
        <v/>
      </c>
      <c r="BN20" s="14"/>
      <c r="BO20" s="14"/>
    </row>
    <row r="21" spans="1:67" ht="15" customHeight="1">
      <c r="A21" s="9" t="s">
        <v>143</v>
      </c>
      <c r="B21" s="10" t="str">
        <f>IF($N$6=TRUE(),322.1,"")</f>
        <v/>
      </c>
      <c r="C21" s="10" t="str">
        <f>IF($N$6=TRUE(),324.6,"")</f>
        <v/>
      </c>
      <c r="D21" s="10" t="str">
        <f>IF($N$6=TRUE(),329.1,"")</f>
        <v/>
      </c>
      <c r="E21" s="10" t="str">
        <f>IF($N$6=TRUE(),331.7,"")</f>
        <v/>
      </c>
      <c r="F21" s="10" t="str">
        <f>IF($N$6=TRUE(),373.5,"")</f>
        <v/>
      </c>
      <c r="G21" s="10" t="str">
        <f>IF($N$6=TRUE(),400.2,"")</f>
        <v/>
      </c>
      <c r="H21" s="10" t="str">
        <f>IF($N$6=TRUE(),430,"")</f>
        <v/>
      </c>
      <c r="I21" s="10" t="str">
        <f>IF($N$6=TRUE(),435.4,"")</f>
        <v/>
      </c>
      <c r="J21" s="10" t="str">
        <f>IF($N$6=TRUE(),474,"")</f>
        <v/>
      </c>
      <c r="K21" s="10" t="str">
        <f>IF($N$6=TRUE(),480.4,"")</f>
        <v/>
      </c>
      <c r="L21" s="10" t="str">
        <f>IF($N$6=TRUE(),498.4,"")</f>
        <v/>
      </c>
      <c r="M21" s="10" t="str">
        <f>IF($N$6=TRUE(),510.9,"")</f>
        <v/>
      </c>
      <c r="N21" s="10" t="str">
        <f>IF($N$6=TRUE(),579.1,"")</f>
        <v/>
      </c>
      <c r="O21" s="10" t="str">
        <f>IF($N$6=TRUE(),587,"")</f>
        <v/>
      </c>
      <c r="P21" s="10" t="str">
        <f>IF($N$6=TRUE(),607,"")</f>
        <v/>
      </c>
      <c r="Q21" s="10" t="str">
        <f>IF($N$6=TRUE(),614.5,"")</f>
        <v/>
      </c>
      <c r="R21" s="10" t="str">
        <f>IF($N$6=TRUE(),665.8,"")</f>
        <v/>
      </c>
      <c r="S21" s="10" t="str">
        <f>IF($N$6=TRUE(),670.7,"")</f>
        <v/>
      </c>
      <c r="T21" s="10" t="str">
        <f>IF($N$6=TRUE(),675.9,"")</f>
        <v/>
      </c>
      <c r="U21" s="10" t="str">
        <f>IF($N$6=TRUE(),680.5,"")</f>
        <v/>
      </c>
      <c r="V21" s="10" t="str">
        <f>IF($N$6=TRUE(),728.6,"")</f>
        <v/>
      </c>
      <c r="W21" s="10" t="str">
        <f>IF($N$6=TRUE(),734.2,"")</f>
        <v/>
      </c>
      <c r="X21" s="10" t="str">
        <f>IF($N$6=TRUE(),755.9,"")</f>
        <v/>
      </c>
      <c r="Y21" s="10" t="str">
        <f>IF($N$6=TRUE(),771,"")</f>
        <v/>
      </c>
      <c r="Z21" s="10" t="str">
        <f>IF($N$6=TRUE(),833.2,"")</f>
        <v/>
      </c>
      <c r="AA21" s="10" t="str">
        <f>IF($N$6=TRUE(),847.9,"")</f>
        <v/>
      </c>
      <c r="AB21" s="10" t="str">
        <f>IF($N$6=TRUE(),849,"")</f>
        <v/>
      </c>
      <c r="AC21" s="10" t="str">
        <f>IF($N$6=TRUE(),876.4,"")</f>
        <v/>
      </c>
      <c r="AD21" s="10" t="str">
        <f>IF($N$6=TRUE(),1000.9,"")</f>
        <v/>
      </c>
      <c r="AE21" s="10" t="str">
        <f>IF($N$6=TRUE(),1047.2,"")</f>
        <v/>
      </c>
      <c r="AF21" s="10" t="str">
        <f>IF($N$6=TRUE(),1139.3,"")</f>
        <v/>
      </c>
      <c r="AG21" s="10" t="str">
        <f>IF($N$6=TRUE(),1270.8,"")</f>
        <v/>
      </c>
      <c r="AH21" s="10" t="str">
        <f>IF($N$6=TRUE(),1198.7,"")</f>
        <v/>
      </c>
      <c r="AI21" s="10" t="str">
        <f>IF($N$6=TRUE(),1213.7,"")</f>
        <v/>
      </c>
      <c r="AJ21" s="10" t="str">
        <f>IF($N$6=TRUE(),1456,"")</f>
        <v/>
      </c>
      <c r="AK21" s="10" t="str">
        <f>IF($N$6=TRUE(),1509.1,"")</f>
        <v/>
      </c>
      <c r="AL21" s="10" t="str">
        <f>IF($N$6=TRUE(),1517.9,"")</f>
        <v/>
      </c>
      <c r="AM21" s="10" t="str">
        <f>IF($N$6=TRUE(),1542.6,"")</f>
        <v/>
      </c>
      <c r="AN21" s="10" t="str">
        <f>IF($N$6=TRUE(),1915.7,"")</f>
        <v/>
      </c>
      <c r="AO21" s="10" t="str">
        <f>IF($N$6=TRUE(),2142.6,"")</f>
        <v/>
      </c>
      <c r="AP21" s="10" t="str">
        <f>IF($N$6=TRUE(),2143.9,"")</f>
        <v/>
      </c>
      <c r="AQ21" s="10" t="str">
        <f>IF($N$6=TRUE(),2183.8,"")</f>
        <v/>
      </c>
      <c r="AR21" s="10" t="str">
        <f>IF($N$6=TRUE(),2498.8,"")</f>
        <v/>
      </c>
      <c r="AS21" s="10" t="str">
        <f>IF($N$6=TRUE(),2672.4,"")</f>
        <v/>
      </c>
      <c r="AT21" s="10" t="str">
        <f>IF($N$6=TRUE(),3287.2,"")</f>
        <v/>
      </c>
      <c r="AU21" s="10" t="str">
        <f>IF($N$6=TRUE(),3437.4,"")</f>
        <v/>
      </c>
      <c r="AV21" s="10" t="str">
        <f>IF($N$6=TRUE(),3523.5,"")</f>
        <v/>
      </c>
      <c r="AW21" s="10" t="str">
        <f>IF($N$6=TRUE(),3579.8,"")</f>
        <v/>
      </c>
      <c r="AX21" s="10" t="str">
        <f>IF($N$6=TRUE(),4385.2,"")</f>
        <v/>
      </c>
      <c r="AY21" s="10" t="str">
        <f>IF($N$6=TRUE(),4463,"")</f>
        <v/>
      </c>
      <c r="AZ21" s="10" t="str">
        <f>IF($N$6=TRUE(),4555.8,"")</f>
        <v/>
      </c>
      <c r="BA21" s="10" t="str">
        <f>IF($N$6=TRUE(),4772.6,"")</f>
        <v/>
      </c>
      <c r="BB21" s="10" t="str">
        <f>IF($N$6=TRUE(),4773.3,"")</f>
        <v/>
      </c>
      <c r="BC21" s="10" t="str">
        <f>IF($N$6=TRUE(),4816.6,"")</f>
        <v/>
      </c>
      <c r="BD21" s="10" t="str">
        <f>IF($N$6=TRUE(),5739.5,"")</f>
        <v/>
      </c>
      <c r="BE21" s="10" t="str">
        <f>IF($N$6=TRUE(),5935.4,"")</f>
        <v/>
      </c>
      <c r="BF21" s="10" t="str">
        <f>IF($N$6=TRUE(),6077.1,"")</f>
        <v/>
      </c>
      <c r="BG21" s="10" t="str">
        <f>IF($N$6=TRUE(),6189.9,"")</f>
        <v/>
      </c>
      <c r="BH21" s="10" t="str">
        <f>IF($N$6=TRUE(),7469.3,"")</f>
        <v/>
      </c>
      <c r="BI21" s="10" t="str">
        <f>IF($N$6=TRUE(),7755.2,"")</f>
        <v/>
      </c>
      <c r="BJ21" s="10" t="str">
        <f>IF($N$6=TRUE(),7783.8,"")</f>
        <v/>
      </c>
      <c r="BK21" s="10" t="str">
        <f>IF($N$6=TRUE(),8321.3,"")</f>
        <v/>
      </c>
      <c r="BL21" s="10" t="str">
        <f>IF($N$6=TRUE(),8373.9,"")</f>
        <v/>
      </c>
      <c r="BM21" s="10" t="str">
        <f>IF($N$6=TRUE(),8701.3,"")</f>
        <v/>
      </c>
      <c r="BN21" s="11"/>
      <c r="BO21" s="11"/>
    </row>
    <row r="22" spans="1:67" ht="15" customHeight="1">
      <c r="A22" s="12" t="s">
        <v>144</v>
      </c>
      <c r="B22" s="13" t="str">
        <f>IF($O$6=TRUE(),330.6,"")</f>
        <v/>
      </c>
      <c r="C22" s="13" t="str">
        <f>IF($O$6=TRUE(),331.3,"")</f>
        <v/>
      </c>
      <c r="D22" s="13" t="str">
        <f>IF($O$6=TRUE(),332.2,"")</f>
        <v/>
      </c>
      <c r="E22" s="13" t="str">
        <f>IF($O$6=TRUE(),378.5,"")</f>
        <v/>
      </c>
      <c r="F22" s="13" t="str">
        <f>IF($O$6=TRUE(),450.5,"")</f>
        <v/>
      </c>
      <c r="G22" s="13" t="str">
        <f>IF($O$6=TRUE(),531.2,"")</f>
        <v/>
      </c>
      <c r="H22" s="13" t="str">
        <f>IF($O$6=TRUE(),627.5,"")</f>
        <v/>
      </c>
      <c r="I22" s="13" t="str">
        <f>IF($O$6=TRUE(),625.8,"")</f>
        <v/>
      </c>
      <c r="J22" s="13" t="str">
        <f>IF($O$6=TRUE(),635.7,"")</f>
        <v/>
      </c>
      <c r="K22" s="13" t="str">
        <f>IF($O$6=TRUE(),631.9,"")</f>
        <v/>
      </c>
      <c r="L22" s="13" t="str">
        <f>IF($O$6=TRUE(),633.1,"")</f>
        <v/>
      </c>
      <c r="M22" s="13" t="str">
        <f>IF($O$6=TRUE(),635.6,"")</f>
        <v/>
      </c>
      <c r="N22" s="13" t="str">
        <f>IF($O$6=TRUE(),688.7,"")</f>
        <v/>
      </c>
      <c r="O22" s="13" t="str">
        <f>IF($O$6=TRUE(),690.6,"")</f>
        <v/>
      </c>
      <c r="P22" s="13" t="str">
        <f>IF($O$6=TRUE(),665.9,"")</f>
        <v/>
      </c>
      <c r="Q22" s="13" t="str">
        <f>IF($O$6=TRUE(),667.1,"")</f>
        <v/>
      </c>
      <c r="R22" s="13" t="str">
        <f>IF($O$6=TRUE(),674,"")</f>
        <v/>
      </c>
      <c r="S22" s="13" t="str">
        <f>IF($O$6=TRUE(),675.4,"")</f>
        <v/>
      </c>
      <c r="T22" s="13" t="str">
        <f>IF($O$6=TRUE(),680,"")</f>
        <v/>
      </c>
      <c r="U22" s="13" t="str">
        <f>IF($O$6=TRUE(),680.9,"")</f>
        <v/>
      </c>
      <c r="V22" s="13" t="str">
        <f>IF($O$6=TRUE(),745.7,"")</f>
        <v/>
      </c>
      <c r="W22" s="13" t="str">
        <f>IF($O$6=TRUE(),747.1,"")</f>
        <v/>
      </c>
      <c r="X22" s="13" t="str">
        <f>IF($O$6=TRUE(),799.9,"")</f>
        <v/>
      </c>
      <c r="Y22" s="13" t="str">
        <f>IF($O$6=TRUE(),843.3,"")</f>
        <v/>
      </c>
      <c r="Z22" s="13" t="str">
        <f>IF($O$6=TRUE(),865.2,"")</f>
        <v/>
      </c>
      <c r="AA22" s="13" t="str">
        <f>IF($O$6=TRUE(),925.3,"")</f>
        <v/>
      </c>
      <c r="AB22" s="13" t="str">
        <f>IF($O$6=TRUE(),961,"")</f>
        <v/>
      </c>
      <c r="AC22" s="13" t="str">
        <f>IF($O$6=TRUE(),1035.6,"")</f>
        <v/>
      </c>
      <c r="AD22" s="13" t="str">
        <f>IF($O$6=TRUE(),1218.7,"")</f>
        <v/>
      </c>
      <c r="AE22" s="13" t="str">
        <f>IF($O$6=TRUE(),1388.6,"")</f>
        <v/>
      </c>
      <c r="AF22" s="13" t="str">
        <f>IF($O$6=TRUE(),1678.3,"")</f>
        <v/>
      </c>
      <c r="AG22" s="13" t="str">
        <f>IF($O$6=TRUE(),1831.5,"")</f>
        <v/>
      </c>
      <c r="AH22" s="13" t="str">
        <f>IF($O$6=TRUE(),1849.7,"")</f>
        <v/>
      </c>
      <c r="AI22" s="13" t="str">
        <f>IF($O$6=TRUE(),1946.2,"")</f>
        <v/>
      </c>
      <c r="AJ22" s="13" t="str">
        <f>IF($O$6=TRUE(),2311.1,"")</f>
        <v/>
      </c>
      <c r="AK22" s="13" t="str">
        <f>IF($O$6=TRUE(),2212.7,"")</f>
        <v/>
      </c>
      <c r="AL22" s="13" t="str">
        <f>IF($O$6=TRUE(),2348.8,"")</f>
        <v/>
      </c>
      <c r="AM22" s="13" t="str">
        <f>IF($O$6=TRUE(),2449.7,"")</f>
        <v/>
      </c>
      <c r="AN22" s="13" t="str">
        <f>IF($O$6=TRUE(),2867.6,"")</f>
        <v/>
      </c>
      <c r="AO22" s="13" t="str">
        <f>IF($O$6=TRUE(),3455.9,"")</f>
        <v/>
      </c>
      <c r="AP22" s="13" t="str">
        <f>IF($O$6=TRUE(),3967.6,"")</f>
        <v/>
      </c>
      <c r="AQ22" s="13" t="str">
        <f>IF($O$6=TRUE(),4376.1,"")</f>
        <v/>
      </c>
      <c r="AR22" s="13" t="str">
        <f>IF($O$6=TRUE(),4457.8,"")</f>
        <v/>
      </c>
      <c r="AS22" s="13" t="str">
        <f>IF($O$6=TRUE(),4356.4,"")</f>
        <v/>
      </c>
      <c r="AT22" s="13" t="str">
        <f>IF($O$6=TRUE(),4871.3,"")</f>
        <v/>
      </c>
      <c r="AU22" s="13" t="str">
        <f>IF($O$6=TRUE(),5274.5,"")</f>
        <v/>
      </c>
      <c r="AV22" s="13" t="str">
        <f>IF($O$6=TRUE(),5407.9,"")</f>
        <v/>
      </c>
      <c r="AW22" s="13" t="str">
        <f>IF($O$6=TRUE(),5701.9,"")</f>
        <v/>
      </c>
      <c r="AX22" s="13" t="str">
        <f>IF($O$6=TRUE(),6501.2,"")</f>
        <v/>
      </c>
      <c r="AY22" s="13" t="str">
        <f>IF($O$6=TRUE(),6628.1,"")</f>
        <v/>
      </c>
      <c r="AZ22" s="13" t="str">
        <f>IF($O$6=TRUE(),6917.5,"")</f>
        <v/>
      </c>
      <c r="BA22" s="13" t="str">
        <f>IF($O$6=TRUE(),8187.7,"")</f>
        <v/>
      </c>
      <c r="BB22" s="13" t="str">
        <f>IF($O$6=TRUE(),8516.9,"")</f>
        <v/>
      </c>
      <c r="BC22" s="13" t="str">
        <f>IF($O$6=TRUE(),8517.9,"")</f>
        <v/>
      </c>
      <c r="BD22" s="13" t="str">
        <f>IF($O$6=TRUE(),9148,"")</f>
        <v/>
      </c>
      <c r="BE22" s="13" t="str">
        <f>IF($O$6=TRUE(),9169.1,"")</f>
        <v/>
      </c>
      <c r="BF22" s="13" t="str">
        <f>IF($O$6=TRUE(),9463.1,"")</f>
        <v/>
      </c>
      <c r="BG22" s="13" t="str">
        <f>IF($O$6=TRUE(),10421.3,"")</f>
        <v/>
      </c>
      <c r="BH22" s="13" t="str">
        <f>IF($O$6=TRUE(),11526.9,"")</f>
        <v/>
      </c>
      <c r="BI22" s="13" t="str">
        <f>IF($O$6=TRUE(),12213.7,"")</f>
        <v/>
      </c>
      <c r="BJ22" s="13" t="str">
        <f>IF($O$6=TRUE(),12236.6,"")</f>
        <v/>
      </c>
      <c r="BK22" s="13" t="str">
        <f>IF($O$6=TRUE(),12715.6,"")</f>
        <v/>
      </c>
      <c r="BL22" s="13" t="str">
        <f>IF($O$6=TRUE(),12740.6,"")</f>
        <v/>
      </c>
      <c r="BM22" s="13" t="str">
        <f>IF($O$6=TRUE(),14553.2,"")</f>
        <v/>
      </c>
      <c r="BN22" s="14"/>
      <c r="BO22" s="14"/>
    </row>
    <row r="23" spans="1:67" ht="15" customHeight="1">
      <c r="A23" s="9" t="s">
        <v>145</v>
      </c>
      <c r="B23" s="10" t="str">
        <f>IF($P$6=TRUE(),248.6,"")</f>
        <v/>
      </c>
      <c r="C23" s="10" t="str">
        <f>IF($P$6=TRUE(),249.2,"")</f>
        <v/>
      </c>
      <c r="D23" s="10" t="str">
        <f>IF($P$6=TRUE(),249.9,"")</f>
        <v/>
      </c>
      <c r="E23" s="10" t="str">
        <f>IF($P$6=TRUE(),265.2,"")</f>
        <v/>
      </c>
      <c r="F23" s="10" t="str">
        <f>IF($P$6=TRUE(),320.5,"")</f>
        <v/>
      </c>
      <c r="G23" s="10" t="str">
        <f>IF($P$6=TRUE(),331.4,"")</f>
        <v/>
      </c>
      <c r="H23" s="10" t="str">
        <f>IF($P$6=TRUE(),376.6,"")</f>
        <v/>
      </c>
      <c r="I23" s="10" t="str">
        <f>IF($P$6=TRUE(),401.6,"")</f>
        <v/>
      </c>
      <c r="J23" s="10" t="str">
        <f>IF($P$6=TRUE(),405.9,"")</f>
        <v/>
      </c>
      <c r="K23" s="10" t="str">
        <f>IF($P$6=TRUE(),407,"")</f>
        <v/>
      </c>
      <c r="L23" s="10" t="str">
        <f>IF($P$6=TRUE(),422.4,"")</f>
        <v/>
      </c>
      <c r="M23" s="10" t="str">
        <f>IF($P$6=TRUE(),424.2,"")</f>
        <v/>
      </c>
      <c r="N23" s="10" t="str">
        <f>IF($P$6=TRUE(),563.5,"")</f>
        <v/>
      </c>
      <c r="O23" s="10" t="str">
        <f>IF($P$6=TRUE(),564.9,"")</f>
        <v/>
      </c>
      <c r="P23" s="10" t="str">
        <f>IF($P$6=TRUE(),537,"")</f>
        <v/>
      </c>
      <c r="Q23" s="10" t="str">
        <f>IF($P$6=TRUE(),537.8,"")</f>
        <v/>
      </c>
      <c r="R23" s="10" t="str">
        <f>IF($P$6=TRUE(),549.3,"")</f>
        <v/>
      </c>
      <c r="S23" s="10" t="str">
        <f>IF($P$6=TRUE(),550.3,"")</f>
        <v/>
      </c>
      <c r="T23" s="10" t="str">
        <f>IF($P$6=TRUE(),532.1,"")</f>
        <v/>
      </c>
      <c r="U23" s="10" t="str">
        <f>IF($P$6=TRUE(),532.7,"")</f>
        <v/>
      </c>
      <c r="V23" s="10" t="str">
        <f>IF($P$6=TRUE(),565.8,"")</f>
        <v/>
      </c>
      <c r="W23" s="10" t="str">
        <f>IF($P$6=TRUE(),566.9,"")</f>
        <v/>
      </c>
      <c r="X23" s="10" t="str">
        <f>IF($P$6=TRUE(),605.8,"")</f>
        <v/>
      </c>
      <c r="Y23" s="10" t="str">
        <f>IF($P$6=TRUE(),606.5,"")</f>
        <v/>
      </c>
      <c r="Z23" s="10" t="str">
        <f>IF($P$6=TRUE(),706.8,"")</f>
        <v/>
      </c>
      <c r="AA23" s="10" t="str">
        <f>IF($P$6=TRUE(),708.4,"")</f>
        <v/>
      </c>
      <c r="AB23" s="10" t="str">
        <f>IF($P$6=TRUE(),709.4,"")</f>
        <v/>
      </c>
      <c r="AC23" s="10" t="str">
        <f>IF($P$6=TRUE(),710.4,"")</f>
        <v/>
      </c>
      <c r="AD23" s="10" t="str">
        <f>IF($P$6=TRUE(),833.1,"")</f>
        <v/>
      </c>
      <c r="AE23" s="10" t="str">
        <f>IF($P$6=TRUE(),1013.4,"")</f>
        <v/>
      </c>
      <c r="AF23" s="10" t="str">
        <f>IF($P$6=TRUE(),1240.8,"")</f>
        <v/>
      </c>
      <c r="AG23" s="10" t="str">
        <f>IF($P$6=TRUE(),1534.9,"")</f>
        <v/>
      </c>
      <c r="AH23" s="10" t="str">
        <f>IF($P$6=TRUE(),1346.4,"")</f>
        <v/>
      </c>
      <c r="AI23" s="10" t="str">
        <f>IF($P$6=TRUE(),1363.4,"")</f>
        <v/>
      </c>
      <c r="AJ23" s="10" t="str">
        <f>IF($P$6=TRUE(),1515.5,"")</f>
        <v/>
      </c>
      <c r="AK23" s="10" t="str">
        <f>IF($P$6=TRUE(),1502.4,"")</f>
        <v/>
      </c>
      <c r="AL23" s="10" t="str">
        <f>IF($P$6=TRUE(),1649.7,"")</f>
        <v/>
      </c>
      <c r="AM23" s="10" t="str">
        <f>IF($P$6=TRUE(),1714.4,"")</f>
        <v/>
      </c>
      <c r="AN23" s="10" t="str">
        <f>IF($P$6=TRUE(),2053.4,"")</f>
        <v/>
      </c>
      <c r="AO23" s="10" t="str">
        <f>IF($P$6=TRUE(),2454.5,"")</f>
        <v/>
      </c>
      <c r="AP23" s="10" t="str">
        <f>IF($P$6=TRUE(),2624.7,"")</f>
        <v/>
      </c>
      <c r="AQ23" s="10" t="str">
        <f>IF($P$6=TRUE(),3089.4,"")</f>
        <v/>
      </c>
      <c r="AR23" s="10" t="str">
        <f>IF($P$6=TRUE(),2990.6,"")</f>
        <v/>
      </c>
      <c r="AS23" s="10" t="str">
        <f>IF($P$6=TRUE(),3589.9,"")</f>
        <v/>
      </c>
      <c r="AT23" s="10" t="str">
        <f>IF($P$6=TRUE(),3837.6,"")</f>
        <v/>
      </c>
      <c r="AU23" s="10" t="str">
        <f>IF($P$6=TRUE(),3931.6,"")</f>
        <v/>
      </c>
      <c r="AV23" s="10" t="str">
        <f>IF($P$6=TRUE(),4167.5,"")</f>
        <v/>
      </c>
      <c r="AW23" s="10" t="str">
        <f>IF($P$6=TRUE(),4175.6,"")</f>
        <v/>
      </c>
      <c r="AX23" s="10" t="str">
        <f>IF($P$6=TRUE(),4877.8,"")</f>
        <v/>
      </c>
      <c r="AY23" s="10" t="str">
        <f>IF($P$6=TRUE(),5010.9,"")</f>
        <v/>
      </c>
      <c r="AZ23" s="10" t="str">
        <f>IF($P$6=TRUE(),5275.3,"")</f>
        <v/>
      </c>
      <c r="BA23" s="10" t="str">
        <f>IF($P$6=TRUE(),5546.7,"")</f>
        <v/>
      </c>
      <c r="BB23" s="10" t="str">
        <f>IF($P$6=TRUE(),5680.2,"")</f>
        <v/>
      </c>
      <c r="BC23" s="10" t="str">
        <f>IF($P$6=TRUE(),5681,"")</f>
        <v/>
      </c>
      <c r="BD23" s="10" t="str">
        <f>IF($P$6=TRUE(),6365.9,"")</f>
        <v/>
      </c>
      <c r="BE23" s="10" t="str">
        <f>IF($P$6=TRUE(),6400.7,"")</f>
        <v/>
      </c>
      <c r="BF23" s="10" t="str">
        <f>IF($P$6=TRUE(),6386.8,"")</f>
        <v/>
      </c>
      <c r="BG23" s="10" t="str">
        <f>IF($P$6=TRUE(),6764.2,"")</f>
        <v/>
      </c>
      <c r="BH23" s="10" t="str">
        <f>IF($P$6=TRUE(),7720.7,"")</f>
        <v/>
      </c>
      <c r="BI23" s="10" t="str">
        <f>IF($P$6=TRUE(),8066.7,"")</f>
        <v/>
      </c>
      <c r="BJ23" s="10" t="str">
        <f>IF($P$6=TRUE(),8347.9,"")</f>
        <v/>
      </c>
      <c r="BK23" s="10" t="str">
        <f>IF($P$6=TRUE(),8540.2,"")</f>
        <v/>
      </c>
      <c r="BL23" s="10" t="str">
        <f>IF($P$6=TRUE(),8559.7,"")</f>
        <v/>
      </c>
      <c r="BM23" s="10" t="str">
        <f>IF($P$6=TRUE(),9364.7,"")</f>
        <v/>
      </c>
      <c r="BN23" s="11"/>
      <c r="BO23" s="11"/>
    </row>
    <row r="24" spans="1:67" ht="15" customHeight="1">
      <c r="A24" s="12" t="s">
        <v>146</v>
      </c>
      <c r="B24" s="13" t="str">
        <f>IF($Q$6=TRUE(),210,"")</f>
        <v/>
      </c>
      <c r="C24" s="13" t="str">
        <f>IF($Q$6=TRUE(),210.1,"")</f>
        <v/>
      </c>
      <c r="D24" s="13" t="str">
        <f>IF($Q$6=TRUE(),210.3,"")</f>
        <v/>
      </c>
      <c r="E24" s="13" t="str">
        <f>IF($Q$6=TRUE(),245.1,"")</f>
        <v/>
      </c>
      <c r="F24" s="13" t="str">
        <f>IF($Q$6=TRUE(),293.4,"")</f>
        <v/>
      </c>
      <c r="G24" s="13" t="str">
        <f>IF($Q$6=TRUE(),370.1,"")</f>
        <v/>
      </c>
      <c r="H24" s="13" t="str">
        <f>IF($Q$6=TRUE(),411.8,"")</f>
        <v/>
      </c>
      <c r="I24" s="13" t="str">
        <f>IF($Q$6=TRUE(),412,"")</f>
        <v/>
      </c>
      <c r="J24" s="13" t="str">
        <f>IF($Q$6=TRUE(),413.3,"")</f>
        <v/>
      </c>
      <c r="K24" s="13" t="str">
        <f>IF($Q$6=TRUE(),373.4,"")</f>
        <v/>
      </c>
      <c r="L24" s="13" t="str">
        <f>IF($Q$6=TRUE(),413.9,"")</f>
        <v/>
      </c>
      <c r="M24" s="13" t="str">
        <f>IF($Q$6=TRUE(),414.2,"")</f>
        <v/>
      </c>
      <c r="N24" s="13" t="str">
        <f>IF($Q$6=TRUE(),410,"")</f>
        <v/>
      </c>
      <c r="O24" s="13" t="str">
        <f>IF($Q$6=TRUE(),410.3,"")</f>
        <v/>
      </c>
      <c r="P24" s="13" t="str">
        <f>IF($Q$6=TRUE(),432.2,"")</f>
        <v/>
      </c>
      <c r="Q24" s="13" t="str">
        <f>IF($Q$6=TRUE(),432.4,"")</f>
        <v/>
      </c>
      <c r="R24" s="13" t="str">
        <f>IF($Q$6=TRUE(),433.6,"")</f>
        <v/>
      </c>
      <c r="S24" s="13" t="str">
        <f>IF($Q$6=TRUE(),433.8,"")</f>
        <v/>
      </c>
      <c r="T24" s="13" t="str">
        <f>IF($Q$6=TRUE(),434,"")</f>
        <v/>
      </c>
      <c r="U24" s="13" t="str">
        <f>IF($Q$6=TRUE(),434.1,"")</f>
        <v/>
      </c>
      <c r="V24" s="13" t="str">
        <f>IF($Q$6=TRUE(),435.9,"")</f>
        <v/>
      </c>
      <c r="W24" s="13" t="str">
        <f>IF($Q$6=TRUE(),436.1,"")</f>
        <v/>
      </c>
      <c r="X24" s="13" t="str">
        <f>IF($Q$6=TRUE(),436.3,"")</f>
        <v/>
      </c>
      <c r="Y24" s="13" t="str">
        <f>IF($Q$6=TRUE(),436.4,"")</f>
        <v/>
      </c>
      <c r="Z24" s="13" t="str">
        <f>IF($Q$6=TRUE(),437.8,"")</f>
        <v/>
      </c>
      <c r="AA24" s="13" t="str">
        <f>IF($Q$6=TRUE(),438.1,"")</f>
        <v/>
      </c>
      <c r="AB24" s="13" t="str">
        <f>IF($Q$6=TRUE(),509.1,"")</f>
        <v/>
      </c>
      <c r="AC24" s="13" t="str">
        <f>IF($Q$6=TRUE(),538.8,"")</f>
        <v/>
      </c>
      <c r="AD24" s="13" t="str">
        <f>IF($Q$6=TRUE(),607.5,"")</f>
        <v/>
      </c>
      <c r="AE24" s="13" t="str">
        <f>IF($Q$6=TRUE(),665.1,"")</f>
        <v/>
      </c>
      <c r="AF24" s="13" t="str">
        <f>IF($Q$6=TRUE(),940.6,"")</f>
        <v/>
      </c>
      <c r="AG24" s="13" t="str">
        <f>IF($Q$6=TRUE(),1010.1,"")</f>
        <v/>
      </c>
      <c r="AH24" s="13" t="str">
        <f>IF($Q$6=TRUE(),1116.5,"")</f>
        <v/>
      </c>
      <c r="AI24" s="13" t="str">
        <f>IF($Q$6=TRUE(),1118.3,"")</f>
        <v/>
      </c>
      <c r="AJ24" s="13" t="str">
        <f>IF($Q$6=TRUE(),1288.3,"")</f>
        <v/>
      </c>
      <c r="AK24" s="13" t="str">
        <f>IF($Q$6=TRUE(),1284.3,"")</f>
        <v/>
      </c>
      <c r="AL24" s="13" t="str">
        <f>IF($Q$6=TRUE(),1313.7,"")</f>
        <v/>
      </c>
      <c r="AM24" s="13" t="str">
        <f>IF($Q$6=TRUE(),1345.4,"")</f>
        <v/>
      </c>
      <c r="AN24" s="13" t="str">
        <f>IF($Q$6=TRUE(),1588.4,"")</f>
        <v/>
      </c>
      <c r="AO24" s="13" t="str">
        <f>IF($Q$6=TRUE(),1826.9,"")</f>
        <v/>
      </c>
      <c r="AP24" s="13" t="str">
        <f>IF($Q$6=TRUE(),2062.3,"")</f>
        <v/>
      </c>
      <c r="AQ24" s="13" t="str">
        <f>IF($Q$6=TRUE(),2370,"")</f>
        <v/>
      </c>
      <c r="AR24" s="13" t="str">
        <f>IF($Q$6=TRUE(),2508.3,"")</f>
        <v/>
      </c>
      <c r="AS24" s="13" t="str">
        <f>IF($Q$6=TRUE(),2631.8,"")</f>
        <v/>
      </c>
      <c r="AT24" s="13" t="str">
        <f>IF($Q$6=TRUE(),3008.5,"")</f>
        <v/>
      </c>
      <c r="AU24" s="13" t="str">
        <f>IF($Q$6=TRUE(),3297.6,"")</f>
        <v/>
      </c>
      <c r="AV24" s="13" t="str">
        <f>IF($Q$6=TRUE(),3041.6,"")</f>
        <v/>
      </c>
      <c r="AW24" s="13" t="str">
        <f>IF($Q$6=TRUE(),3069.5,"")</f>
        <v/>
      </c>
      <c r="AX24" s="13" t="str">
        <f>IF($Q$6=TRUE(),3298.1,"")</f>
        <v/>
      </c>
      <c r="AY24" s="13" t="str">
        <f>IF($Q$6=TRUE(),3368.3,"")</f>
        <v/>
      </c>
      <c r="AZ24" s="13" t="str">
        <f>IF($Q$6=TRUE(),3758.5,"")</f>
        <v/>
      </c>
      <c r="BA24" s="13" t="str">
        <f>IF($Q$6=TRUE(),4450.9,"")</f>
        <v/>
      </c>
      <c r="BB24" s="13" t="str">
        <f>IF($Q$6=TRUE(),5107.4,"")</f>
        <v/>
      </c>
      <c r="BC24" s="13" t="str">
        <f>IF($Q$6=TRUE(),5197.1,"")</f>
        <v/>
      </c>
      <c r="BD24" s="13" t="str">
        <f>IF($Q$6=TRUE(),5695.5,"")</f>
        <v/>
      </c>
      <c r="BE24" s="13" t="str">
        <f>IF($Q$6=TRUE(),5703,"")</f>
        <v/>
      </c>
      <c r="BF24" s="13" t="str">
        <f>IF($Q$6=TRUE(),6570.3,"")</f>
        <v/>
      </c>
      <c r="BG24" s="13" t="str">
        <f>IF($Q$6=TRUE(),6769.5,"")</f>
        <v/>
      </c>
      <c r="BH24" s="13" t="str">
        <f>IF($Q$6=TRUE(),7489.3,"")</f>
        <v/>
      </c>
      <c r="BI24" s="13" t="str">
        <f>IF($Q$6=TRUE(),7766.3,"")</f>
        <v/>
      </c>
      <c r="BJ24" s="13" t="str">
        <f>IF($Q$6=TRUE(),8733.8,"")</f>
        <v/>
      </c>
      <c r="BK24" s="13" t="str">
        <f>IF($Q$6=TRUE(),9665.2,"")</f>
        <v/>
      </c>
      <c r="BL24" s="13" t="str">
        <f>IF($Q$6=TRUE(),10131.3,"")</f>
        <v/>
      </c>
      <c r="BM24" s="13" t="str">
        <f>IF($Q$6=TRUE(),10793.8,"")</f>
        <v/>
      </c>
      <c r="BN24" s="14"/>
      <c r="BO24" s="14"/>
    </row>
    <row r="25" spans="1:67" ht="15" customHeight="1">
      <c r="A25" s="9" t="s">
        <v>147</v>
      </c>
      <c r="B25" s="10" t="str">
        <f>IF($R$6=TRUE(),151.3,"")</f>
        <v/>
      </c>
      <c r="C25" s="10" t="str">
        <f>IF($R$6=TRUE(),153.5,"")</f>
        <v/>
      </c>
      <c r="D25" s="10" t="str">
        <f>IF($R$6=TRUE(),153.8,"")</f>
        <v/>
      </c>
      <c r="E25" s="10" t="str">
        <f>IF($R$6=TRUE(),158.8,"")</f>
        <v/>
      </c>
      <c r="F25" s="10" t="str">
        <f>IF($R$6=TRUE(),210.5,"")</f>
        <v/>
      </c>
      <c r="G25" s="10" t="str">
        <f>IF($R$6=TRUE(),306.8,"")</f>
        <v/>
      </c>
      <c r="H25" s="10" t="str">
        <f>IF($R$6=TRUE(),318.8,"")</f>
        <v/>
      </c>
      <c r="I25" s="10" t="str">
        <f>IF($R$6=TRUE(),339.6,"")</f>
        <v/>
      </c>
      <c r="J25" s="10" t="str">
        <f>IF($R$6=TRUE(),393.5,"")</f>
        <v/>
      </c>
      <c r="K25" s="10" t="str">
        <f>IF($R$6=TRUE(),393.8,"")</f>
        <v/>
      </c>
      <c r="L25" s="10" t="str">
        <f>IF($R$6=TRUE(),394.2,"")</f>
        <v/>
      </c>
      <c r="M25" s="10" t="str">
        <f>IF($R$6=TRUE(),394.5,"")</f>
        <v/>
      </c>
      <c r="N25" s="10" t="str">
        <f>IF($R$6=TRUE(),396.8,"")</f>
        <v/>
      </c>
      <c r="O25" s="10" t="str">
        <f>IF($R$6=TRUE(),416.8,"")</f>
        <v/>
      </c>
      <c r="P25" s="10" t="str">
        <f>IF($R$6=TRUE(),417.1,"")</f>
        <v/>
      </c>
      <c r="Q25" s="10" t="str">
        <f>IF($R$6=TRUE(),435.1,"")</f>
        <v/>
      </c>
      <c r="R25" s="10" t="str">
        <f>IF($R$6=TRUE(),409.5,"")</f>
        <v/>
      </c>
      <c r="S25" s="10" t="str">
        <f>IF($R$6=TRUE(),424.9,"")</f>
        <v/>
      </c>
      <c r="T25" s="10" t="str">
        <f>IF($R$6=TRUE(),418.5,"")</f>
        <v/>
      </c>
      <c r="U25" s="10" t="str">
        <f>IF($R$6=TRUE(),418.6,"")</f>
        <v/>
      </c>
      <c r="V25" s="10" t="str">
        <f>IF($R$6=TRUE(),479.4,"")</f>
        <v/>
      </c>
      <c r="W25" s="10" t="str">
        <f>IF($R$6=TRUE(),479.6,"")</f>
        <v/>
      </c>
      <c r="X25" s="10" t="str">
        <f>IF($R$6=TRUE(),515,"")</f>
        <v/>
      </c>
      <c r="Y25" s="10" t="str">
        <f>IF($R$6=TRUE(),515.1,"")</f>
        <v/>
      </c>
      <c r="Z25" s="10" t="str">
        <f>IF($R$6=TRUE(),548.4,"")</f>
        <v/>
      </c>
      <c r="AA25" s="10" t="str">
        <f>IF($R$6=TRUE(),560.9,"")</f>
        <v/>
      </c>
      <c r="AB25" s="10" t="str">
        <f>IF($R$6=TRUE(),568.9,"")</f>
        <v/>
      </c>
      <c r="AC25" s="10" t="str">
        <f>IF($R$6=TRUE(),572.7,"")</f>
        <v/>
      </c>
      <c r="AD25" s="10" t="str">
        <f>IF($R$6=TRUE(),990,"")</f>
        <v/>
      </c>
      <c r="AE25" s="10" t="str">
        <f>IF($R$6=TRUE(),1177,"")</f>
        <v/>
      </c>
      <c r="AF25" s="10" t="str">
        <f>IF($R$6=TRUE(),1362.9,"")</f>
        <v/>
      </c>
      <c r="AG25" s="10" t="str">
        <f>IF($R$6=TRUE(),1578.7,"")</f>
        <v/>
      </c>
      <c r="AH25" s="10" t="str">
        <f>IF($R$6=TRUE(),1564.2,"")</f>
        <v/>
      </c>
      <c r="AI25" s="10" t="str">
        <f>IF($R$6=TRUE(),1565.2,"")</f>
        <v/>
      </c>
      <c r="AJ25" s="10" t="str">
        <f>IF($R$6=TRUE(),1572,"")</f>
        <v/>
      </c>
      <c r="AK25" s="10" t="str">
        <f>IF($R$6=TRUE(),1487.7,"")</f>
        <v/>
      </c>
      <c r="AL25" s="10" t="str">
        <f>IF($R$6=TRUE(),1712,"")</f>
        <v/>
      </c>
      <c r="AM25" s="10" t="str">
        <f>IF($R$6=TRUE(),1774.7,"")</f>
        <v/>
      </c>
      <c r="AN25" s="10" t="str">
        <f>IF($R$6=TRUE(),2148.6,"")</f>
        <v/>
      </c>
      <c r="AO25" s="10" t="str">
        <f>IF($R$6=TRUE(),2597.9,"")</f>
        <v/>
      </c>
      <c r="AP25" s="10" t="str">
        <f>IF($R$6=TRUE(),2952.6,"")</f>
        <v/>
      </c>
      <c r="AQ25" s="10" t="str">
        <f>IF($R$6=TRUE(),3411.7,"")</f>
        <v/>
      </c>
      <c r="AR25" s="10" t="str">
        <f>IF($R$6=TRUE(),3771,"")</f>
        <v/>
      </c>
      <c r="AS25" s="10" t="str">
        <f>IF($R$6=TRUE(),3370,"")</f>
        <v/>
      </c>
      <c r="AT25" s="10" t="str">
        <f>IF($R$6=TRUE(),3681.7,"")</f>
        <v/>
      </c>
      <c r="AU25" s="10" t="str">
        <f>IF($R$6=TRUE(),3687.3,"")</f>
        <v/>
      </c>
      <c r="AV25" s="10" t="str">
        <f>IF($R$6=TRUE(),4155.6,"")</f>
        <v/>
      </c>
      <c r="AW25" s="10" t="str">
        <f>IF($R$6=TRUE(),4091.2,"")</f>
        <v/>
      </c>
      <c r="AX25" s="10" t="str">
        <f>IF($R$6=TRUE(),4397.9,"")</f>
        <v/>
      </c>
      <c r="AY25" s="10" t="str">
        <f>IF($R$6=TRUE(),4680.8,"")</f>
        <v/>
      </c>
      <c r="AZ25" s="10" t="str">
        <f>IF($R$6=TRUE(),5222.7,"")</f>
        <v/>
      </c>
      <c r="BA25" s="10" t="str">
        <f>IF($R$6=TRUE(),5649.9,"")</f>
        <v/>
      </c>
      <c r="BB25" s="10" t="str">
        <f>IF($R$6=TRUE(),6201.5,"")</f>
        <v/>
      </c>
      <c r="BC25" s="10" t="str">
        <f>IF($R$6=TRUE(),6201.5,"")</f>
        <v/>
      </c>
      <c r="BD25" s="10" t="str">
        <f>IF($R$6=TRUE(),6231.1,"")</f>
        <v/>
      </c>
      <c r="BE25" s="10" t="str">
        <f>IF($R$6=TRUE(),6238,"")</f>
        <v/>
      </c>
      <c r="BF25" s="10" t="str">
        <f>IF($R$6=TRUE(),6854.6,"")</f>
        <v/>
      </c>
      <c r="BG25" s="10" t="str">
        <f>IF($R$6=TRUE(),7092.2,"")</f>
        <v/>
      </c>
      <c r="BH25" s="10" t="str">
        <f>IF($R$6=TRUE(),7735.3,"")</f>
        <v/>
      </c>
      <c r="BI25" s="10" t="str">
        <f>IF($R$6=TRUE(),8381.5,"")</f>
        <v/>
      </c>
      <c r="BJ25" s="10" t="str">
        <f>IF($R$6=TRUE(),9207.4,"")</f>
        <v/>
      </c>
      <c r="BK25" s="10" t="str">
        <f>IF($R$6=TRUE(),10084.4,"")</f>
        <v/>
      </c>
      <c r="BL25" s="10" t="str">
        <f>IF($R$6=TRUE(),10811.2,"")</f>
        <v/>
      </c>
      <c r="BM25" s="10" t="str">
        <f>IF($R$6=TRUE(),13037.6,"")</f>
        <v/>
      </c>
      <c r="BN25" s="11"/>
      <c r="BO25" s="11"/>
    </row>
    <row r="26" spans="1:67" ht="15" customHeight="1">
      <c r="A26" s="12" t="s">
        <v>148</v>
      </c>
      <c r="B26" s="13" t="str">
        <f>IF($S$6=TRUE(),227.3,"")</f>
        <v/>
      </c>
      <c r="C26" s="13" t="str">
        <f>IF($S$6=TRUE(),227.9,"")</f>
        <v/>
      </c>
      <c r="D26" s="13" t="str">
        <f>IF($S$6=TRUE(),228.2,"")</f>
        <v/>
      </c>
      <c r="E26" s="13" t="str">
        <f>IF($S$6=TRUE(),276.8,"")</f>
        <v/>
      </c>
      <c r="F26" s="13" t="str">
        <f>IF($S$6=TRUE(),279.8,"")</f>
        <v/>
      </c>
      <c r="G26" s="13" t="str">
        <f>IF($S$6=TRUE(),280.8,"")</f>
        <v/>
      </c>
      <c r="H26" s="13" t="str">
        <f>IF($S$6=TRUE(),282.2,"")</f>
        <v/>
      </c>
      <c r="I26" s="13" t="str">
        <f>IF($S$6=TRUE(),364.3,"")</f>
        <v/>
      </c>
      <c r="J26" s="13" t="str">
        <f>IF($S$6=TRUE(),438.2,"")</f>
        <v/>
      </c>
      <c r="K26" s="13" t="str">
        <f>IF($S$6=TRUE(),510.5,"")</f>
        <v/>
      </c>
      <c r="L26" s="13" t="str">
        <f>IF($S$6=TRUE(),510.9,"")</f>
        <v/>
      </c>
      <c r="M26" s="13" t="str">
        <f>IF($S$6=TRUE(),511.9,"")</f>
        <v/>
      </c>
      <c r="N26" s="13" t="str">
        <f>IF($S$6=TRUE(),546.9,"")</f>
        <v/>
      </c>
      <c r="O26" s="13" t="str">
        <f>IF($S$6=TRUE(),547.9,"")</f>
        <v/>
      </c>
      <c r="P26" s="13" t="str">
        <f>IF($S$6=TRUE(),547.9,"")</f>
        <v/>
      </c>
      <c r="Q26" s="13" t="str">
        <f>IF($S$6=TRUE(),548.1,"")</f>
        <v/>
      </c>
      <c r="R26" s="13" t="str">
        <f>IF($S$6=TRUE(),600.7,"")</f>
        <v/>
      </c>
      <c r="S26" s="13" t="str">
        <f>IF($S$6=TRUE(),601.5,"")</f>
        <v/>
      </c>
      <c r="T26" s="13" t="str">
        <f>IF($S$6=TRUE(),603.6,"")</f>
        <v/>
      </c>
      <c r="U26" s="13" t="str">
        <f>IF($S$6=TRUE(),603.9,"")</f>
        <v/>
      </c>
      <c r="V26" s="13" t="str">
        <f>IF($S$6=TRUE(),602.9,"")</f>
        <v/>
      </c>
      <c r="W26" s="13" t="str">
        <f>IF($S$6=TRUE(),603.7,"")</f>
        <v/>
      </c>
      <c r="X26" s="13" t="str">
        <f>IF($S$6=TRUE(),623.1,"")</f>
        <v/>
      </c>
      <c r="Y26" s="13" t="str">
        <f>IF($S$6=TRUE(),623.4,"")</f>
        <v/>
      </c>
      <c r="Z26" s="13" t="str">
        <f>IF($S$6=TRUE(),626.7,"")</f>
        <v/>
      </c>
      <c r="AA26" s="13" t="str">
        <f>IF($S$6=TRUE(),628.1,"")</f>
        <v/>
      </c>
      <c r="AB26" s="13" t="str">
        <f>IF($S$6=TRUE(),631.5,"")</f>
        <v/>
      </c>
      <c r="AC26" s="13" t="str">
        <f>IF($S$6=TRUE(),649.2,"")</f>
        <v/>
      </c>
      <c r="AD26" s="13" t="str">
        <f>IF($S$6=TRUE(),760.7,"")</f>
        <v/>
      </c>
      <c r="AE26" s="13" t="str">
        <f>IF($S$6=TRUE(),827,"")</f>
        <v/>
      </c>
      <c r="AF26" s="13" t="str">
        <f>IF($S$6=TRUE(),985.2,"")</f>
        <v/>
      </c>
      <c r="AG26" s="13" t="str">
        <f>IF($S$6=TRUE(),1090.4,"")</f>
        <v/>
      </c>
      <c r="AH26" s="13" t="str">
        <f>IF($S$6=TRUE(),1153.7,"")</f>
        <v/>
      </c>
      <c r="AI26" s="13" t="str">
        <f>IF($S$6=TRUE(),1164.5,"")</f>
        <v/>
      </c>
      <c r="AJ26" s="13" t="str">
        <f>IF($S$6=TRUE(),1421.9,"")</f>
        <v/>
      </c>
      <c r="AK26" s="13" t="str">
        <f>IF($S$6=TRUE(),1426.5,"")</f>
        <v/>
      </c>
      <c r="AL26" s="13" t="str">
        <f>IF($S$6=TRUE(),1539.2,"")</f>
        <v/>
      </c>
      <c r="AM26" s="13" t="str">
        <f>IF($S$6=TRUE(),1541.7,"")</f>
        <v/>
      </c>
      <c r="AN26" s="13" t="str">
        <f>IF($S$6=TRUE(),1852.3,"")</f>
        <v/>
      </c>
      <c r="AO26" s="13" t="str">
        <f>IF($S$6=TRUE(),2024.4,"")</f>
        <v/>
      </c>
      <c r="AP26" s="13" t="str">
        <f>IF($S$6=TRUE(),2408.1,"")</f>
        <v/>
      </c>
      <c r="AQ26" s="13" t="str">
        <f>IF($S$6=TRUE(),2739.5,"")</f>
        <v/>
      </c>
      <c r="AR26" s="13" t="str">
        <f>IF($S$6=TRUE(),2186.2,"")</f>
        <v/>
      </c>
      <c r="AS26" s="13" t="str">
        <f>IF($S$6=TRUE(),2194.3,"")</f>
        <v/>
      </c>
      <c r="AT26" s="13" t="str">
        <f>IF($S$6=TRUE(),2344.8,"")</f>
        <v/>
      </c>
      <c r="AU26" s="13" t="str">
        <f>IF($S$6=TRUE(),2449.1,"")</f>
        <v/>
      </c>
      <c r="AV26" s="13" t="str">
        <f>IF($S$6=TRUE(),2635.4,"")</f>
        <v/>
      </c>
      <c r="AW26" s="13" t="str">
        <f>IF($S$6=TRUE(),2585.4,"")</f>
        <v/>
      </c>
      <c r="AX26" s="13" t="str">
        <f>IF($S$6=TRUE(),2702.7,"")</f>
        <v/>
      </c>
      <c r="AY26" s="13" t="str">
        <f>IF($S$6=TRUE(),2850.7,"")</f>
        <v/>
      </c>
      <c r="AZ26" s="13" t="str">
        <f>IF($S$6=TRUE(),3202.2,"")</f>
        <v/>
      </c>
      <c r="BA26" s="13" t="str">
        <f>IF($S$6=TRUE(),3772.6,"")</f>
        <v/>
      </c>
      <c r="BB26" s="13" t="str">
        <f>IF($S$6=TRUE(),3934.6,"")</f>
        <v/>
      </c>
      <c r="BC26" s="13" t="str">
        <f>IF($S$6=TRUE(),4257.4,"")</f>
        <v/>
      </c>
      <c r="BD26" s="13" t="str">
        <f>IF($S$6=TRUE(),4843.8,"")</f>
        <v/>
      </c>
      <c r="BE26" s="13" t="str">
        <f>IF($S$6=TRUE(),4873,"")</f>
        <v/>
      </c>
      <c r="BF26" s="13" t="str">
        <f>IF($S$6=TRUE(),5150.9,"")</f>
        <v/>
      </c>
      <c r="BG26" s="13" t="str">
        <f>IF($S$6=TRUE(),5356.3,"")</f>
        <v/>
      </c>
      <c r="BH26" s="13" t="str">
        <f>IF($S$6=TRUE(),6065.3,"")</f>
        <v/>
      </c>
      <c r="BI26" s="13" t="str">
        <f>IF($S$6=TRUE(),6372.2,"")</f>
        <v/>
      </c>
      <c r="BJ26" s="13" t="str">
        <f>IF($S$6=TRUE(),6584.1,"")</f>
        <v/>
      </c>
      <c r="BK26" s="13" t="str">
        <f>IF($S$6=TRUE(),6887.8,"")</f>
        <v/>
      </c>
      <c r="BL26" s="13" t="str">
        <f>IF($S$6=TRUE(),7959.2,"")</f>
        <v/>
      </c>
      <c r="BM26" s="13" t="str">
        <f>IF($S$6=TRUE(),8207.5,"")</f>
        <v/>
      </c>
      <c r="BN26" s="14"/>
      <c r="BO26" s="14"/>
    </row>
    <row r="27" spans="1:67" ht="15" customHeight="1">
      <c r="A27" s="9" t="s">
        <v>149</v>
      </c>
      <c r="B27" s="10" t="str">
        <f>IF($T$6=TRUE(),246.1,"")</f>
        <v/>
      </c>
      <c r="C27" s="10" t="str">
        <f>IF($T$6=TRUE(),246.3,"")</f>
        <v/>
      </c>
      <c r="D27" s="10" t="str">
        <f>IF($T$6=TRUE(),247.7,"")</f>
        <v/>
      </c>
      <c r="E27" s="10" t="str">
        <f>IF($T$6=TRUE(),291.5,"")</f>
        <v/>
      </c>
      <c r="F27" s="10" t="str">
        <f>IF($T$6=TRUE(),309.3,"")</f>
        <v/>
      </c>
      <c r="G27" s="10" t="str">
        <f>IF($T$6=TRUE(),424.4,"")</f>
        <v/>
      </c>
      <c r="H27" s="10" t="str">
        <f>IF($T$6=TRUE(),551.7,"")</f>
        <v/>
      </c>
      <c r="I27" s="10" t="str">
        <f>IF($T$6=TRUE(),612,"")</f>
        <v/>
      </c>
      <c r="J27" s="10" t="str">
        <f>IF($T$6=TRUE(),628.4,"")</f>
        <v/>
      </c>
      <c r="K27" s="10" t="str">
        <f>IF($T$6=TRUE(),628.7,"")</f>
        <v/>
      </c>
      <c r="L27" s="10" t="str">
        <f>IF($T$6=TRUE(),636.5,"")</f>
        <v/>
      </c>
      <c r="M27" s="10" t="str">
        <f>IF($T$6=TRUE(),636.9,"")</f>
        <v/>
      </c>
      <c r="N27" s="10" t="str">
        <f>IF($T$6=TRUE(),650.9,"")</f>
        <v/>
      </c>
      <c r="O27" s="10" t="str">
        <f>IF($T$6=TRUE(),651.2,"")</f>
        <v/>
      </c>
      <c r="P27" s="10" t="str">
        <f>IF($T$6=TRUE(),605.6,"")</f>
        <v/>
      </c>
      <c r="Q27" s="10" t="str">
        <f>IF($T$6=TRUE(),605.8,"")</f>
        <v/>
      </c>
      <c r="R27" s="10" t="str">
        <f>IF($T$6=TRUE(),660.2,"")</f>
        <v/>
      </c>
      <c r="S27" s="10" t="str">
        <f>IF($T$6=TRUE(),660.4,"")</f>
        <v/>
      </c>
      <c r="T27" s="10" t="str">
        <f>IF($T$6=TRUE(),660.7,"")</f>
        <v/>
      </c>
      <c r="U27" s="10" t="str">
        <f>IF($T$6=TRUE(),660.9,"")</f>
        <v/>
      </c>
      <c r="V27" s="10" t="str">
        <f>IF($T$6=TRUE(),619,"")</f>
        <v/>
      </c>
      <c r="W27" s="10" t="str">
        <f>IF($T$6=TRUE(),619.3,"")</f>
        <v/>
      </c>
      <c r="X27" s="10" t="str">
        <f>IF($T$6=TRUE(),610,"")</f>
        <v/>
      </c>
      <c r="Y27" s="10" t="str">
        <f>IF($T$6=TRUE(),610.2,"")</f>
        <v/>
      </c>
      <c r="Z27" s="10" t="str">
        <f>IF($T$6=TRUE(),698.1,"")</f>
        <v/>
      </c>
      <c r="AA27" s="10" t="str">
        <f>IF($T$6=TRUE(),698.4,"")</f>
        <v/>
      </c>
      <c r="AB27" s="10" t="str">
        <f>IF($T$6=TRUE(),700.6,"")</f>
        <v/>
      </c>
      <c r="AC27" s="10" t="str">
        <f>IF($T$6=TRUE(),700.9,"")</f>
        <v/>
      </c>
      <c r="AD27" s="10" t="str">
        <f>IF($T$6=TRUE(),730,"")</f>
        <v/>
      </c>
      <c r="AE27" s="10" t="str">
        <f>IF($T$6=TRUE(),857.8,"")</f>
        <v/>
      </c>
      <c r="AF27" s="10" t="str">
        <f>IF($T$6=TRUE(),1205.6,"")</f>
        <v/>
      </c>
      <c r="AG27" s="10" t="str">
        <f>IF($T$6=TRUE(),1558.8,"")</f>
        <v/>
      </c>
      <c r="AH27" s="10" t="str">
        <f>IF($T$6=TRUE(),1556.6,"")</f>
        <v/>
      </c>
      <c r="AI27" s="10" t="str">
        <f>IF($T$6=TRUE(),1557.8,"")</f>
        <v/>
      </c>
      <c r="AJ27" s="10" t="str">
        <f>IF($T$6=TRUE(),1763.3,"")</f>
        <v/>
      </c>
      <c r="AK27" s="10" t="str">
        <f>IF($T$6=TRUE(),1765,"")</f>
        <v/>
      </c>
      <c r="AL27" s="10" t="str">
        <f>IF($T$6=TRUE(),1842.3,"")</f>
        <v/>
      </c>
      <c r="AM27" s="10" t="str">
        <f>IF($T$6=TRUE(),1843.3,"")</f>
        <v/>
      </c>
      <c r="AN27" s="10" t="str">
        <f>IF($T$6=TRUE(),2150.7,"")</f>
        <v/>
      </c>
      <c r="AO27" s="10" t="str">
        <f>IF($T$6=TRUE(),2521.9,"")</f>
        <v/>
      </c>
      <c r="AP27" s="10" t="str">
        <f>IF($T$6=TRUE(),2795.9,"")</f>
        <v/>
      </c>
      <c r="AQ27" s="10" t="str">
        <f>IF($T$6=TRUE(),3107.7,"")</f>
        <v/>
      </c>
      <c r="AR27" s="10" t="str">
        <f>IF($T$6=TRUE(),3532.4,"")</f>
        <v/>
      </c>
      <c r="AS27" s="10" t="str">
        <f>IF($T$6=TRUE(),3535.7,"")</f>
        <v/>
      </c>
      <c r="AT27" s="10" t="str">
        <f>IF($T$6=TRUE(),3729.5,"")</f>
        <v/>
      </c>
      <c r="AU27" s="10" t="str">
        <f>IF($T$6=TRUE(),3875.2,"")</f>
        <v/>
      </c>
      <c r="AV27" s="10" t="str">
        <f>IF($T$6=TRUE(),4776.7,"")</f>
        <v/>
      </c>
      <c r="AW27" s="10" t="str">
        <f>IF($T$6=TRUE(),4709.8,"")</f>
        <v/>
      </c>
      <c r="AX27" s="10" t="str">
        <f>IF($T$6=TRUE(),5429.6,"")</f>
        <v/>
      </c>
      <c r="AY27" s="10" t="str">
        <f>IF($T$6=TRUE(),5719.6,"")</f>
        <v/>
      </c>
      <c r="AZ27" s="10" t="str">
        <f>IF($T$6=TRUE(),5716.9,"")</f>
        <v/>
      </c>
      <c r="BA27" s="10" t="str">
        <f>IF($T$6=TRUE(),6829.5,"")</f>
        <v/>
      </c>
      <c r="BB27" s="10" t="str">
        <f>IF($T$6=TRUE(),7842.8,"")</f>
        <v/>
      </c>
      <c r="BC27" s="10" t="str">
        <f>IF($T$6=TRUE(),7981.2,"")</f>
        <v/>
      </c>
      <c r="BD27" s="10" t="str">
        <f>IF($T$6=TRUE(),8453.2,"")</f>
        <v/>
      </c>
      <c r="BE27" s="10" t="str">
        <f>IF($T$6=TRUE(),8751.7,"")</f>
        <v/>
      </c>
      <c r="BF27" s="10" t="str">
        <f>IF($T$6=TRUE(),9049.2,"")</f>
        <v/>
      </c>
      <c r="BG27" s="10" t="str">
        <f>IF($T$6=TRUE(),9758.2,"")</f>
        <v/>
      </c>
      <c r="BH27" s="10" t="str">
        <f>IF($T$6=TRUE(),12098.6,"")</f>
        <v/>
      </c>
      <c r="BI27" s="10" t="str">
        <f>IF($T$6=TRUE(),12014.7,"")</f>
        <v/>
      </c>
      <c r="BJ27" s="10" t="str">
        <f>IF($T$6=TRUE(),12017.1,"")</f>
        <v/>
      </c>
      <c r="BK27" s="10" t="str">
        <f>IF($T$6=TRUE(),12885.2,"")</f>
        <v/>
      </c>
      <c r="BL27" s="10" t="str">
        <f>IF($T$6=TRUE(),13558.6,"")</f>
        <v/>
      </c>
      <c r="BM27" s="10" t="str">
        <f>IF($T$6=TRUE(),13752.7,"")</f>
        <v/>
      </c>
      <c r="BN27" s="11"/>
      <c r="BO27" s="11"/>
    </row>
    <row r="28" spans="1:67" ht="15" customHeight="1">
      <c r="A28" s="12" t="s">
        <v>150</v>
      </c>
      <c r="B28" s="13" t="str">
        <f>IF($U$6=TRUE(),525.1,"")</f>
        <v/>
      </c>
      <c r="C28" s="13" t="str">
        <f>IF($U$6=TRUE(),532.7,"")</f>
        <v/>
      </c>
      <c r="D28" s="13" t="str">
        <f>IF($U$6=TRUE(),536.2,"")</f>
        <v/>
      </c>
      <c r="E28" s="13" t="str">
        <f>IF($U$6=TRUE(),589.2,"")</f>
        <v/>
      </c>
      <c r="F28" s="13" t="str">
        <f>IF($U$6=TRUE(),656.7,"")</f>
        <v/>
      </c>
      <c r="G28" s="13" t="str">
        <f>IF($U$6=TRUE(),723.3,"")</f>
        <v/>
      </c>
      <c r="H28" s="13" t="str">
        <f>IF($U$6=TRUE(),932.1,"")</f>
        <v/>
      </c>
      <c r="I28" s="13" t="str">
        <f>IF($U$6=TRUE(),951.8,"")</f>
        <v/>
      </c>
      <c r="J28" s="13" t="str">
        <f>IF($U$6=TRUE(),963,"")</f>
        <v/>
      </c>
      <c r="K28" s="13" t="str">
        <f>IF($U$6=TRUE(),930.5,"")</f>
        <v/>
      </c>
      <c r="L28" s="13" t="str">
        <f>IF($U$6=TRUE(),960.7,"")</f>
        <v/>
      </c>
      <c r="M28" s="13" t="str">
        <f>IF($U$6=TRUE(),967.2,"")</f>
        <v/>
      </c>
      <c r="N28" s="13" t="str">
        <f>IF($U$6=TRUE(),1075.3,"")</f>
        <v/>
      </c>
      <c r="O28" s="13" t="str">
        <f>IF($U$6=TRUE(),1081.4,"")</f>
        <v/>
      </c>
      <c r="P28" s="13" t="str">
        <f>IF($U$6=TRUE(),1128.7,"")</f>
        <v/>
      </c>
      <c r="Q28" s="13" t="str">
        <f>IF($U$6=TRUE(),1133.4,"")</f>
        <v/>
      </c>
      <c r="R28" s="13" t="str">
        <f>IF($U$6=TRUE(),1127.8,"")</f>
        <v/>
      </c>
      <c r="S28" s="13" t="str">
        <f>IF($U$6=TRUE(),1121.5,"")</f>
        <v/>
      </c>
      <c r="T28" s="13" t="str">
        <f>IF($U$6=TRUE(),1169.1,"")</f>
        <v/>
      </c>
      <c r="U28" s="13" t="str">
        <f>IF($U$6=TRUE(),1172,"")</f>
        <v/>
      </c>
      <c r="V28" s="13" t="str">
        <f>IF($U$6=TRUE(),1203.7,"")</f>
        <v/>
      </c>
      <c r="W28" s="13" t="str">
        <f>IF($U$6=TRUE(),1208,"")</f>
        <v/>
      </c>
      <c r="X28" s="13" t="str">
        <f>IF($U$6=TRUE(),1327.1,"")</f>
        <v/>
      </c>
      <c r="Y28" s="13" t="str">
        <f>IF($U$6=TRUE(),1386.6,"")</f>
        <v/>
      </c>
      <c r="Z28" s="13" t="str">
        <f>IF($U$6=TRUE(),1497.8,"")</f>
        <v/>
      </c>
      <c r="AA28" s="13" t="str">
        <f>IF($U$6=TRUE(),1527.5,"")</f>
        <v/>
      </c>
      <c r="AB28" s="13" t="str">
        <f>IF($U$6=TRUE(),1644.3,"")</f>
        <v/>
      </c>
      <c r="AC28" s="13" t="str">
        <f>IF($U$6=TRUE(),1742.7,"")</f>
        <v/>
      </c>
      <c r="AD28" s="13" t="str">
        <f>IF($U$6=TRUE(),1875.4,"")</f>
        <v/>
      </c>
      <c r="AE28" s="13" t="str">
        <f>IF($U$6=TRUE(),2059.9,"")</f>
        <v/>
      </c>
      <c r="AF28" s="13" t="str">
        <f>IF($U$6=TRUE(),2232,"")</f>
        <v/>
      </c>
      <c r="AG28" s="13" t="str">
        <f>IF($U$6=TRUE(),2368.9,"")</f>
        <v/>
      </c>
      <c r="AH28" s="13" t="str">
        <f>IF($U$6=TRUE(),2793.7,"")</f>
        <v/>
      </c>
      <c r="AI28" s="13" t="str">
        <f>IF($U$6=TRUE(),2586.1,"")</f>
        <v/>
      </c>
      <c r="AJ28" s="13" t="str">
        <f>IF($U$6=TRUE(),3247.6,"")</f>
        <v/>
      </c>
      <c r="AK28" s="13" t="str">
        <f>IF($U$6=TRUE(),3193.7,"")</f>
        <v/>
      </c>
      <c r="AL28" s="13" t="str">
        <f>IF($U$6=TRUE(),3206.7,"")</f>
        <v/>
      </c>
      <c r="AM28" s="13" t="str">
        <f>IF($U$6=TRUE(),3298.4,"")</f>
        <v/>
      </c>
      <c r="AN28" s="13" t="str">
        <f>IF($U$6=TRUE(),3574.4,"")</f>
        <v/>
      </c>
      <c r="AO28" s="13" t="str">
        <f>IF($U$6=TRUE(),4621.5,"")</f>
        <v/>
      </c>
      <c r="AP28" s="13" t="str">
        <f>IF($U$6=TRUE(),5035.3,"")</f>
        <v/>
      </c>
      <c r="AQ28" s="13" t="str">
        <f>IF($U$6=TRUE(),5579,"")</f>
        <v/>
      </c>
      <c r="AR28" s="13" t="str">
        <f>IF($U$6=TRUE(),6333.7,"")</f>
        <v/>
      </c>
      <c r="AS28" s="13" t="str">
        <f>IF($U$6=TRUE(),7127.5,"")</f>
        <v/>
      </c>
      <c r="AT28" s="13" t="str">
        <f>IF($U$6=TRUE(),7817.8,"")</f>
        <v/>
      </c>
      <c r="AU28" s="13" t="str">
        <f>IF($U$6=TRUE(),7974.6,"")</f>
        <v/>
      </c>
      <c r="AV28" s="13" t="str">
        <f>IF($U$6=TRUE(),8513.9,"")</f>
        <v/>
      </c>
      <c r="AW28" s="13" t="str">
        <f>IF($U$6=TRUE(),8847.4,"")</f>
        <v/>
      </c>
      <c r="AX28" s="13" t="str">
        <f>IF($U$6=TRUE(),9594.7,"")</f>
        <v/>
      </c>
      <c r="AY28" s="13" t="str">
        <f>IF($U$6=TRUE(),9498.3,"")</f>
        <v/>
      </c>
      <c r="AZ28" s="13" t="str">
        <f>IF($U$6=TRUE(),10416,"")</f>
        <v/>
      </c>
      <c r="BA28" s="13" t="str">
        <f>IF($U$6=TRUE(),11378.1,"")</f>
        <v/>
      </c>
      <c r="BB28" s="13" t="str">
        <f>IF($U$6=TRUE(),13408.4,"")</f>
        <v/>
      </c>
      <c r="BC28" s="13" t="str">
        <f>IF($U$6=TRUE(),14599.1,"")</f>
        <v/>
      </c>
      <c r="BD28" s="13" t="str">
        <f>IF($U$6=TRUE(),14956.3,"")</f>
        <v/>
      </c>
      <c r="BE28" s="13" t="str">
        <f>IF($U$6=TRUE(),14806,"")</f>
        <v/>
      </c>
      <c r="BF28" s="13" t="str">
        <f>IF($U$6=TRUE(),16447,"")</f>
        <v/>
      </c>
      <c r="BG28" s="13" t="str">
        <f>IF($U$6=TRUE(),17593.4,"")</f>
        <v/>
      </c>
      <c r="BH28" s="13" t="str">
        <f>IF($U$6=TRUE(),22075.6,"")</f>
        <v/>
      </c>
      <c r="BI28" s="13" t="str">
        <f>IF($U$6=TRUE(),22236,"")</f>
        <v/>
      </c>
      <c r="BJ28" s="13" t="str">
        <f>IF($U$6=TRUE(),22515.9,"")</f>
        <v/>
      </c>
      <c r="BK28" s="13" t="str">
        <f>IF($U$6=TRUE(),24651,"")</f>
        <v/>
      </c>
      <c r="BL28" s="13" t="str">
        <f>IF($U$6=TRUE(),25736.4,"")</f>
        <v/>
      </c>
      <c r="BM28" s="13" t="str">
        <f>IF($U$6=TRUE(),27924.2,"")</f>
        <v/>
      </c>
      <c r="BN28" s="14"/>
      <c r="BO28" s="14"/>
    </row>
    <row r="29" spans="1:67" ht="15" customHeight="1">
      <c r="A29" s="9" t="s">
        <v>151</v>
      </c>
      <c r="B29" s="10" t="str">
        <f>IF($V$6=TRUE(),296.2,"")</f>
        <v/>
      </c>
      <c r="C29" s="10" t="str">
        <f>IF($V$6=TRUE(),307.9,"")</f>
        <v/>
      </c>
      <c r="D29" s="10" t="str">
        <f>IF($V$6=TRUE(),328.3,"")</f>
        <v/>
      </c>
      <c r="E29" s="10" t="str">
        <f>IF($V$6=TRUE(),371.8,"")</f>
        <v/>
      </c>
      <c r="F29" s="10" t="str">
        <f>IF($V$6=TRUE(),416,"")</f>
        <v/>
      </c>
      <c r="G29" s="10" t="str">
        <f>IF($V$6=TRUE(),497,"")</f>
        <v/>
      </c>
      <c r="H29" s="10" t="str">
        <f>IF($V$6=TRUE(),615.8,"")</f>
        <v/>
      </c>
      <c r="I29" s="10" t="str">
        <f>IF($V$6=TRUE(),618.2,"")</f>
        <v/>
      </c>
      <c r="J29" s="10" t="str">
        <f>IF($V$6=TRUE(),589.2,"")</f>
        <v/>
      </c>
      <c r="K29" s="10" t="str">
        <f>IF($V$6=TRUE(),634.4,"")</f>
        <v/>
      </c>
      <c r="L29" s="10" t="str">
        <f>IF($V$6=TRUE(),596.5,"")</f>
        <v/>
      </c>
      <c r="M29" s="10" t="str">
        <f>IF($V$6=TRUE(),600.5,"")</f>
        <v/>
      </c>
      <c r="N29" s="10" t="str">
        <f>IF($V$6=TRUE(),659.7,"")</f>
        <v/>
      </c>
      <c r="O29" s="10" t="str">
        <f>IF($V$6=TRUE(),662.5,"")</f>
        <v/>
      </c>
      <c r="P29" s="10" t="str">
        <f>IF($V$6=TRUE(),666.2,"")</f>
        <v/>
      </c>
      <c r="Q29" s="10" t="str">
        <f>IF($V$6=TRUE(),668.5,"")</f>
        <v/>
      </c>
      <c r="R29" s="10" t="str">
        <f>IF($V$6=TRUE(),653.6,"")</f>
        <v/>
      </c>
      <c r="S29" s="10" t="str">
        <f>IF($V$6=TRUE(),655.2,"")</f>
        <v/>
      </c>
      <c r="T29" s="10" t="str">
        <f>IF($V$6=TRUE(),638.1,"")</f>
        <v/>
      </c>
      <c r="U29" s="10" t="str">
        <f>IF($V$6=TRUE(),639.4,"")</f>
        <v/>
      </c>
      <c r="V29" s="10" t="str">
        <f>IF($V$6=TRUE(),603,"")</f>
        <v/>
      </c>
      <c r="W29" s="10" t="str">
        <f>IF($V$6=TRUE(),604.9,"")</f>
        <v/>
      </c>
      <c r="X29" s="10" t="str">
        <f>IF($V$6=TRUE(),663,"")</f>
        <v/>
      </c>
      <c r="Y29" s="10" t="str">
        <f>IF($V$6=TRUE(),694.2,"")</f>
        <v/>
      </c>
      <c r="Z29" s="10" t="str">
        <f>IF($V$6=TRUE(),775.7,"")</f>
        <v/>
      </c>
      <c r="AA29" s="10" t="str">
        <f>IF($V$6=TRUE(),777.8,"")</f>
        <v/>
      </c>
      <c r="AB29" s="10" t="str">
        <f>IF($V$6=TRUE(),777.7,"")</f>
        <v/>
      </c>
      <c r="AC29" s="10" t="str">
        <f>IF($V$6=TRUE(),831.2,"")</f>
        <v/>
      </c>
      <c r="AD29" s="10" t="str">
        <f>IF($V$6=TRUE(),978.6,"")</f>
        <v/>
      </c>
      <c r="AE29" s="10" t="str">
        <f>IF($V$6=TRUE(),987.2,"")</f>
        <v/>
      </c>
      <c r="AF29" s="10" t="str">
        <f>IF($V$6=TRUE(),1160.9,"")</f>
        <v/>
      </c>
      <c r="AG29" s="10" t="str">
        <f>IF($V$6=TRUE(),1319.4,"")</f>
        <v/>
      </c>
      <c r="AH29" s="10" t="str">
        <f>IF($V$6=TRUE(),1383.9,"")</f>
        <v/>
      </c>
      <c r="AI29" s="10" t="str">
        <f>IF($V$6=TRUE(),1236.2,"")</f>
        <v/>
      </c>
      <c r="AJ29" s="10" t="str">
        <f>IF($V$6=TRUE(),1558.5,"")</f>
        <v/>
      </c>
      <c r="AK29" s="10" t="str">
        <f>IF($V$6=TRUE(),1531.9,"")</f>
        <v/>
      </c>
      <c r="AL29" s="10" t="str">
        <f>IF($V$6=TRUE(),1520.6,"")</f>
        <v/>
      </c>
      <c r="AM29" s="10" t="str">
        <f>IF($V$6=TRUE(),1613.3,"")</f>
        <v/>
      </c>
      <c r="AN29" s="10" t="str">
        <f>IF($V$6=TRUE(),1877.3,"")</f>
        <v/>
      </c>
      <c r="AO29" s="10" t="str">
        <f>IF($V$6=TRUE(),2254.9,"")</f>
        <v/>
      </c>
      <c r="AP29" s="10" t="str">
        <f>IF($V$6=TRUE(),2392.8,"")</f>
        <v/>
      </c>
      <c r="AQ29" s="10" t="str">
        <f>IF($V$6=TRUE(),2532.9,"")</f>
        <v/>
      </c>
      <c r="AR29" s="10" t="str">
        <f>IF($V$6=TRUE(),3411.5,"")</f>
        <v/>
      </c>
      <c r="AS29" s="10" t="str">
        <f>IF($V$6=TRUE(),3439.3,"")</f>
        <v/>
      </c>
      <c r="AT29" s="10" t="str">
        <f>IF($V$6=TRUE(),3701,"")</f>
        <v/>
      </c>
      <c r="AU29" s="10" t="str">
        <f>IF($V$6=TRUE(),3717.1,"")</f>
        <v/>
      </c>
      <c r="AV29" s="10" t="str">
        <f>IF($V$6=TRUE(),4035.1,"")</f>
        <v/>
      </c>
      <c r="AW29" s="10" t="str">
        <f>IF($V$6=TRUE(),4214.4,"")</f>
        <v/>
      </c>
      <c r="AX29" s="10" t="str">
        <f>IF($V$6=TRUE(),4539.8,"")</f>
        <v/>
      </c>
      <c r="AY29" s="10" t="str">
        <f>IF($V$6=TRUE(),4530.6,"")</f>
        <v/>
      </c>
      <c r="AZ29" s="10" t="str">
        <f>IF($V$6=TRUE(),4862,"")</f>
        <v/>
      </c>
      <c r="BA29" s="10" t="str">
        <f>IF($V$6=TRUE(),5260.7,"")</f>
        <v/>
      </c>
      <c r="BB29" s="10" t="str">
        <f>IF($V$6=TRUE(),6284.5,"")</f>
        <v/>
      </c>
      <c r="BC29" s="10" t="str">
        <f>IF($V$6=TRUE(),6284.9,"")</f>
        <v/>
      </c>
      <c r="BD29" s="10" t="str">
        <f>IF($V$6=TRUE(),6509.9,"")</f>
        <v/>
      </c>
      <c r="BE29" s="10" t="str">
        <f>IF($V$6=TRUE(),6465,"")</f>
        <v/>
      </c>
      <c r="BF29" s="10" t="str">
        <f>IF($V$6=TRUE(),6767,"")</f>
        <v/>
      </c>
      <c r="BG29" s="10" t="str">
        <f>IF($V$6=TRUE(),7375.7,"")</f>
        <v/>
      </c>
      <c r="BH29" s="10" t="str">
        <f>IF($V$6=TRUE(),8815.8,"")</f>
        <v/>
      </c>
      <c r="BI29" s="10" t="str">
        <f>IF($V$6=TRUE(),8901.8,"")</f>
        <v/>
      </c>
      <c r="BJ29" s="10" t="str">
        <f>IF($V$6=TRUE(),9154.2,"")</f>
        <v/>
      </c>
      <c r="BK29" s="10" t="str">
        <f>IF($V$6=TRUE(),10580.9,"")</f>
        <v/>
      </c>
      <c r="BL29" s="10" t="str">
        <f>IF($V$6=TRUE(),10604,"")</f>
        <v/>
      </c>
      <c r="BM29" s="10" t="str">
        <f>IF($V$6=TRUE(),11071.2,"")</f>
        <v/>
      </c>
      <c r="BN29" s="11"/>
      <c r="BO29" s="11"/>
    </row>
    <row r="30" spans="1:67" ht="15" customHeight="1">
      <c r="A30" s="12" t="s">
        <v>152</v>
      </c>
      <c r="B30" s="13" t="str">
        <f>IF($W$6=TRUE(),122.4,"")</f>
        <v/>
      </c>
      <c r="C30" s="13" t="str">
        <f>IF($W$6=TRUE(),122.8,"")</f>
        <v/>
      </c>
      <c r="D30" s="13" t="str">
        <f>IF($W$6=TRUE(),123.4,"")</f>
        <v/>
      </c>
      <c r="E30" s="13" t="str">
        <f>IF($W$6=TRUE(),133.1,"")</f>
        <v/>
      </c>
      <c r="F30" s="13" t="str">
        <f>IF($W$6=TRUE(),149.3,"")</f>
        <v/>
      </c>
      <c r="G30" s="13" t="str">
        <f>IF($W$6=TRUE(),164.9,"")</f>
        <v/>
      </c>
      <c r="H30" s="13" t="str">
        <f>IF($W$6=TRUE(),190.8,"")</f>
        <v/>
      </c>
      <c r="I30" s="13" t="str">
        <f>IF($W$6=TRUE(),193.8,"")</f>
        <v/>
      </c>
      <c r="J30" s="13" t="str">
        <f>IF($W$6=TRUE(),200.2,"")</f>
        <v/>
      </c>
      <c r="K30" s="13" t="str">
        <f>IF($W$6=TRUE(),205.4,"")</f>
        <v/>
      </c>
      <c r="L30" s="13" t="str">
        <f>IF($W$6=TRUE(),202.9,"")</f>
        <v/>
      </c>
      <c r="M30" s="13" t="str">
        <f>IF($W$6=TRUE(),208.9,"")</f>
        <v/>
      </c>
      <c r="N30" s="13" t="str">
        <f>IF($W$6=TRUE(),217.2,"")</f>
        <v/>
      </c>
      <c r="O30" s="13" t="str">
        <f>IF($W$6=TRUE(),218.3,"")</f>
        <v/>
      </c>
      <c r="P30" s="13" t="str">
        <f>IF($W$6=TRUE(),222.4,"")</f>
        <v/>
      </c>
      <c r="Q30" s="13" t="str">
        <f>IF($W$6=TRUE(),223.3,"")</f>
        <v/>
      </c>
      <c r="R30" s="13" t="str">
        <f>IF($W$6=TRUE(),229.8,"")</f>
        <v/>
      </c>
      <c r="S30" s="13" t="str">
        <f>IF($W$6=TRUE(),230.5,"")</f>
        <v/>
      </c>
      <c r="T30" s="13" t="str">
        <f>IF($W$6=TRUE(),231.9,"")</f>
        <v/>
      </c>
      <c r="U30" s="13" t="str">
        <f>IF($W$6=TRUE(),232.5,"")</f>
        <v/>
      </c>
      <c r="V30" s="13" t="str">
        <f>IF($W$6=TRUE(),238.7,"")</f>
        <v/>
      </c>
      <c r="W30" s="13" t="str">
        <f>IF($W$6=TRUE(),239.5,"")</f>
        <v/>
      </c>
      <c r="X30" s="13" t="str">
        <f>IF($W$6=TRUE(),260.3,"")</f>
        <v/>
      </c>
      <c r="Y30" s="13" t="str">
        <f>IF($W$6=TRUE(),268.8,"")</f>
        <v/>
      </c>
      <c r="Z30" s="13" t="str">
        <f>IF($W$6=TRUE(),279.8,"")</f>
        <v/>
      </c>
      <c r="AA30" s="13" t="str">
        <f>IF($W$6=TRUE(),292.5,"")</f>
        <v/>
      </c>
      <c r="AB30" s="13" t="str">
        <f>IF($W$6=TRUE(),293.6,"")</f>
        <v/>
      </c>
      <c r="AC30" s="13" t="str">
        <f>IF($W$6=TRUE(),308.6,"")</f>
        <v/>
      </c>
      <c r="AD30" s="13" t="str">
        <f>IF($W$6=TRUE(),353.5,"")</f>
        <v/>
      </c>
      <c r="AE30" s="13" t="str">
        <f>IF($W$6=TRUE(),370.4,"")</f>
        <v/>
      </c>
      <c r="AF30" s="13" t="str">
        <f>IF($W$6=TRUE(),418.4,"")</f>
        <v/>
      </c>
      <c r="AG30" s="13" t="str">
        <f>IF($W$6=TRUE(),443.9,"")</f>
        <v/>
      </c>
      <c r="AH30" s="13" t="str">
        <f>IF($W$6=TRUE(),483.6,"")</f>
        <v/>
      </c>
      <c r="AI30" s="13" t="str">
        <f>IF($W$6=TRUE(),484.2,"")</f>
        <v/>
      </c>
      <c r="AJ30" s="13" t="str">
        <f>IF($W$6=TRUE(),547.7,"")</f>
        <v/>
      </c>
      <c r="AK30" s="13" t="str">
        <f>IF($W$6=TRUE(),548.3,"")</f>
        <v/>
      </c>
      <c r="AL30" s="13" t="str">
        <f>IF($W$6=TRUE(),581.2,"")</f>
        <v/>
      </c>
      <c r="AM30" s="13" t="str">
        <f>IF($W$6=TRUE(),599.6,"")</f>
        <v/>
      </c>
      <c r="AN30" s="13" t="str">
        <f>IF($W$6=TRUE(),785.8,"")</f>
        <v/>
      </c>
      <c r="AO30" s="13" t="str">
        <f>IF($W$6=TRUE(),865.4,"")</f>
        <v/>
      </c>
      <c r="AP30" s="13" t="str">
        <f>IF($W$6=TRUE(),934.7,"")</f>
        <v/>
      </c>
      <c r="AQ30" s="13" t="str">
        <f>IF($W$6=TRUE(),1018.7,"")</f>
        <v/>
      </c>
      <c r="AR30" s="13" t="str">
        <f>IF($W$6=TRUE(),1047,"")</f>
        <v/>
      </c>
      <c r="AS30" s="13" t="str">
        <f>IF($W$6=TRUE(),1407.1,"")</f>
        <v/>
      </c>
      <c r="AT30" s="13" t="str">
        <f>IF($W$6=TRUE(),1682.3,"")</f>
        <v/>
      </c>
      <c r="AU30" s="13" t="str">
        <f>IF($W$6=TRUE(),1731.7,"")</f>
        <v/>
      </c>
      <c r="AV30" s="13" t="str">
        <f>IF($W$6=TRUE(),1792.2,"")</f>
        <v/>
      </c>
      <c r="AW30" s="13" t="str">
        <f>IF($W$6=TRUE(),1738.3,"")</f>
        <v/>
      </c>
      <c r="AX30" s="13" t="str">
        <f>IF($W$6=TRUE(),1890.7,"")</f>
        <v/>
      </c>
      <c r="AY30" s="13" t="str">
        <f>IF($W$6=TRUE(),1900.3,"")</f>
        <v/>
      </c>
      <c r="AZ30" s="13" t="str">
        <f>IF($W$6=TRUE(),1942.7,"")</f>
        <v/>
      </c>
      <c r="BA30" s="13" t="str">
        <f>IF($W$6=TRUE(),2165.7,"")</f>
        <v/>
      </c>
      <c r="BB30" s="13" t="str">
        <f>IF($W$6=TRUE(),2591.1,"")</f>
        <v/>
      </c>
      <c r="BC30" s="13" t="str">
        <f>IF($W$6=TRUE(),2697,"")</f>
        <v/>
      </c>
      <c r="BD30" s="13" t="str">
        <f>IF($W$6=TRUE(),2947.5,"")</f>
        <v/>
      </c>
      <c r="BE30" s="13" t="str">
        <f>IF($W$6=TRUE(),2969.7,"")</f>
        <v/>
      </c>
      <c r="BF30" s="13" t="str">
        <f>IF($W$6=TRUE(),3092.5,"")</f>
        <v/>
      </c>
      <c r="BG30" s="13" t="str">
        <f>IF($W$6=TRUE(),3210.7,"")</f>
        <v/>
      </c>
      <c r="BH30" s="13" t="str">
        <f>IF($W$6=TRUE(),3672,"")</f>
        <v/>
      </c>
      <c r="BI30" s="13" t="str">
        <f>IF($W$6=TRUE(),3705.1,"")</f>
        <v/>
      </c>
      <c r="BJ30" s="13" t="str">
        <f>IF($W$6=TRUE(),3677.6,"")</f>
        <v/>
      </c>
      <c r="BK30" s="13" t="str">
        <f>IF($W$6=TRUE(),3822.7,"")</f>
        <v/>
      </c>
      <c r="BL30" s="13" t="str">
        <f>IF($W$6=TRUE(),3832.7,"")</f>
        <v/>
      </c>
      <c r="BM30" s="13" t="str">
        <f>IF($W$6=TRUE(),3986.9,"")</f>
        <v/>
      </c>
      <c r="BN30" s="14"/>
      <c r="BO30" s="14"/>
    </row>
    <row r="31" spans="1:67" ht="15" customHeight="1">
      <c r="A31" s="9" t="s">
        <v>153</v>
      </c>
      <c r="B31" s="10" t="str">
        <f>IF($X$6=TRUE(),252.4,"")</f>
        <v/>
      </c>
      <c r="C31" s="10" t="str">
        <f>IF($X$6=TRUE(),252.8,"")</f>
        <v/>
      </c>
      <c r="D31" s="10" t="str">
        <f>IF($X$6=TRUE(),253.6,"")</f>
        <v/>
      </c>
      <c r="E31" s="10" t="str">
        <f>IF($X$6=TRUE(),278.5,"")</f>
        <v/>
      </c>
      <c r="F31" s="10" t="str">
        <f>IF($X$6=TRUE(),314.1,"")</f>
        <v/>
      </c>
      <c r="G31" s="10" t="str">
        <f>IF($X$6=TRUE(),366.4,"")</f>
        <v/>
      </c>
      <c r="H31" s="10" t="str">
        <f>IF($X$6=TRUE(),376.9,"")</f>
        <v/>
      </c>
      <c r="I31" s="10" t="str">
        <f>IF($X$6=TRUE(),411.5,"")</f>
        <v/>
      </c>
      <c r="J31" s="10" t="str">
        <f>IF($X$6=TRUE(),418.7,"")</f>
        <v/>
      </c>
      <c r="K31" s="10" t="str">
        <f>IF($X$6=TRUE(),419.9,"")</f>
        <v/>
      </c>
      <c r="L31" s="10" t="str">
        <f>IF($X$6=TRUE(),423.7,"")</f>
        <v/>
      </c>
      <c r="M31" s="10" t="str">
        <f>IF($X$6=TRUE(),425.8,"")</f>
        <v/>
      </c>
      <c r="N31" s="10" t="str">
        <f>IF($X$6=TRUE(),436.4,"")</f>
        <v/>
      </c>
      <c r="O31" s="10" t="str">
        <f>IF($X$6=TRUE(),437.7,"")</f>
        <v/>
      </c>
      <c r="P31" s="10" t="str">
        <f>IF($X$6=TRUE(),459.7,"")</f>
        <v/>
      </c>
      <c r="Q31" s="10" t="str">
        <f>IF($X$6=TRUE(),461,"")</f>
        <v/>
      </c>
      <c r="R31" s="10" t="str">
        <f>IF($X$6=TRUE(),505.1,"")</f>
        <v/>
      </c>
      <c r="S31" s="10" t="str">
        <f>IF($X$6=TRUE(),506,"")</f>
        <v/>
      </c>
      <c r="T31" s="10" t="str">
        <f>IF($X$6=TRUE(),499.8,"")</f>
        <v/>
      </c>
      <c r="U31" s="10" t="str">
        <f>IF($X$6=TRUE(),500.5,"")</f>
        <v/>
      </c>
      <c r="V31" s="10" t="str">
        <f>IF($X$6=TRUE(),555.4,"")</f>
        <v/>
      </c>
      <c r="W31" s="10" t="str">
        <f>IF($X$6=TRUE(),556.3,"")</f>
        <v/>
      </c>
      <c r="X31" s="10" t="str">
        <f>IF($X$6=TRUE(),638,"")</f>
        <v/>
      </c>
      <c r="Y31" s="10" t="str">
        <f>IF($X$6=TRUE(),638.9,"")</f>
        <v/>
      </c>
      <c r="Z31" s="10" t="str">
        <f>IF($X$6=TRUE(),648,"")</f>
        <v/>
      </c>
      <c r="AA31" s="10" t="str">
        <f>IF($X$6=TRUE(),649.2,"")</f>
        <v/>
      </c>
      <c r="AB31" s="10" t="str">
        <f>IF($X$6=TRUE(),682.3,"")</f>
        <v/>
      </c>
      <c r="AC31" s="10" t="str">
        <f>IF($X$6=TRUE(),706.7,"")</f>
        <v/>
      </c>
      <c r="AD31" s="10" t="str">
        <f>IF($X$6=TRUE(),1083.2,"")</f>
        <v/>
      </c>
      <c r="AE31" s="10" t="str">
        <f>IF($X$6=TRUE(),1095.7,"")</f>
        <v/>
      </c>
      <c r="AF31" s="10" t="str">
        <f>IF($X$6=TRUE(),1352.5,"")</f>
        <v/>
      </c>
      <c r="AG31" s="10" t="str">
        <f>IF($X$6=TRUE(),1361.6,"")</f>
        <v/>
      </c>
      <c r="AH31" s="10" t="str">
        <f>IF($X$6=TRUE(),1168.2,"")</f>
        <v/>
      </c>
      <c r="AI31" s="10" t="str">
        <f>IF($X$6=TRUE(),1170.8,"")</f>
        <v/>
      </c>
      <c r="AJ31" s="10" t="str">
        <f>IF($X$6=TRUE(),1425.8,"")</f>
        <v/>
      </c>
      <c r="AK31" s="10" t="str">
        <f>IF($X$6=TRUE(),1432.9,"")</f>
        <v/>
      </c>
      <c r="AL31" s="10" t="str">
        <f>IF($X$6=TRUE(),1438.1,"")</f>
        <v/>
      </c>
      <c r="AM31" s="10" t="str">
        <f>IF($X$6=TRUE(),1454.4,"")</f>
        <v/>
      </c>
      <c r="AN31" s="10" t="str">
        <f>IF($X$6=TRUE(),1737.1,"")</f>
        <v/>
      </c>
      <c r="AO31" s="10" t="str">
        <f>IF($X$6=TRUE(),2024.2,"")</f>
        <v/>
      </c>
      <c r="AP31" s="10" t="str">
        <f>IF($X$6=TRUE(),2176.2,"")</f>
        <v/>
      </c>
      <c r="AQ31" s="10" t="str">
        <f>IF($X$6=TRUE(),2497.8,"")</f>
        <v/>
      </c>
      <c r="AR31" s="10" t="str">
        <f>IF($X$6=TRUE(),2343.9,"")</f>
        <v/>
      </c>
      <c r="AS31" s="10" t="str">
        <f>IF($X$6=TRUE(),2394.4,"")</f>
        <v/>
      </c>
      <c r="AT31" s="10" t="str">
        <f>IF($X$6=TRUE(),2544,"")</f>
        <v/>
      </c>
      <c r="AU31" s="10" t="str">
        <f>IF($X$6=TRUE(),2604.7,"")</f>
        <v/>
      </c>
      <c r="AV31" s="10" t="str">
        <f>IF($X$6=TRUE(),2943.5,"")</f>
        <v/>
      </c>
      <c r="AW31" s="10" t="str">
        <f>IF($X$6=TRUE(),3092.5,"")</f>
        <v/>
      </c>
      <c r="AX31" s="10" t="str">
        <f>IF($X$6=TRUE(),3272.1,"")</f>
        <v/>
      </c>
      <c r="AY31" s="10" t="str">
        <f>IF($X$6=TRUE(),3309.2,"")</f>
        <v/>
      </c>
      <c r="AZ31" s="10" t="str">
        <f>IF($X$6=TRUE(),3526.7,"")</f>
        <v/>
      </c>
      <c r="BA31" s="10" t="str">
        <f>IF($X$6=TRUE(),3858.3,"")</f>
        <v/>
      </c>
      <c r="BB31" s="10" t="str">
        <f>IF($X$6=TRUE(),4188,"")</f>
        <v/>
      </c>
      <c r="BC31" s="10" t="str">
        <f>IF($X$6=TRUE(),4188.2,"")</f>
        <v/>
      </c>
      <c r="BD31" s="10" t="str">
        <f>IF($X$6=TRUE(),4527.4,"")</f>
        <v/>
      </c>
      <c r="BE31" s="10" t="str">
        <f>IF($X$6=TRUE(),4733.5,"")</f>
        <v/>
      </c>
      <c r="BF31" s="10" t="str">
        <f>IF($X$6=TRUE(),4718.1,"")</f>
        <v/>
      </c>
      <c r="BG31" s="10" t="str">
        <f>IF($X$6=TRUE(),4857.2,"")</f>
        <v/>
      </c>
      <c r="BH31" s="10" t="str">
        <f>IF($X$6=TRUE(),5339.6,"")</f>
        <v/>
      </c>
      <c r="BI31" s="10" t="str">
        <f>IF($X$6=TRUE(),5429.4,"")</f>
        <v/>
      </c>
      <c r="BJ31" s="10" t="str">
        <f>IF($X$6=TRUE(),5646,"")</f>
        <v/>
      </c>
      <c r="BK31" s="10" t="str">
        <f>IF($X$6=TRUE(),6946.1,"")</f>
        <v/>
      </c>
      <c r="BL31" s="10" t="str">
        <f>IF($X$6=TRUE(),6955.4,"")</f>
        <v/>
      </c>
      <c r="BM31" s="10" t="str">
        <f>IF($X$6=TRUE(),7386.2,"")</f>
        <v/>
      </c>
      <c r="BN31" s="11"/>
      <c r="BO31" s="11"/>
    </row>
    <row r="32" spans="1:67" ht="15" customHeight="1">
      <c r="A32" s="12" t="s">
        <v>154</v>
      </c>
      <c r="B32" s="13" t="str">
        <f>IF($Y$6=TRUE(),226.9,"")</f>
        <v/>
      </c>
      <c r="C32" s="13" t="str">
        <f>IF($Y$6=TRUE(),227.9,"")</f>
        <v/>
      </c>
      <c r="D32" s="13" t="str">
        <f>IF($Y$6=TRUE(),229.9,"")</f>
        <v/>
      </c>
      <c r="E32" s="13" t="str">
        <f>IF($Y$6=TRUE(),248.1,"")</f>
        <v/>
      </c>
      <c r="F32" s="13" t="str">
        <f>IF($Y$6=TRUE(),281,"")</f>
        <v/>
      </c>
      <c r="G32" s="13" t="str">
        <f>IF($Y$6=TRUE(),320.7,"")</f>
        <v/>
      </c>
      <c r="H32" s="13" t="str">
        <f>IF($Y$6=TRUE(),363.2,"")</f>
        <v/>
      </c>
      <c r="I32" s="13" t="str">
        <f>IF($Y$6=TRUE(),365.4,"")</f>
        <v/>
      </c>
      <c r="J32" s="13" t="str">
        <f>IF($Y$6=TRUE(),384.1,"")</f>
        <v/>
      </c>
      <c r="K32" s="13" t="str">
        <f>IF($Y$6=TRUE(),386.8,"")</f>
        <v/>
      </c>
      <c r="L32" s="13" t="str">
        <f>IF($Y$6=TRUE(),393,"")</f>
        <v/>
      </c>
      <c r="M32" s="13" t="str">
        <f>IF($Y$6=TRUE(),398.4,"")</f>
        <v/>
      </c>
      <c r="N32" s="13" t="str">
        <f>IF($Y$6=TRUE(),444.1,"")</f>
        <v/>
      </c>
      <c r="O32" s="13" t="str">
        <f>IF($Y$6=TRUE(),447.5,"")</f>
        <v/>
      </c>
      <c r="P32" s="13" t="str">
        <f>IF($Y$6=TRUE(),455,"")</f>
        <v/>
      </c>
      <c r="Q32" s="13" t="str">
        <f>IF($Y$6=TRUE(),458.3,"")</f>
        <v/>
      </c>
      <c r="R32" s="13" t="str">
        <f>IF($Y$6=TRUE(),480.8,"")</f>
        <v/>
      </c>
      <c r="S32" s="13" t="str">
        <f>IF($Y$6=TRUE(),482.9,"")</f>
        <v/>
      </c>
      <c r="T32" s="13" t="str">
        <f>IF($Y$6=TRUE(),466.7,"")</f>
        <v/>
      </c>
      <c r="U32" s="13" t="str">
        <f>IF($Y$6=TRUE(),468.8,"")</f>
        <v/>
      </c>
      <c r="V32" s="13" t="str">
        <f>IF($Y$6=TRUE(),497.4,"")</f>
        <v/>
      </c>
      <c r="W32" s="13" t="str">
        <f>IF($Y$6=TRUE(),499.7,"")</f>
        <v/>
      </c>
      <c r="X32" s="13" t="str">
        <f>IF($Y$6=TRUE(),518,"")</f>
        <v/>
      </c>
      <c r="Y32" s="13" t="str">
        <f>IF($Y$6=TRUE(),520.3,"")</f>
        <v/>
      </c>
      <c r="Z32" s="13" t="str">
        <f>IF($Y$6=TRUE(),543.8,"")</f>
        <v/>
      </c>
      <c r="AA32" s="13" t="str">
        <f>IF($Y$6=TRUE(),572.3,"")</f>
        <v/>
      </c>
      <c r="AB32" s="13" t="str">
        <f>IF($Y$6=TRUE(),574.9,"")</f>
        <v/>
      </c>
      <c r="AC32" s="13" t="str">
        <f>IF($Y$6=TRUE(),590.5,"")</f>
        <v/>
      </c>
      <c r="AD32" s="13" t="str">
        <f>IF($Y$6=TRUE(),742.6,"")</f>
        <v/>
      </c>
      <c r="AE32" s="13" t="str">
        <f>IF($Y$6=TRUE(),797.8,"")</f>
        <v/>
      </c>
      <c r="AF32" s="13" t="str">
        <f>IF($Y$6=TRUE(),857.7,"")</f>
        <v/>
      </c>
      <c r="AG32" s="13" t="str">
        <f>IF($Y$6=TRUE(),947.5,"")</f>
        <v/>
      </c>
      <c r="AH32" s="13" t="str">
        <f>IF($Y$6=TRUE(),812.1,"")</f>
        <v/>
      </c>
      <c r="AI32" s="13" t="str">
        <f>IF($Y$6=TRUE(),816.5,"")</f>
        <v/>
      </c>
      <c r="AJ32" s="13" t="str">
        <f>IF($Y$6=TRUE(),968.8,"")</f>
        <v/>
      </c>
      <c r="AK32" s="13" t="str">
        <f>IF($Y$6=TRUE(),984.5,"")</f>
        <v/>
      </c>
      <c r="AL32" s="13" t="str">
        <f>IF($Y$6=TRUE(),1008.7,"")</f>
        <v/>
      </c>
      <c r="AM32" s="13" t="str">
        <f>IF($Y$6=TRUE(),1038.7,"")</f>
        <v/>
      </c>
      <c r="AN32" s="13" t="str">
        <f>IF($Y$6=TRUE(),1223.2,"")</f>
        <v/>
      </c>
      <c r="AO32" s="13" t="str">
        <f>IF($Y$6=TRUE(),1393.6,"")</f>
        <v/>
      </c>
      <c r="AP32" s="13" t="str">
        <f>IF($Y$6=TRUE(),1471.1,"")</f>
        <v/>
      </c>
      <c r="AQ32" s="13" t="str">
        <f>IF($Y$6=TRUE(),1578.7,"")</f>
        <v/>
      </c>
      <c r="AR32" s="13" t="str">
        <f>IF($Y$6=TRUE(),1905,"")</f>
        <v/>
      </c>
      <c r="AS32" s="13" t="str">
        <f>IF($Y$6=TRUE(),2044.8,"")</f>
        <v/>
      </c>
      <c r="AT32" s="13" t="str">
        <f>IF($Y$6=TRUE(),2332,"")</f>
        <v/>
      </c>
      <c r="AU32" s="13" t="str">
        <f>IF($Y$6=TRUE(),2419.6,"")</f>
        <v/>
      </c>
      <c r="AV32" s="13" t="str">
        <f>IF($Y$6=TRUE(),2506.6,"")</f>
        <v/>
      </c>
      <c r="AW32" s="13" t="str">
        <f>IF($Y$6=TRUE(),2533.6,"")</f>
        <v/>
      </c>
      <c r="AX32" s="13" t="str">
        <f>IF($Y$6=TRUE(),2920.7,"")</f>
        <v/>
      </c>
      <c r="AY32" s="13" t="str">
        <f>IF($Y$6=TRUE(),2886.9,"")</f>
        <v/>
      </c>
      <c r="AZ32" s="13" t="str">
        <f>IF($Y$6=TRUE(),3214.5,"")</f>
        <v/>
      </c>
      <c r="BA32" s="13" t="str">
        <f>IF($Y$6=TRUE(),3479.1,"")</f>
        <v/>
      </c>
      <c r="BB32" s="13" t="str">
        <f>IF($Y$6=TRUE(),3861,"")</f>
        <v/>
      </c>
      <c r="BC32" s="13" t="str">
        <f>IF($Y$6=TRUE(),3974,"")</f>
        <v/>
      </c>
      <c r="BD32" s="13" t="str">
        <f>IF($Y$6=TRUE(),4284.5,"")</f>
        <v/>
      </c>
      <c r="BE32" s="13" t="str">
        <f>IF($Y$6=TRUE(),4342,"")</f>
        <v/>
      </c>
      <c r="BF32" s="13" t="str">
        <f>IF($Y$6=TRUE(),4483.5,"")</f>
        <v/>
      </c>
      <c r="BG32" s="13" t="str">
        <f>IF($Y$6=TRUE(),4793.6,"")</f>
        <v/>
      </c>
      <c r="BH32" s="13" t="str">
        <f>IF($Y$6=TRUE(),5576.7,"")</f>
        <v/>
      </c>
      <c r="BI32" s="13" t="str">
        <f>IF($Y$6=TRUE(),5671.7,"")</f>
        <v/>
      </c>
      <c r="BJ32" s="13" t="str">
        <f>IF($Y$6=TRUE(),5857.9,"")</f>
        <v/>
      </c>
      <c r="BK32" s="13" t="str">
        <f>IF($Y$6=TRUE(),6237,"")</f>
        <v/>
      </c>
      <c r="BL32" s="13" t="str">
        <f>IF($Y$6=TRUE(),6256.3,"")</f>
        <v/>
      </c>
      <c r="BM32" s="13" t="str">
        <f>IF($Y$6=TRUE(),6478.4,"")</f>
        <v/>
      </c>
      <c r="BN32" s="14"/>
      <c r="BO32" s="14"/>
    </row>
    <row r="33" spans="1:67" ht="15" customHeight="1">
      <c r="A33" s="9" t="s">
        <v>155</v>
      </c>
      <c r="B33" s="10" t="str">
        <f>IF($Z$6=TRUE(),343.6,"")</f>
        <v/>
      </c>
      <c r="C33" s="10" t="str">
        <f>IF($Z$6=TRUE(),343.7,"")</f>
        <v/>
      </c>
      <c r="D33" s="10" t="str">
        <f>IF($Z$6=TRUE(),343.8,"")</f>
        <v/>
      </c>
      <c r="E33" s="10" t="str">
        <f>IF($Z$6=TRUE(),381.2,"")</f>
        <v/>
      </c>
      <c r="F33" s="10" t="str">
        <f>IF($Z$6=TRUE(),471.9,"")</f>
        <v/>
      </c>
      <c r="G33" s="10" t="str">
        <f>IF($Z$6=TRUE(),622.5,"")</f>
        <v/>
      </c>
      <c r="H33" s="10" t="str">
        <f>IF($Z$6=TRUE(),762.2,"")</f>
        <v/>
      </c>
      <c r="I33" s="10" t="str">
        <f>IF($Z$6=TRUE(),828,"")</f>
        <v/>
      </c>
      <c r="J33" s="10" t="str">
        <f>IF($Z$6=TRUE(),971.2,"")</f>
        <v/>
      </c>
      <c r="K33" s="10" t="str">
        <f>IF($Z$6=TRUE(),866.9,"")</f>
        <v/>
      </c>
      <c r="L33" s="10" t="str">
        <f>IF($Z$6=TRUE(),914.9,"")</f>
        <v/>
      </c>
      <c r="M33" s="10" t="str">
        <f>IF($Z$6=TRUE(),959.8,"")</f>
        <v/>
      </c>
      <c r="N33" s="10" t="str">
        <f>IF($Z$6=TRUE(),1085.8,"")</f>
        <v/>
      </c>
      <c r="O33" s="10" t="str">
        <f>IF($Z$6=TRUE(),1086,"")</f>
        <v/>
      </c>
      <c r="P33" s="10" t="str">
        <f>IF($Z$6=TRUE(),1037.8,"")</f>
        <v/>
      </c>
      <c r="Q33" s="10" t="str">
        <f>IF($Z$6=TRUE(),1037.9,"")</f>
        <v/>
      </c>
      <c r="R33" s="10" t="str">
        <f>IF($Z$6=TRUE(),1039,"")</f>
        <v/>
      </c>
      <c r="S33" s="10" t="str">
        <f>IF($Z$6=TRUE(),1039.2,"")</f>
        <v/>
      </c>
      <c r="T33" s="10" t="str">
        <f>IF($Z$6=TRUE(),1039.3,"")</f>
        <v/>
      </c>
      <c r="U33" s="10" t="str">
        <f>IF($Z$6=TRUE(),1039.4,"")</f>
        <v/>
      </c>
      <c r="V33" s="10" t="str">
        <f>IF($Z$6=TRUE(),1040.5,"")</f>
        <v/>
      </c>
      <c r="W33" s="10" t="str">
        <f>IF($Z$6=TRUE(),1040.7,"")</f>
        <v/>
      </c>
      <c r="X33" s="10" t="str">
        <f>IF($Z$6=TRUE(),1174.2,"")</f>
        <v/>
      </c>
      <c r="Y33" s="10" t="str">
        <f>IF($Z$6=TRUE(),1174.3,"")</f>
        <v/>
      </c>
      <c r="Z33" s="10" t="str">
        <f>IF($Z$6=TRUE(),1175.6,"")</f>
        <v/>
      </c>
      <c r="AA33" s="10" t="str">
        <f>IF($Z$6=TRUE(),1175.8,"")</f>
        <v/>
      </c>
      <c r="AB33" s="10" t="str">
        <f>IF($Z$6=TRUE(),1349.8,"")</f>
        <v/>
      </c>
      <c r="AC33" s="10" t="str">
        <f>IF($Z$6=TRUE(),1408,"")</f>
        <v/>
      </c>
      <c r="AD33" s="10" t="str">
        <f>IF($Z$6=TRUE(),2301,"")</f>
        <v/>
      </c>
      <c r="AE33" s="10" t="str">
        <f>IF($Z$6=TRUE(),2427,"")</f>
        <v/>
      </c>
      <c r="AF33" s="10" t="str">
        <f>IF($Z$6=TRUE(),2594.2,"")</f>
        <v/>
      </c>
      <c r="AG33" s="10" t="str">
        <f>IF($Z$6=TRUE(),3401.3,"")</f>
        <v/>
      </c>
      <c r="AH33" s="10" t="str">
        <f>IF($Z$6=TRUE(),2803.4,"")</f>
        <v/>
      </c>
      <c r="AI33" s="10" t="str">
        <f>IF($Z$6=TRUE(),2803.9,"")</f>
        <v/>
      </c>
      <c r="AJ33" s="10" t="str">
        <f>IF($Z$6=TRUE(),3253.4,"")</f>
        <v/>
      </c>
      <c r="AK33" s="10" t="str">
        <f>IF($Z$6=TRUE(),3365.8,"")</f>
        <v/>
      </c>
      <c r="AL33" s="10" t="str">
        <f>IF($Z$6=TRUE(),3283,"")</f>
        <v/>
      </c>
      <c r="AM33" s="10" t="str">
        <f>IF($Z$6=TRUE(),3367,"")</f>
        <v/>
      </c>
      <c r="AN33" s="10" t="str">
        <f>IF($Z$6=TRUE(),3809.9,"")</f>
        <v/>
      </c>
      <c r="AO33" s="10" t="str">
        <f>IF($Z$6=TRUE(),4677.3,"")</f>
        <v/>
      </c>
      <c r="AP33" s="10" t="str">
        <f>IF($Z$6=TRUE(),5285.6,"")</f>
        <v/>
      </c>
      <c r="AQ33" s="10" t="str">
        <f>IF($Z$6=TRUE(),6150.3,"")</f>
        <v/>
      </c>
      <c r="AR33" s="10" t="str">
        <f>IF($Z$6=TRUE(),6121.7,"")</f>
        <v/>
      </c>
      <c r="AS33" s="10" t="str">
        <f>IF($Z$6=TRUE(),6123.6,"")</f>
        <v/>
      </c>
      <c r="AT33" s="10" t="str">
        <f>IF($Z$6=TRUE(),6318.5,"")</f>
        <v/>
      </c>
      <c r="AU33" s="10" t="str">
        <f>IF($Z$6=TRUE(),6443.6,"")</f>
        <v/>
      </c>
      <c r="AV33" s="10" t="str">
        <f>IF($Z$6=TRUE(),6869.7,"")</f>
        <v/>
      </c>
      <c r="AW33" s="10" t="str">
        <f>IF($Z$6=TRUE(),6566.4,"")</f>
        <v/>
      </c>
      <c r="AX33" s="10" t="str">
        <f>IF($Z$6=TRUE(),6910.4,"")</f>
        <v/>
      </c>
      <c r="AY33" s="10" t="str">
        <f>IF($Z$6=TRUE(),7055.5,"")</f>
        <v/>
      </c>
      <c r="AZ33" s="10" t="str">
        <f>IF($Z$6=TRUE(),7760,"")</f>
        <v/>
      </c>
      <c r="BA33" s="10" t="str">
        <f>IF($Z$6=TRUE(),8024.7,"")</f>
        <v/>
      </c>
      <c r="BB33" s="10" t="str">
        <f>IF($Z$6=TRUE(),8870.6,"")</f>
        <v/>
      </c>
      <c r="BC33" s="10" t="str">
        <f>IF($Z$6=TRUE(),9065.9,"")</f>
        <v/>
      </c>
      <c r="BD33" s="10" t="str">
        <f>IF($Z$6=TRUE(),9983.8,"")</f>
        <v/>
      </c>
      <c r="BE33" s="10" t="str">
        <f>IF($Z$6=TRUE(),9988.3,"")</f>
        <v/>
      </c>
      <c r="BF33" s="10" t="str">
        <f>IF($Z$6=TRUE(),9992.6,"")</f>
        <v/>
      </c>
      <c r="BG33" s="10" t="str">
        <f>IF($Z$6=TRUE(),10444.3,"")</f>
        <v/>
      </c>
      <c r="BH33" s="11"/>
      <c r="BI33" s="11"/>
      <c r="BJ33" s="11"/>
      <c r="BK33" s="11"/>
      <c r="BL33" s="11"/>
      <c r="BM33" s="11"/>
      <c r="BN33" s="11"/>
      <c r="BO33" s="11"/>
    </row>
    <row r="34" spans="1:67" ht="15" customHeight="1">
      <c r="A34" s="12" t="s">
        <v>156</v>
      </c>
      <c r="B34" s="13" t="str">
        <f>IF($AA$6=TRUE(),270.4,"")</f>
        <v/>
      </c>
      <c r="C34" s="13" t="str">
        <f>IF($AA$6=TRUE(),270.8,"")</f>
        <v/>
      </c>
      <c r="D34" s="13" t="str">
        <f>IF($AA$6=TRUE(),271.6,"")</f>
        <v/>
      </c>
      <c r="E34" s="13" t="str">
        <f>IF($AA$6=TRUE(),286.6,"")</f>
        <v/>
      </c>
      <c r="F34" s="13" t="str">
        <f>IF($AA$6=TRUE(),352.5,"")</f>
        <v/>
      </c>
      <c r="G34" s="13" t="str">
        <f>IF($AA$6=TRUE(),411.4,"")</f>
        <v/>
      </c>
      <c r="H34" s="13" t="str">
        <f>IF($AA$6=TRUE(),460.4,"")</f>
        <v/>
      </c>
      <c r="I34" s="13" t="str">
        <f>IF($AA$6=TRUE(),458.2,"")</f>
        <v/>
      </c>
      <c r="J34" s="13" t="str">
        <f>IF($AA$6=TRUE(),478.3,"")</f>
        <v/>
      </c>
      <c r="K34" s="13" t="str">
        <f>IF($AA$6=TRUE(),503.7,"")</f>
        <v/>
      </c>
      <c r="L34" s="13" t="str">
        <f>IF($AA$6=TRUE(),484.2,"")</f>
        <v/>
      </c>
      <c r="M34" s="13" t="str">
        <f>IF($AA$6=TRUE(),533,"")</f>
        <v/>
      </c>
      <c r="N34" s="13" t="str">
        <f>IF($AA$6=TRUE(),477.9,"")</f>
        <v/>
      </c>
      <c r="O34" s="13" t="str">
        <f>IF($AA$6=TRUE(),479.3,"")</f>
        <v/>
      </c>
      <c r="P34" s="13" t="str">
        <f>IF($AA$6=TRUE(),524.5,"")</f>
        <v/>
      </c>
      <c r="Q34" s="13" t="str">
        <f>IF($AA$6=TRUE(),525.8,"")</f>
        <v/>
      </c>
      <c r="R34" s="13" t="str">
        <f>IF($AA$6=TRUE(),541.1,"")</f>
        <v/>
      </c>
      <c r="S34" s="13" t="str">
        <f>IF($AA$6=TRUE(),542,"")</f>
        <v/>
      </c>
      <c r="T34" s="13" t="str">
        <f>IF($AA$6=TRUE(),559.1,"")</f>
        <v/>
      </c>
      <c r="U34" s="13" t="str">
        <f>IF($AA$6=TRUE(),559.8,"")</f>
        <v/>
      </c>
      <c r="V34" s="13" t="str">
        <f>IF($AA$6=TRUE(),596,"")</f>
        <v/>
      </c>
      <c r="W34" s="13" t="str">
        <f>IF($AA$6=TRUE(),597,"")</f>
        <v/>
      </c>
      <c r="X34" s="13" t="str">
        <f>IF($AA$6=TRUE(),632.9,"")</f>
        <v/>
      </c>
      <c r="Y34" s="13" t="str">
        <f>IF($AA$6=TRUE(),667.6,"")</f>
        <v/>
      </c>
      <c r="Z34" s="13" t="str">
        <f>IF($AA$6=TRUE(),761.6,"")</f>
        <v/>
      </c>
      <c r="AA34" s="13" t="str">
        <f>IF($AA$6=TRUE(),776.8,"")</f>
        <v/>
      </c>
      <c r="AB34" s="13" t="str">
        <f>IF($AA$6=TRUE(),797.5,"")</f>
        <v/>
      </c>
      <c r="AC34" s="13" t="str">
        <f>IF($AA$6=TRUE(),801.8,"")</f>
        <v/>
      </c>
      <c r="AD34" s="13" t="str">
        <f>IF($AA$6=TRUE(),935,"")</f>
        <v/>
      </c>
      <c r="AE34" s="13" t="str">
        <f>IF($AA$6=TRUE(),1432.5,"")</f>
        <v/>
      </c>
      <c r="AF34" s="13" t="str">
        <f>IF($AA$6=TRUE(),1511.1,"")</f>
        <v/>
      </c>
      <c r="AG34" s="13" t="str">
        <f>IF($AA$6=TRUE(),1555.6,"")</f>
        <v/>
      </c>
      <c r="AH34" s="13" t="str">
        <f>IF($AA$6=TRUE(),1720.7,"")</f>
        <v/>
      </c>
      <c r="AI34" s="13" t="str">
        <f>IF($AA$6=TRUE(),1844.1,"")</f>
        <v/>
      </c>
      <c r="AJ34" s="13" t="str">
        <f>IF($AA$6=TRUE(),2191.5,"")</f>
        <v/>
      </c>
      <c r="AK34" s="13" t="str">
        <f>IF($AA$6=TRUE(),1935.2,"")</f>
        <v/>
      </c>
      <c r="AL34" s="13" t="str">
        <f>IF($AA$6=TRUE(),2174.1,"")</f>
        <v/>
      </c>
      <c r="AM34" s="13" t="str">
        <f>IF($AA$6=TRUE(),2287.3,"")</f>
        <v/>
      </c>
      <c r="AN34" s="13" t="str">
        <f>IF($AA$6=TRUE(),2701.1,"")</f>
        <v/>
      </c>
      <c r="AO34" s="13" t="str">
        <f>IF($AA$6=TRUE(),3282.5,"")</f>
        <v/>
      </c>
      <c r="AP34" s="13" t="str">
        <f>IF($AA$6=TRUE(),3695.6,"")</f>
        <v/>
      </c>
      <c r="AQ34" s="13" t="str">
        <f>IF($AA$6=TRUE(),4246.1,"")</f>
        <v/>
      </c>
      <c r="AR34" s="13" t="str">
        <f>IF($AA$6=TRUE(),4260.8,"")</f>
        <v/>
      </c>
      <c r="AS34" s="13" t="str">
        <f>IF($AA$6=TRUE(),4273.9,"")</f>
        <v/>
      </c>
      <c r="AT34" s="13" t="str">
        <f>IF($AA$6=TRUE(),4480,"")</f>
        <v/>
      </c>
      <c r="AU34" s="13" t="str">
        <f>IF($AA$6=TRUE(),4578.4,"")</f>
        <v/>
      </c>
      <c r="AV34" s="13" t="str">
        <f>IF($AA$6=TRUE(),4738.8,"")</f>
        <v/>
      </c>
      <c r="AW34" s="13" t="str">
        <f>IF($AA$6=TRUE(),4740,"")</f>
        <v/>
      </c>
      <c r="AX34" s="13" t="str">
        <f>IF($AA$6=TRUE(),4935.9,"")</f>
        <v/>
      </c>
      <c r="AY34" s="13" t="str">
        <f>IF($AA$6=TRUE(),4946.3,"")</f>
        <v/>
      </c>
      <c r="AZ34" s="13" t="str">
        <f>IF($AA$6=TRUE(),5620.8,"")</f>
        <v/>
      </c>
      <c r="BA34" s="13" t="str">
        <f>IF($AA$6=TRUE(),6022.9,"")</f>
        <v/>
      </c>
      <c r="BB34" s="13" t="str">
        <f>IF($AA$6=TRUE(),6395.3,"")</f>
        <v/>
      </c>
      <c r="BC34" s="13" t="str">
        <f>IF($AA$6=TRUE(),6395.4,"")</f>
        <v/>
      </c>
      <c r="BD34" s="13" t="str">
        <f>IF($AA$6=TRUE(),6659.2,"")</f>
        <v/>
      </c>
      <c r="BE34" s="13" t="str">
        <f>IF($AA$6=TRUE(),7109.8,"")</f>
        <v/>
      </c>
      <c r="BF34" s="13" t="str">
        <f>IF($AA$6=TRUE(),7210.7,"")</f>
        <v/>
      </c>
      <c r="BG34" s="13" t="str">
        <f>IF($AA$6=TRUE(),7487,"")</f>
        <v/>
      </c>
      <c r="BH34" s="13" t="str">
        <f>IF($AA$6=TRUE(),8698.1,"")</f>
        <v/>
      </c>
      <c r="BI34" s="13" t="str">
        <f>IF($AA$6=TRUE(),8470.7,"")</f>
        <v/>
      </c>
      <c r="BJ34" s="13" t="str">
        <f>IF($AA$6=TRUE(),8665.3,"")</f>
        <v/>
      </c>
      <c r="BK34" s="13" t="str">
        <f>IF($AA$6=TRUE(),9853,"")</f>
        <v/>
      </c>
      <c r="BL34" s="13" t="str">
        <f>IF($AA$6=TRUE(),9862.3,"")</f>
        <v/>
      </c>
      <c r="BM34" s="13" t="str">
        <f>IF($AA$6=TRUE(),11126.9,"")</f>
        <v/>
      </c>
      <c r="BN34" s="14"/>
      <c r="BO34" s="14"/>
    </row>
    <row r="35" spans="1:67" ht="15" customHeight="1">
      <c r="A35" s="9" t="s">
        <v>157</v>
      </c>
      <c r="B35" s="10" t="str">
        <f>IF($AB$6=TRUE(),199,"")</f>
        <v/>
      </c>
      <c r="C35" s="10" t="str">
        <f>IF($AB$6=TRUE(),199.1,"")</f>
        <v/>
      </c>
      <c r="D35" s="10" t="str">
        <f>IF($AB$6=TRUE(),199.5,"")</f>
        <v/>
      </c>
      <c r="E35" s="10" t="str">
        <f>IF($AB$6=TRUE(),221.3,"")</f>
        <v/>
      </c>
      <c r="F35" s="10" t="str">
        <f>IF($AB$6=TRUE(),260.6,"")</f>
        <v/>
      </c>
      <c r="G35" s="10" t="str">
        <f>IF($AB$6=TRUE(),274.3,"")</f>
        <v/>
      </c>
      <c r="H35" s="10" t="str">
        <f>IF($AB$6=TRUE(),414.4,"")</f>
        <v/>
      </c>
      <c r="I35" s="10" t="str">
        <f>IF($AB$6=TRUE(),414.8,"")</f>
        <v/>
      </c>
      <c r="J35" s="10" t="str">
        <f>IF($AB$6=TRUE(),490.6,"")</f>
        <v/>
      </c>
      <c r="K35" s="10" t="str">
        <f>IF($AB$6=TRUE(),491.1,"")</f>
        <v/>
      </c>
      <c r="L35" s="10" t="str">
        <f>IF($AB$6=TRUE(),460.9,"")</f>
        <v/>
      </c>
      <c r="M35" s="10" t="str">
        <f>IF($AB$6=TRUE(),509.9,"")</f>
        <v/>
      </c>
      <c r="N35" s="10" t="str">
        <f>IF($AB$6=TRUE(),509.9,"")</f>
        <v/>
      </c>
      <c r="O35" s="10" t="str">
        <f>IF($AB$6=TRUE(),510.4,"")</f>
        <v/>
      </c>
      <c r="P35" s="10" t="str">
        <f>IF($AB$6=TRUE(),515.8,"")</f>
        <v/>
      </c>
      <c r="Q35" s="10" t="str">
        <f>IF($AB$6=TRUE(),516.3,"")</f>
        <v/>
      </c>
      <c r="R35" s="10" t="str">
        <f>IF($AB$6=TRUE(),534.1,"")</f>
        <v/>
      </c>
      <c r="S35" s="10" t="str">
        <f>IF($AB$6=TRUE(),534.5,"")</f>
        <v/>
      </c>
      <c r="T35" s="10" t="str">
        <f>IF($AB$6=TRUE(),530.4,"")</f>
        <v/>
      </c>
      <c r="U35" s="10" t="str">
        <f>IF($AB$6=TRUE(),530.8,"")</f>
        <v/>
      </c>
      <c r="V35" s="10" t="str">
        <f>IF($AB$6=TRUE(),582.3,"")</f>
        <v/>
      </c>
      <c r="W35" s="10" t="str">
        <f>IF($AB$6=TRUE(),582.7,"")</f>
        <v/>
      </c>
      <c r="X35" s="10" t="str">
        <f>IF($AB$6=TRUE(),618.5,"")</f>
        <v/>
      </c>
      <c r="Y35" s="10" t="str">
        <f>IF($AB$6=TRUE(),618.9,"")</f>
        <v/>
      </c>
      <c r="Z35" s="10" t="str">
        <f>IF($AB$6=TRUE(),697.4,"")</f>
        <v/>
      </c>
      <c r="AA35" s="10" t="str">
        <f>IF($AB$6=TRUE(),720.9,"")</f>
        <v/>
      </c>
      <c r="AB35" s="10" t="str">
        <f>IF($AB$6=TRUE(),721.4,"")</f>
        <v/>
      </c>
      <c r="AC35" s="10" t="str">
        <f>IF($AB$6=TRUE(),750.5,"")</f>
        <v/>
      </c>
      <c r="AD35" s="10" t="str">
        <f>IF($AB$6=TRUE(),872,"")</f>
        <v/>
      </c>
      <c r="AE35" s="10" t="str">
        <f>IF($AB$6=TRUE(),1134.1,"")</f>
        <v/>
      </c>
      <c r="AF35" s="10" t="str">
        <f>IF($AB$6=TRUE(),1444.1,"")</f>
        <v/>
      </c>
      <c r="AG35" s="10" t="str">
        <f>IF($AB$6=TRUE(),1491.6,"")</f>
        <v/>
      </c>
      <c r="AH35" s="10" t="str">
        <f>IF($AB$6=TRUE(),1373.3,"")</f>
        <v/>
      </c>
      <c r="AI35" s="10" t="str">
        <f>IF($AB$6=TRUE(),1380,"")</f>
        <v/>
      </c>
      <c r="AJ35" s="10" t="str">
        <f>IF($AB$6=TRUE(),1607.6,"")</f>
        <v/>
      </c>
      <c r="AK35" s="10" t="str">
        <f>IF($AB$6=TRUE(),1618.8,"")</f>
        <v/>
      </c>
      <c r="AL35" s="10" t="str">
        <f>IF($AB$6=TRUE(),1625.5,"")</f>
        <v/>
      </c>
      <c r="AM35" s="10" t="str">
        <f>IF($AB$6=TRUE(),1656.7,"")</f>
        <v/>
      </c>
      <c r="AN35" s="10" t="str">
        <f>IF($AB$6=TRUE(),1918.4,"")</f>
        <v/>
      </c>
      <c r="AO35" s="10" t="str">
        <f>IF($AB$6=TRUE(),2341.6,"")</f>
        <v/>
      </c>
      <c r="AP35" s="10" t="str">
        <f>IF($AB$6=TRUE(),2638.6,"")</f>
        <v/>
      </c>
      <c r="AQ35" s="10" t="str">
        <f>IF($AB$6=TRUE(),3037.6,"")</f>
        <v/>
      </c>
      <c r="AR35" s="10" t="str">
        <f>IF($AB$6=TRUE(),3084.8,"")</f>
        <v/>
      </c>
      <c r="AS35" s="10" t="str">
        <f>IF($AB$6=TRUE(),3124.9,"")</f>
        <v/>
      </c>
      <c r="AT35" s="10" t="str">
        <f>IF($AB$6=TRUE(),3355.4,"")</f>
        <v/>
      </c>
      <c r="AU35" s="10" t="str">
        <f>IF($AB$6=TRUE(),3433.4,"")</f>
        <v/>
      </c>
      <c r="AV35" s="10" t="str">
        <f>IF($AB$6=TRUE(),3531.5,"")</f>
        <v/>
      </c>
      <c r="AW35" s="10" t="str">
        <f>IF($AB$6=TRUE(),3862.3,"")</f>
        <v/>
      </c>
      <c r="AX35" s="10" t="str">
        <f>IF($AB$6=TRUE(),4319,"")</f>
        <v/>
      </c>
      <c r="AY35" s="10" t="str">
        <f>IF($AB$6=TRUE(),4346.8,"")</f>
        <v/>
      </c>
      <c r="AZ35" s="10" t="str">
        <f>IF($AB$6=TRUE(),5165.3,"")</f>
        <v/>
      </c>
      <c r="BA35" s="10" t="str">
        <f>IF($AB$6=TRUE(),5415.8,"")</f>
        <v/>
      </c>
      <c r="BB35" s="10" t="str">
        <f>IF($AB$6=TRUE(),5735,"")</f>
        <v/>
      </c>
      <c r="BC35" s="10" t="str">
        <f>IF($AB$6=TRUE(),5739.8,"")</f>
        <v/>
      </c>
      <c r="BD35" s="10" t="str">
        <f>IF($AB$6=TRUE(),6300.3,"")</f>
        <v/>
      </c>
      <c r="BE35" s="10" t="str">
        <f>IF($AB$6=TRUE(),6738.8,"")</f>
        <v/>
      </c>
      <c r="BF35" s="10" t="str">
        <f>IF($AB$6=TRUE(),6749.8,"")</f>
        <v/>
      </c>
      <c r="BG35" s="10" t="str">
        <f>IF($AB$6=TRUE(),6917.7,"")</f>
        <v/>
      </c>
      <c r="BH35" s="10" t="str">
        <f>IF($AB$6=TRUE(),7304.7,"")</f>
        <v/>
      </c>
      <c r="BI35" s="10" t="str">
        <f>IF($AB$6=TRUE(),7612.2,"")</f>
        <v/>
      </c>
      <c r="BJ35" s="10" t="str">
        <f>IF($AB$6=TRUE(),7584.2,"")</f>
        <v/>
      </c>
      <c r="BK35" s="10" t="str">
        <f>IF($AB$6=TRUE(),9665.2,"")</f>
        <v/>
      </c>
      <c r="BL35" s="10" t="str">
        <f>IF($AB$6=TRUE(),9669.6,"")</f>
        <v/>
      </c>
      <c r="BM35" s="10" t="str">
        <f>IF($AB$6=TRUE(),10331.3,"")</f>
        <v/>
      </c>
      <c r="BN35" s="11"/>
      <c r="BO35" s="11"/>
    </row>
    <row r="36" spans="1:67" ht="15" customHeight="1">
      <c r="A36" s="12" t="s">
        <v>158</v>
      </c>
      <c r="B36" s="13" t="str">
        <f>IF($AC$6=TRUE(),209.9,"")</f>
        <v/>
      </c>
      <c r="C36" s="13" t="str">
        <f>IF($AC$6=TRUE(),216,"")</f>
        <v/>
      </c>
      <c r="D36" s="13" t="str">
        <f>IF($AC$6=TRUE(),217.4,"")</f>
        <v/>
      </c>
      <c r="E36" s="13" t="str">
        <f>IF($AC$6=TRUE(),241.8,"")</f>
        <v/>
      </c>
      <c r="F36" s="13" t="str">
        <f>IF($AC$6=TRUE(),268.5,"")</f>
        <v/>
      </c>
      <c r="G36" s="13" t="str">
        <f>IF($AC$6=TRUE(),302.8,"")</f>
        <v/>
      </c>
      <c r="H36" s="13" t="str">
        <f>IF($AC$6=TRUE(),333.2,"")</f>
        <v/>
      </c>
      <c r="I36" s="13" t="str">
        <f>IF($AC$6=TRUE(),334,"")</f>
        <v/>
      </c>
      <c r="J36" s="13" t="str">
        <f>IF($AC$6=TRUE(),359.4,"")</f>
        <v/>
      </c>
      <c r="K36" s="13" t="str">
        <f>IF($AC$6=TRUE(),365.7,"")</f>
        <v/>
      </c>
      <c r="L36" s="13" t="str">
        <f>IF($AC$6=TRUE(),372.5,"")</f>
        <v/>
      </c>
      <c r="M36" s="13" t="str">
        <f>IF($AC$6=TRUE(),376.2,"")</f>
        <v/>
      </c>
      <c r="N36" s="13" t="str">
        <f>IF($AC$6=TRUE(),407.2,"")</f>
        <v/>
      </c>
      <c r="O36" s="13" t="str">
        <f>IF($AC$6=TRUE(),411.5,"")</f>
        <v/>
      </c>
      <c r="P36" s="13" t="str">
        <f>IF($AC$6=TRUE(),410.1,"")</f>
        <v/>
      </c>
      <c r="Q36" s="13" t="str">
        <f>IF($AC$6=TRUE(),412.8,"")</f>
        <v/>
      </c>
      <c r="R36" s="13" t="str">
        <f>IF($AC$6=TRUE(),409.3,"")</f>
        <v/>
      </c>
      <c r="S36" s="13" t="str">
        <f>IF($AC$6=TRUE(),417.5,"")</f>
        <v/>
      </c>
      <c r="T36" s="13" t="str">
        <f>IF($AC$6=TRUE(),411.2,"")</f>
        <v/>
      </c>
      <c r="U36" s="13" t="str">
        <f>IF($AC$6=TRUE(),412.9,"")</f>
        <v/>
      </c>
      <c r="V36" s="13" t="str">
        <f>IF($AC$6=TRUE(),431.7,"")</f>
        <v/>
      </c>
      <c r="W36" s="13" t="str">
        <f>IF($AC$6=TRUE(),433.9,"")</f>
        <v/>
      </c>
      <c r="X36" s="13" t="str">
        <f>IF($AC$6=TRUE(),460.3,"")</f>
        <v/>
      </c>
      <c r="Y36" s="13" t="str">
        <f>IF($AC$6=TRUE(),477.1,"")</f>
        <v/>
      </c>
      <c r="Z36" s="13" t="str">
        <f>IF($AC$6=TRUE(),521.5,"")</f>
        <v/>
      </c>
      <c r="AA36" s="13" t="str">
        <f>IF($AC$6=TRUE(),538.3,"")</f>
        <v/>
      </c>
      <c r="AB36" s="13" t="str">
        <f>IF($AC$6=TRUE(),548.5,"")</f>
        <v/>
      </c>
      <c r="AC36" s="13" t="str">
        <f>IF($AC$6=TRUE(),560.3,"")</f>
        <v/>
      </c>
      <c r="AD36" s="13" t="str">
        <f>IF($AC$6=TRUE(),615.6,"")</f>
        <v/>
      </c>
      <c r="AE36" s="13" t="str">
        <f>IF($AC$6=TRUE(),668.6,"")</f>
        <v/>
      </c>
      <c r="AF36" s="13" t="str">
        <f>IF($AC$6=TRUE(),770.7,"")</f>
        <v/>
      </c>
      <c r="AG36" s="13" t="str">
        <f>IF($AC$6=TRUE(),816.4,"")</f>
        <v/>
      </c>
      <c r="AH36" s="13" t="str">
        <f>IF($AC$6=TRUE(),866,"")</f>
        <v/>
      </c>
      <c r="AI36" s="13" t="str">
        <f>IF($AC$6=TRUE(),875.4,"")</f>
        <v/>
      </c>
      <c r="AJ36" s="13" t="str">
        <f>IF($AC$6=TRUE(),992.8,"")</f>
        <v/>
      </c>
      <c r="AK36" s="13" t="str">
        <f>IF($AC$6=TRUE(),988.3,"")</f>
        <v/>
      </c>
      <c r="AL36" s="13" t="str">
        <f>IF($AC$6=TRUE(),1054,"")</f>
        <v/>
      </c>
      <c r="AM36" s="13" t="str">
        <f>IF($AC$6=TRUE(),1084.8,"")</f>
        <v/>
      </c>
      <c r="AN36" s="13" t="str">
        <f>IF($AC$6=TRUE(),1528.7,"")</f>
        <v/>
      </c>
      <c r="AO36" s="13" t="str">
        <f>IF($AC$6=TRUE(),1645.8,"")</f>
        <v/>
      </c>
      <c r="AP36" s="13" t="str">
        <f>IF($AC$6=TRUE(),1764.4,"")</f>
        <v/>
      </c>
      <c r="AQ36" s="13" t="str">
        <f>IF($AC$6=TRUE(),1922.2,"")</f>
        <v/>
      </c>
      <c r="AR36" s="13" t="str">
        <f>IF($AC$6=TRUE(),1983.9,"")</f>
        <v/>
      </c>
      <c r="AS36" s="13" t="str">
        <f>IF($AC$6=TRUE(),2165.3,"")</f>
        <v/>
      </c>
      <c r="AT36" s="13" t="str">
        <f>IF($AC$6=TRUE(),2673.8,"")</f>
        <v/>
      </c>
      <c r="AU36" s="13" t="str">
        <f>IF($AC$6=TRUE(),2743.5,"")</f>
        <v/>
      </c>
      <c r="AV36" s="13" t="str">
        <f>IF($AC$6=TRUE(),2821.2,"")</f>
        <v/>
      </c>
      <c r="AW36" s="13" t="str">
        <f>IF($AC$6=TRUE(),2706.3,"")</f>
        <v/>
      </c>
      <c r="AX36" s="13" t="str">
        <f>IF($AC$6=TRUE(),3045.5,"")</f>
        <v/>
      </c>
      <c r="AY36" s="13" t="str">
        <f>IF($AC$6=TRUE(),3067.5,"")</f>
        <v/>
      </c>
      <c r="AZ36" s="13" t="str">
        <f>IF($AC$6=TRUE(),3325.6,"")</f>
        <v/>
      </c>
      <c r="BA36" s="13" t="str">
        <f>IF($AC$6=TRUE(),3541.9,"")</f>
        <v/>
      </c>
      <c r="BB36" s="13" t="str">
        <f>IF($AC$6=TRUE(),3760.8,"")</f>
        <v/>
      </c>
      <c r="BC36" s="13" t="str">
        <f>IF($AC$6=TRUE(),3809.3,"")</f>
        <v/>
      </c>
      <c r="BD36" s="13" t="str">
        <f>IF($AC$6=TRUE(),4002,"")</f>
        <v/>
      </c>
      <c r="BE36" s="13" t="str">
        <f>IF($AC$6=TRUE(),4059.4,"")</f>
        <v/>
      </c>
      <c r="BF36" s="13" t="str">
        <f>IF($AC$6=TRUE(),4557.7,"")</f>
        <v/>
      </c>
      <c r="BG36" s="13" t="str">
        <f>IF($AC$6=TRUE(),4599,"")</f>
        <v/>
      </c>
      <c r="BH36" s="13" t="str">
        <f>IF($AC$6=TRUE(),5335.7,"")</f>
        <v/>
      </c>
      <c r="BI36" s="13" t="str">
        <f>IF($AC$6=TRUE(),5284.5,"")</f>
        <v/>
      </c>
      <c r="BJ36" s="13" t="str">
        <f>IF($AC$6=TRUE(),5237.4,"")</f>
        <v/>
      </c>
      <c r="BK36" s="13" t="str">
        <f>IF($AC$6=TRUE(),5434.2,"")</f>
        <v/>
      </c>
      <c r="BL36" s="13" t="str">
        <f>IF($AC$6=TRUE(),5542.5,"")</f>
        <v/>
      </c>
      <c r="BM36" s="13" t="str">
        <f>IF($AC$6=TRUE(),5648.5,"")</f>
        <v/>
      </c>
      <c r="BN36" s="14"/>
      <c r="BO36" s="14"/>
    </row>
    <row r="37" spans="1:67" ht="15" customHeight="1">
      <c r="A37" s="9" t="s">
        <v>159</v>
      </c>
      <c r="B37" s="10" t="str">
        <f>IF($AD$6=TRUE(),294.1,"")</f>
        <v/>
      </c>
      <c r="C37" s="10" t="str">
        <f>IF($AD$6=TRUE(),294.5,"")</f>
        <v/>
      </c>
      <c r="D37" s="10" t="str">
        <f>IF($AD$6=TRUE(),295.2,"")</f>
        <v/>
      </c>
      <c r="E37" s="10" t="str">
        <f>IF($AD$6=TRUE(),320.9,"")</f>
        <v/>
      </c>
      <c r="F37" s="10" t="str">
        <f>IF($AD$6=TRUE(),354.8,"")</f>
        <v/>
      </c>
      <c r="G37" s="10" t="str">
        <f>IF($AD$6=TRUE(),400.6,"")</f>
        <v/>
      </c>
      <c r="H37" s="10" t="str">
        <f>IF($AD$6=TRUE(),403,"")</f>
        <v/>
      </c>
      <c r="I37" s="10" t="str">
        <f>IF($AD$6=TRUE(),403.8,"")</f>
        <v/>
      </c>
      <c r="J37" s="10" t="str">
        <f>IF($AD$6=TRUE(),410.3,"")</f>
        <v/>
      </c>
      <c r="K37" s="10" t="str">
        <f>IF($AD$6=TRUE(),411.2,"")</f>
        <v/>
      </c>
      <c r="L37" s="10" t="str">
        <f>IF($AD$6=TRUE(),537.4,"")</f>
        <v/>
      </c>
      <c r="M37" s="10" t="str">
        <f>IF($AD$6=TRUE(),539.3,"")</f>
        <v/>
      </c>
      <c r="N37" s="10" t="str">
        <f>IF($AD$6=TRUE(),596.7,"")</f>
        <v/>
      </c>
      <c r="O37" s="10" t="str">
        <f>IF($AD$6=TRUE(),597.9,"")</f>
        <v/>
      </c>
      <c r="P37" s="10" t="str">
        <f>IF($AD$6=TRUE(),600.7,"")</f>
        <v/>
      </c>
      <c r="Q37" s="10" t="str">
        <f>IF($AD$6=TRUE(),601.8,"")</f>
        <v/>
      </c>
      <c r="R37" s="10" t="str">
        <f>IF($AD$6=TRUE(),609.5,"")</f>
        <v/>
      </c>
      <c r="S37" s="10" t="str">
        <f>IF($AD$6=TRUE(),610.2,"")</f>
        <v/>
      </c>
      <c r="T37" s="10" t="str">
        <f>IF($AD$6=TRUE(),584.6,"")</f>
        <v/>
      </c>
      <c r="U37" s="10" t="str">
        <f>IF($AD$6=TRUE(),585.3,"")</f>
        <v/>
      </c>
      <c r="V37" s="10" t="str">
        <f>IF($AD$6=TRUE(),617.7,"")</f>
        <v/>
      </c>
      <c r="W37" s="10" t="str">
        <f>IF($AD$6=TRUE(),618.5,"")</f>
        <v/>
      </c>
      <c r="X37" s="10" t="str">
        <f>IF($AD$6=TRUE(),644.5,"")</f>
        <v/>
      </c>
      <c r="Y37" s="10" t="str">
        <f>IF($AD$6=TRUE(),645.3,"")</f>
        <v/>
      </c>
      <c r="Z37" s="10" t="str">
        <f>IF($AD$6=TRUE(),657.1,"")</f>
        <v/>
      </c>
      <c r="AA37" s="10" t="str">
        <f>IF($AD$6=TRUE(),712.1,"")</f>
        <v/>
      </c>
      <c r="AB37" s="10" t="str">
        <f>IF($AD$6=TRUE(),738.3,"")</f>
        <v/>
      </c>
      <c r="AC37" s="10" t="str">
        <f>IF($AD$6=TRUE(),766.8,"")</f>
        <v/>
      </c>
      <c r="AD37" s="10" t="str">
        <f>IF($AD$6=TRUE(),849.1,"")</f>
        <v/>
      </c>
      <c r="AE37" s="10" t="str">
        <f>IF($AD$6=TRUE(),919.3,"")</f>
        <v/>
      </c>
      <c r="AF37" s="10" t="str">
        <f>IF($AD$6=TRUE(),986.1,"")</f>
        <v/>
      </c>
      <c r="AG37" s="10" t="str">
        <f>IF($AD$6=TRUE(),1052.5,"")</f>
        <v/>
      </c>
      <c r="AH37" s="10" t="str">
        <f>IF($AD$6=TRUE(),1187.4,"")</f>
        <v/>
      </c>
      <c r="AI37" s="10" t="str">
        <f>IF($AD$6=TRUE(),1189.8,"")</f>
        <v/>
      </c>
      <c r="AJ37" s="10" t="str">
        <f>IF($AD$6=TRUE(),1490.3,"")</f>
        <v/>
      </c>
      <c r="AK37" s="10" t="str">
        <f>IF($AD$6=TRUE(),1462.5,"")</f>
        <v/>
      </c>
      <c r="AL37" s="10" t="str">
        <f>IF($AD$6=TRUE(),1438.5,"")</f>
        <v/>
      </c>
      <c r="AM37" s="10" t="str">
        <f>IF($AD$6=TRUE(),1473,"")</f>
        <v/>
      </c>
      <c r="AN37" s="10" t="str">
        <f>IF($AD$6=TRUE(),1734.4,"")</f>
        <v/>
      </c>
      <c r="AO37" s="10" t="str">
        <f>IF($AD$6=TRUE(),2092,"")</f>
        <v/>
      </c>
      <c r="AP37" s="10" t="str">
        <f>IF($AD$6=TRUE(),2357,"")</f>
        <v/>
      </c>
      <c r="AQ37" s="10" t="str">
        <f>IF($AD$6=TRUE(),2682.9,"")</f>
        <v/>
      </c>
      <c r="AR37" s="10" t="str">
        <f>IF($AD$6=TRUE(),2913.3,"")</f>
        <v/>
      </c>
      <c r="AS37" s="10" t="str">
        <f>IF($AD$6=TRUE(),3293.6,"")</f>
        <v/>
      </c>
      <c r="AT37" s="10" t="str">
        <f>IF($AD$6=TRUE(),3516.7,"")</f>
        <v/>
      </c>
      <c r="AU37" s="10" t="str">
        <f>IF($AD$6=TRUE(),3633,"")</f>
        <v/>
      </c>
      <c r="AV37" s="10" t="str">
        <f>IF($AD$6=TRUE(),3732.8,"")</f>
        <v/>
      </c>
      <c r="AW37" s="10" t="str">
        <f>IF($AD$6=TRUE(),3942.8,"")</f>
        <v/>
      </c>
      <c r="AX37" s="10" t="str">
        <f>IF($AD$6=TRUE(),4195.4,"")</f>
        <v/>
      </c>
      <c r="AY37" s="10" t="str">
        <f>IF($AD$6=TRUE(),4205,"")</f>
        <v/>
      </c>
      <c r="AZ37" s="10" t="str">
        <f>IF($AD$6=TRUE(),4526.4,"")</f>
        <v/>
      </c>
      <c r="BA37" s="10" t="str">
        <f>IF($AD$6=TRUE(),4652.7,"")</f>
        <v/>
      </c>
      <c r="BB37" s="10" t="str">
        <f>IF($AD$6=TRUE(),5335.4,"")</f>
        <v/>
      </c>
      <c r="BC37" s="10" t="str">
        <f>IF($AD$6=TRUE(),5550.1,"")</f>
        <v/>
      </c>
      <c r="BD37" s="10" t="str">
        <f>IF($AD$6=TRUE(),5784.6,"")</f>
        <v/>
      </c>
      <c r="BE37" s="10" t="str">
        <f>IF($AD$6=TRUE(),5922.1,"")</f>
        <v/>
      </c>
      <c r="BF37" s="10" t="str">
        <f>IF($AD$6=TRUE(),6248.5,"")</f>
        <v/>
      </c>
      <c r="BG37" s="10" t="str">
        <f>IF($AD$6=TRUE(),6462.6,"")</f>
        <v/>
      </c>
      <c r="BH37" s="10" t="str">
        <f>IF($AD$6=TRUE(),7619.5,"")</f>
        <v/>
      </c>
      <c r="BI37" s="10" t="str">
        <f>IF($AD$6=TRUE(),7654.9,"")</f>
        <v/>
      </c>
      <c r="BJ37" s="10" t="str">
        <f>IF($AD$6=TRUE(),7987.1,"")</f>
        <v/>
      </c>
      <c r="BK37" s="10" t="str">
        <f>IF($AD$6=TRUE(),8659.3,"")</f>
        <v/>
      </c>
      <c r="BL37" s="10" t="str">
        <f>IF($AD$6=TRUE(),8713.3,"")</f>
        <v/>
      </c>
      <c r="BM37" s="10" t="str">
        <f>IF($AD$6=TRUE(),9283.7,"")</f>
        <v/>
      </c>
      <c r="BN37" s="11"/>
      <c r="BO37" s="11"/>
    </row>
    <row r="38" spans="1:67" ht="15" customHeight="1">
      <c r="A38" s="12" t="s">
        <v>160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3" t="str">
        <f>IF($AE$6=TRUE(),8320,"")</f>
        <v/>
      </c>
      <c r="BI38" s="13" t="str">
        <f>IF($AE$6=TRUE(),9040,"")</f>
        <v/>
      </c>
      <c r="BJ38" s="13" t="str">
        <f>IF($AE$6=TRUE(),9016,"")</f>
        <v/>
      </c>
      <c r="BK38" s="13" t="str">
        <f>IF($AE$6=TRUE(),9064,"")</f>
        <v/>
      </c>
      <c r="BL38" s="13" t="str">
        <f>IF($AE$6=TRUE(),9088,"")</f>
        <v/>
      </c>
      <c r="BM38" s="13" t="str">
        <f>IF($AE$6=TRUE(),9232,"")</f>
        <v/>
      </c>
      <c r="BN38" s="14"/>
      <c r="BO38" s="14"/>
    </row>
    <row r="39" spans="1:67" ht="15" customHeight="1">
      <c r="A39" s="9" t="s">
        <v>161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0" t="str">
        <f>IF($AF$6=TRUE(),2000,"")</f>
        <v/>
      </c>
      <c r="AN39" s="10" t="str">
        <f>IF($AF$6=TRUE(),2288,"")</f>
        <v/>
      </c>
      <c r="AO39" s="10" t="str">
        <f>IF($AF$6=TRUE(),2612,"")</f>
        <v/>
      </c>
      <c r="AP39" s="10" t="str">
        <f>IF($AF$6=TRUE(),2864,"")</f>
        <v/>
      </c>
      <c r="AQ39" s="10" t="str">
        <f>IF($AF$6=TRUE(),3170,"")</f>
        <v/>
      </c>
      <c r="AR39" s="10" t="str">
        <f>IF($AF$6=TRUE(),3800,"")</f>
        <v/>
      </c>
      <c r="AS39" s="10" t="str">
        <f>IF($AF$6=TRUE(),3560,"")</f>
        <v/>
      </c>
      <c r="AT39" s="10" t="str">
        <f>IF($AF$6=TRUE(),4343.2,"")</f>
        <v/>
      </c>
      <c r="AU39" s="10" t="str">
        <f>IF($AF$6=TRUE(),4343.2,"")</f>
        <v/>
      </c>
      <c r="AV39" s="10" t="str">
        <f>IF($AF$6=TRUE(),4378.8,"")</f>
        <v/>
      </c>
      <c r="AW39" s="10" t="str">
        <f>IF($AF$6=TRUE(),5340,"")</f>
        <v/>
      </c>
      <c r="AX39" s="10" t="str">
        <f>IF($AF$6=TRUE(),5425.4,"")</f>
        <v/>
      </c>
      <c r="AY39" s="10" t="str">
        <f>IF($AF$6=TRUE(),5799.2,"")</f>
        <v/>
      </c>
      <c r="AZ39" s="10" t="str">
        <f>IF($AF$6=TRUE(),6675,"")</f>
        <v/>
      </c>
      <c r="BA39" s="10" t="str">
        <f>IF($AF$6=TRUE(),8597.4,"")</f>
        <v/>
      </c>
      <c r="BB39" s="10" t="str">
        <f>IF($AF$6=TRUE(),8650.8,"")</f>
        <v/>
      </c>
      <c r="BC39" s="10" t="str">
        <f>IF($AF$6=TRUE(),8490.6,"")</f>
        <v/>
      </c>
      <c r="BD39" s="10" t="str">
        <f>IF($AF$6=TRUE(),9084.9,"")</f>
        <v/>
      </c>
      <c r="BE39" s="10" t="str">
        <f>IF($AF$6=TRUE(),9254.8,"")</f>
        <v/>
      </c>
      <c r="BF39" s="10" t="str">
        <f>IF($AF$6=TRUE(),10018.9,"")</f>
        <v/>
      </c>
      <c r="BG39" s="10" t="str">
        <f>IF($AF$6=TRUE(),10443.4,"")</f>
        <v/>
      </c>
      <c r="BH39" s="10" t="str">
        <f>IF($AF$6=TRUE(),12323.2,"")</f>
        <v/>
      </c>
      <c r="BI39" s="10" t="str">
        <f>IF($AF$6=TRUE(),11487.7,"")</f>
        <v/>
      </c>
      <c r="BJ39" s="10" t="str">
        <f>IF($AF$6=TRUE(),12595,"")</f>
        <v/>
      </c>
      <c r="BK39" s="10" t="str">
        <f>IF($AF$6=TRUE(),12866,"")</f>
        <v/>
      </c>
      <c r="BL39" s="10" t="str">
        <f>IF($AF$6=TRUE(),12981,"")</f>
        <v/>
      </c>
      <c r="BM39" s="10" t="str">
        <f>IF($AF$6=TRUE(),13753,"")</f>
        <v/>
      </c>
      <c r="BN39" s="11"/>
      <c r="BO39" s="11"/>
    </row>
    <row r="40" spans="1:67" ht="15" customHeight="1">
      <c r="A40" s="12" t="s">
        <v>162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3" t="str">
        <f>IF($AG$6=TRUE(),2000,"")</f>
        <v/>
      </c>
      <c r="AN40" s="13" t="str">
        <f>IF($AG$6=TRUE(),2270,"")</f>
        <v/>
      </c>
      <c r="AO40" s="13" t="str">
        <f>IF($AG$6=TRUE(),2600,"")</f>
        <v/>
      </c>
      <c r="AP40" s="13" t="str">
        <f>IF($AG$6=TRUE(),2860,"")</f>
        <v/>
      </c>
      <c r="AQ40" s="13" t="str">
        <f>IF($AG$6=TRUE(),3160,"")</f>
        <v/>
      </c>
      <c r="AR40" s="13" t="str">
        <f>IF($AG$6=TRUE(),3840,"")</f>
        <v/>
      </c>
      <c r="AS40" s="13" t="str">
        <f>IF($AG$6=TRUE(),3700,"")</f>
        <v/>
      </c>
      <c r="AT40" s="13" t="str">
        <f>IF($AG$6=TRUE(),3774,"")</f>
        <v/>
      </c>
      <c r="AU40" s="13" t="str">
        <f>IF($AG$6=TRUE(),3811,"")</f>
        <v/>
      </c>
      <c r="AV40" s="13" t="str">
        <f>IF($AG$6=TRUE(),3885,"")</f>
        <v/>
      </c>
      <c r="AW40" s="13" t="str">
        <f>IF($AG$6=TRUE(),3885,"")</f>
        <v/>
      </c>
      <c r="AX40" s="13" t="str">
        <f>IF($AG$6=TRUE(),3947.2,"")</f>
        <v/>
      </c>
      <c r="AY40" s="13" t="str">
        <f>IF($AG$6=TRUE(),4219.1,"")</f>
        <v/>
      </c>
      <c r="AZ40" s="13" t="str">
        <f>IF($AG$6=TRUE(),4933.9,"")</f>
        <v/>
      </c>
      <c r="BA40" s="13" t="str">
        <f>IF($AG$6=TRUE(),4895.1,"")</f>
        <v/>
      </c>
      <c r="BB40" s="13" t="str">
        <f>IF($AG$6=TRUE(),4972.8,"")</f>
        <v/>
      </c>
      <c r="BC40" s="13" t="str">
        <f>IF($AG$6=TRUE(),6060.6,"")</f>
        <v/>
      </c>
      <c r="BD40" s="13" t="str">
        <f>IF($AG$6=TRUE(),6484.8,"")</f>
        <v/>
      </c>
      <c r="BE40" s="13" t="str">
        <f>IF($AG$6=TRUE(),6181.8,"")</f>
        <v/>
      </c>
      <c r="BF40" s="13" t="str">
        <f>IF($AG$6=TRUE(),6181.8,"")</f>
        <v/>
      </c>
      <c r="BG40" s="13" t="str">
        <f>IF($AG$6=TRUE(),6242.4,"")</f>
        <v/>
      </c>
      <c r="BH40" s="13" t="str">
        <f>IF($AG$6=TRUE(),6367.2,"")</f>
        <v/>
      </c>
      <c r="BI40" s="13" t="str">
        <f>IF($AG$6=TRUE(),6679.4,"")</f>
        <v/>
      </c>
      <c r="BJ40" s="13" t="str">
        <f>IF($AG$6=TRUE(),7291.1,"")</f>
        <v/>
      </c>
      <c r="BK40" s="13" t="str">
        <f>IF($AG$6=TRUE(),7440.9,"")</f>
        <v/>
      </c>
      <c r="BL40" s="13" t="str">
        <f>IF($AG$6=TRUE(),7097.6,"")</f>
        <v/>
      </c>
      <c r="BM40" s="13" t="str">
        <f>IF($AG$6=TRUE(),7166.2,"")</f>
        <v/>
      </c>
      <c r="BN40" s="14"/>
      <c r="BO40" s="14"/>
    </row>
    <row r="41" spans="1:67" ht="15" customHeight="1">
      <c r="A41" s="9" t="s">
        <v>163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0" t="str">
        <f>IF($AH$6=TRUE(),2000,"")</f>
        <v/>
      </c>
      <c r="AN41" s="10" t="str">
        <f>IF($AH$6=TRUE(),2224,"")</f>
        <v/>
      </c>
      <c r="AO41" s="10" t="str">
        <f>IF($AH$6=TRUE(),3040,"")</f>
        <v/>
      </c>
      <c r="AP41" s="10" t="str">
        <f>IF($AH$6=TRUE(),3440,"")</f>
        <v/>
      </c>
      <c r="AQ41" s="10" t="str">
        <f>IF($AH$6=TRUE(),3504,"")</f>
        <v/>
      </c>
      <c r="AR41" s="10" t="str">
        <f>IF($AH$6=TRUE(),3960,"")</f>
        <v/>
      </c>
      <c r="AS41" s="10" t="str">
        <f>IF($AH$6=TRUE(),4100,"")</f>
        <v/>
      </c>
      <c r="AT41" s="10" t="str">
        <f>IF($AH$6=TRUE(),4756,"")</f>
        <v/>
      </c>
      <c r="AU41" s="10" t="str">
        <f>IF($AH$6=TRUE(),5002,"")</f>
        <v/>
      </c>
      <c r="AV41" s="10" t="str">
        <f>IF($AH$6=TRUE(),4797,"")</f>
        <v/>
      </c>
      <c r="AW41" s="10" t="str">
        <f>IF($AH$6=TRUE(),4715,"")</f>
        <v/>
      </c>
      <c r="AX41" s="10" t="str">
        <f>IF($AH$6=TRUE(),5092.2,"")</f>
        <v/>
      </c>
      <c r="AY41" s="10" t="str">
        <f>IF($AH$6=TRUE(),5233.7,"")</f>
        <v/>
      </c>
      <c r="AZ41" s="10" t="str">
        <f>IF($AH$6=TRUE(),5469.4,"")</f>
        <v/>
      </c>
      <c r="BA41" s="10" t="str">
        <f>IF($AH$6=TRUE(),6176.7,"")</f>
        <v/>
      </c>
      <c r="BB41" s="10" t="str">
        <f>IF($AH$6=TRUE(),6789.6,"")</f>
        <v/>
      </c>
      <c r="BC41" s="10" t="str">
        <f>IF($AH$6=TRUE(),7355.4,"")</f>
        <v/>
      </c>
      <c r="BD41" s="10" t="str">
        <f>IF($AH$6=TRUE(),7649.6,"")</f>
        <v/>
      </c>
      <c r="BE41" s="10" t="str">
        <f>IF($AH$6=TRUE(),8164.5,"")</f>
        <v/>
      </c>
      <c r="BF41" s="10" t="str">
        <f>IF($AH$6=TRUE(),9341.3,"")</f>
        <v/>
      </c>
      <c r="BG41" s="10" t="str">
        <f>IF($AH$6=TRUE(),9341.3,"")</f>
        <v/>
      </c>
      <c r="BH41" s="10" t="str">
        <f>IF($AH$6=TRUE(),10088.6,"")</f>
        <v/>
      </c>
      <c r="BI41" s="10" t="str">
        <f>IF($AH$6=TRUE(),10462.3,"")</f>
        <v/>
      </c>
      <c r="BJ41" s="10" t="str">
        <f>IF($AH$6=TRUE(),12097,"")</f>
        <v/>
      </c>
      <c r="BK41" s="10" t="str">
        <f>IF($AH$6=TRUE(),12564,"")</f>
        <v/>
      </c>
      <c r="BL41" s="10" t="str">
        <f>IF($AH$6=TRUE(),12611,"")</f>
        <v/>
      </c>
      <c r="BM41" s="10" t="str">
        <f>IF($AH$6=TRUE(),12704.1,"")</f>
        <v/>
      </c>
      <c r="BN41" s="11"/>
      <c r="BO41" s="11"/>
    </row>
    <row r="42" spans="1:67" ht="15" customHeight="1">
      <c r="A42" s="12" t="s">
        <v>164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3" t="str">
        <f>IF($AI$6=TRUE(),2000,"")</f>
        <v/>
      </c>
      <c r="AN42" s="13" t="str">
        <f>IF($AI$6=TRUE(),2288,"")</f>
        <v/>
      </c>
      <c r="AO42" s="13" t="str">
        <f>IF($AI$6=TRUE(),2600,"")</f>
        <v/>
      </c>
      <c r="AP42" s="13" t="str">
        <f>IF($AI$6=TRUE(),2860,"")</f>
        <v/>
      </c>
      <c r="AQ42" s="13" t="str">
        <f>IF($AI$6=TRUE(),3160,"")</f>
        <v/>
      </c>
      <c r="AR42" s="13" t="str">
        <f>IF($AI$6=TRUE(),3600,"")</f>
        <v/>
      </c>
      <c r="AS42" s="13" t="str">
        <f>IF($AI$6=TRUE(),3480,"")</f>
        <v/>
      </c>
      <c r="AT42" s="13" t="str">
        <f>IF($AI$6=TRUE(),4245.6,"")</f>
        <v/>
      </c>
      <c r="AU42" s="13" t="str">
        <f>IF($AI$6=TRUE(),4245.6,"")</f>
        <v/>
      </c>
      <c r="AV42" s="13" t="str">
        <f>IF($AI$6=TRUE(),4350,"")</f>
        <v/>
      </c>
      <c r="AW42" s="13" t="str">
        <f>IF($AI$6=TRUE(),4176,"")</f>
        <v/>
      </c>
      <c r="AX42" s="13" t="str">
        <f>IF($AI$6=TRUE(),4259.5,"")</f>
        <v/>
      </c>
      <c r="AY42" s="13" t="str">
        <f>IF($AI$6=TRUE(),4568.5,"")</f>
        <v/>
      </c>
      <c r="AZ42" s="13" t="str">
        <f>IF($AI$6=TRUE(),5470.6,"")</f>
        <v/>
      </c>
      <c r="BA42" s="13" t="str">
        <f>IF($AI$6=TRUE(),5888.2,"")</f>
        <v/>
      </c>
      <c r="BB42" s="13" t="str">
        <f>IF($AI$6=TRUE(),6013.4,"")</f>
        <v/>
      </c>
      <c r="BC42" s="13" t="str">
        <f>IF($AI$6=TRUE(),5888.2,"")</f>
        <v/>
      </c>
      <c r="BD42" s="13" t="str">
        <f>IF($AI$6=TRUE(),6889.2,"")</f>
        <v/>
      </c>
      <c r="BE42" s="13" t="str">
        <f>IF($AI$6=TRUE(),6948.1,"")</f>
        <v/>
      </c>
      <c r="BF42" s="13" t="str">
        <f>IF($AI$6=TRUE(),6948,"")</f>
        <v/>
      </c>
      <c r="BG42" s="13" t="str">
        <f>IF($AI$6=TRUE(),7242.4,"")</f>
        <v/>
      </c>
      <c r="BH42" s="13" t="str">
        <f>IF($AI$6=TRUE(),8111.5,"")</f>
        <v/>
      </c>
      <c r="BI42" s="13" t="str">
        <f>IF($AI$6=TRUE(),8256.4,"")</f>
        <v/>
      </c>
      <c r="BJ42" s="13" t="str">
        <f>IF($AI$6=TRUE(),9400.6,"")</f>
        <v/>
      </c>
      <c r="BK42" s="13" t="str">
        <f>IF($AI$6=TRUE(),9407.8,"")</f>
        <v/>
      </c>
      <c r="BL42" s="13" t="str">
        <f>IF($AI$6=TRUE(),9777.2,"")</f>
        <v/>
      </c>
      <c r="BM42" s="13" t="str">
        <f>IF($AI$6=TRUE(),9849.6,"")</f>
        <v/>
      </c>
      <c r="BN42" s="14"/>
      <c r="BO42" s="14"/>
    </row>
    <row r="43" spans="1:67" ht="15" customHeight="1">
      <c r="A43" s="9" t="s">
        <v>165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0" t="str">
        <f>IF($AJ$6=TRUE(),2000,"")</f>
        <v/>
      </c>
      <c r="AN43" s="10" t="str">
        <f>IF($AJ$6=TRUE(),2198,"")</f>
        <v/>
      </c>
      <c r="AO43" s="10" t="str">
        <f>IF($AJ$6=TRUE(),2720,"")</f>
        <v/>
      </c>
      <c r="AP43" s="10" t="str">
        <f>IF($AJ$6=TRUE(),3026,"")</f>
        <v/>
      </c>
      <c r="AQ43" s="10" t="str">
        <f>IF($AJ$6=TRUE(),3422,"")</f>
        <v/>
      </c>
      <c r="AR43" s="10" t="str">
        <f>IF($AJ$6=TRUE(),3600,"")</f>
        <v/>
      </c>
      <c r="AS43" s="10" t="str">
        <f>IF($AJ$6=TRUE(),3500,"")</f>
        <v/>
      </c>
      <c r="AT43" s="10" t="str">
        <f>IF($AJ$6=TRUE(),4025,"")</f>
        <v/>
      </c>
      <c r="AU43" s="10" t="str">
        <f>IF($AJ$6=TRUE(),4270,"")</f>
        <v/>
      </c>
      <c r="AV43" s="10" t="str">
        <f>IF($AJ$6=TRUE(),4445,"")</f>
        <v/>
      </c>
      <c r="AW43" s="10" t="str">
        <f>IF($AJ$6=TRUE(),4235,"")</f>
        <v/>
      </c>
      <c r="AX43" s="10" t="str">
        <f>IF($AJ$6=TRUE(),4658.5,"")</f>
        <v/>
      </c>
      <c r="AY43" s="10" t="str">
        <f>IF($AJ$6=TRUE(),4870.3,"")</f>
        <v/>
      </c>
      <c r="AZ43" s="10" t="str">
        <f>IF($AJ$6=TRUE(),5336.1,"")</f>
        <v/>
      </c>
      <c r="BA43" s="10" t="str">
        <f>IF($AJ$6=TRUE(),6733.6,"")</f>
        <v/>
      </c>
      <c r="BB43" s="10" t="str">
        <f>IF($AJ$6=TRUE(),6776,"")</f>
        <v/>
      </c>
      <c r="BC43" s="10" t="str">
        <f>IF($AJ$6=TRUE(),6776,"")</f>
        <v/>
      </c>
      <c r="BD43" s="10" t="str">
        <f>IF($AJ$6=TRUE(),8266.7,"")</f>
        <v/>
      </c>
      <c r="BE43" s="10" t="str">
        <f>IF($AJ$6=TRUE(),8334.5,"")</f>
        <v/>
      </c>
      <c r="BF43" s="10" t="str">
        <f>IF($AJ$6=TRUE(),7995.6,"")</f>
        <v/>
      </c>
      <c r="BG43" s="10" t="str">
        <f>IF($AJ$6=TRUE(),8334.4,"")</f>
        <v/>
      </c>
      <c r="BH43" s="10" t="str">
        <f>IF($AJ$6=TRUE(),8751.1,"")</f>
        <v/>
      </c>
      <c r="BI43" s="10" t="str">
        <f>IF($AJ$6=TRUE(),9251.2,"")</f>
        <v/>
      </c>
      <c r="BJ43" s="10" t="str">
        <f>IF($AJ$6=TRUE(),10268,"")</f>
        <v/>
      </c>
      <c r="BK43" s="10" t="str">
        <f>IF($AJ$6=TRUE(),9704.8,"")</f>
        <v/>
      </c>
      <c r="BL43" s="10" t="str">
        <f>IF($AJ$6=TRUE(),12377,"")</f>
        <v/>
      </c>
      <c r="BM43" s="10" t="str">
        <f>IF($AJ$6=TRUE(),12668,"")</f>
        <v/>
      </c>
      <c r="BN43" s="11"/>
      <c r="BO43" s="11"/>
    </row>
    <row r="44" spans="1:67" ht="15" customHeight="1">
      <c r="A44" s="12" t="s">
        <v>96</v>
      </c>
      <c r="B44" s="13" t="str">
        <f>IF($AK$6=TRUE(),323.1,"")</f>
        <v/>
      </c>
      <c r="C44" s="13" t="str">
        <f>IF($AK$6=TRUE(),329.7,"")</f>
        <v/>
      </c>
      <c r="D44" s="13" t="str">
        <f>IF($AK$6=TRUE(),337.1,"")</f>
        <v/>
      </c>
      <c r="E44" s="13" t="str">
        <f>IF($AK$6=TRUE(),342.6,"")</f>
        <v/>
      </c>
      <c r="F44" s="13" t="str">
        <f>IF($AK$6=TRUE(),380.3,"")</f>
        <v/>
      </c>
      <c r="G44" s="13" t="str">
        <f>IF($AK$6=TRUE(),399.9,"")</f>
        <v/>
      </c>
      <c r="H44" s="13" t="str">
        <f>IF($AK$6=TRUE(),420.3,"")</f>
        <v/>
      </c>
      <c r="I44" s="13" t="str">
        <f>IF($AK$6=TRUE(),429.7,"")</f>
        <v/>
      </c>
      <c r="J44" s="13" t="str">
        <f>IF($AK$6=TRUE(),486.1,"")</f>
        <v/>
      </c>
      <c r="K44" s="13" t="str">
        <f>IF($AK$6=TRUE(),495.3,"")</f>
        <v/>
      </c>
      <c r="L44" s="13" t="str">
        <f>IF($AK$6=TRUE(),510.1,"")</f>
        <v/>
      </c>
      <c r="M44" s="13" t="str">
        <f>IF($AK$6=TRUE(),524.1,"")</f>
        <v/>
      </c>
      <c r="N44" s="13" t="str">
        <f>IF($AK$6=TRUE(),607.9,"")</f>
        <v/>
      </c>
      <c r="O44" s="13" t="str">
        <f>IF($AK$6=TRUE(),618.6,"")</f>
        <v/>
      </c>
      <c r="P44" s="13" t="str">
        <f>IF($AK$6=TRUE(),628.1,"")</f>
        <v/>
      </c>
      <c r="Q44" s="13" t="str">
        <f>IF($AK$6=TRUE(),637.8,"")</f>
        <v/>
      </c>
      <c r="R44" s="13" t="str">
        <f>IF($AK$6=TRUE(),703.7,"")</f>
        <v/>
      </c>
      <c r="S44" s="13" t="str">
        <f>IF($AK$6=TRUE(),709.7,"")</f>
        <v/>
      </c>
      <c r="T44" s="13" t="str">
        <f>IF($AK$6=TRUE(),715,"")</f>
        <v/>
      </c>
      <c r="U44" s="13" t="str">
        <f>IF($AK$6=TRUE(),720.4,"")</f>
        <v/>
      </c>
      <c r="V44" s="13" t="str">
        <f>IF($AK$6=TRUE(),778.8,"")</f>
        <v/>
      </c>
      <c r="W44" s="13" t="str">
        <f>IF($AK$6=TRUE(),786,"")</f>
        <v/>
      </c>
      <c r="X44" s="13" t="str">
        <f>IF($AK$6=TRUE(),793.2,"")</f>
        <v/>
      </c>
      <c r="Y44" s="13" t="str">
        <f>IF($AK$6=TRUE(),800.4,"")</f>
        <v/>
      </c>
      <c r="Z44" s="13" t="str">
        <f>IF($AK$6=TRUE(),871.2,"")</f>
        <v/>
      </c>
      <c r="AA44" s="13" t="str">
        <f>IF($AK$6=TRUE(),875.6,"")</f>
        <v/>
      </c>
      <c r="AB44" s="13" t="str">
        <f>IF($AK$6=TRUE(),888.4,"")</f>
        <v/>
      </c>
      <c r="AC44" s="13" t="str">
        <f>IF($AK$6=TRUE(),896.4,"")</f>
        <v/>
      </c>
      <c r="AD44" s="13" t="str">
        <f>IF($AK$6=TRUE(),1029.1,"")</f>
        <v/>
      </c>
      <c r="AE44" s="13" t="str">
        <f>IF($AK$6=TRUE(),1075.7,"")</f>
        <v/>
      </c>
      <c r="AF44" s="13" t="str">
        <f>IF($AK$6=TRUE(),1085.5,"")</f>
        <v/>
      </c>
      <c r="AG44" s="13" t="str">
        <f>IF($AK$6=TRUE(),1095,"")</f>
        <v/>
      </c>
      <c r="AH44" s="13" t="str">
        <f>IF($AK$6=TRUE(),1112.3,"")</f>
        <v/>
      </c>
      <c r="AI44" s="13" t="str">
        <f>IF($AK$6=TRUE(),1141,"")</f>
        <v/>
      </c>
      <c r="AJ44" s="13" t="str">
        <f>IF($AK$6=TRUE(),1390.2,"")</f>
        <v/>
      </c>
      <c r="AK44" s="13" t="str">
        <f>IF($AK$6=TRUE(),1452.4,"")</f>
        <v/>
      </c>
      <c r="AL44" s="13" t="str">
        <f>IF($AK$6=TRUE(),1479.2,"")</f>
        <v/>
      </c>
      <c r="AM44" s="13" t="str">
        <f>IF($AK$6=TRUE(),1514,"")</f>
        <v/>
      </c>
      <c r="AN44" s="13" t="str">
        <f>IF($AK$6=TRUE(),1848.6,"")</f>
        <v/>
      </c>
      <c r="AO44" s="13" t="str">
        <f>IF($AK$6=TRUE(),2019.7,"")</f>
        <v/>
      </c>
      <c r="AP44" s="13" t="str">
        <f>IF($AK$6=TRUE(),2033.3,"")</f>
        <v/>
      </c>
      <c r="AQ44" s="13" t="str">
        <f>IF($AK$6=TRUE(),2063.6,"")</f>
        <v/>
      </c>
      <c r="AR44" s="13" t="str">
        <f>IF($AK$6=TRUE(),2266.5,"")</f>
        <v/>
      </c>
      <c r="AS44" s="13" t="str">
        <f>IF($AK$6=TRUE(),2380,"")</f>
        <v/>
      </c>
      <c r="AT44" s="13" t="str">
        <f>IF($AK$6=TRUE(),3124.9,"")</f>
        <v/>
      </c>
      <c r="AU44" s="13" t="str">
        <f>IF($AK$6=TRUE(),3272.5,"")</f>
        <v/>
      </c>
      <c r="AV44" s="13" t="str">
        <f>IF($AK$6=TRUE(),3279.6,"")</f>
        <v/>
      </c>
      <c r="AW44" s="13" t="str">
        <f>IF($AK$6=TRUE(),3296.3,"")</f>
        <v/>
      </c>
      <c r="AX44" s="13" t="str">
        <f>IF($AK$6=TRUE(),4285.2,"")</f>
        <v/>
      </c>
      <c r="AY44" s="13" t="str">
        <f>IF($AK$6=TRUE(),4367.6,"")</f>
        <v/>
      </c>
      <c r="AZ44" s="13" t="str">
        <f>IF($AK$6=TRUE(),4641.2,"")</f>
        <v/>
      </c>
      <c r="BA44" s="13" t="str">
        <f>IF($AK$6=TRUE(),4812.6,"")</f>
        <v/>
      </c>
      <c r="BB44" s="13" t="str">
        <f>IF($AK$6=TRUE(),4812.6,"")</f>
        <v/>
      </c>
      <c r="BC44" s="13" t="str">
        <f>IF($AK$6=TRUE(),4812.6,"")</f>
        <v/>
      </c>
      <c r="BD44" s="13" t="str">
        <f>IF($AK$6=TRUE(),5948.4,"")</f>
        <v/>
      </c>
      <c r="BE44" s="13" t="str">
        <f>IF($AK$6=TRUE(),6150.5,"")</f>
        <v/>
      </c>
      <c r="BF44" s="13" t="str">
        <f>IF($AK$6=TRUE(),6309.3,"")</f>
        <v/>
      </c>
      <c r="BG44" s="13" t="str">
        <f>IF($AK$6=TRUE(),6472.9,"")</f>
        <v/>
      </c>
      <c r="BH44" s="13" t="str">
        <f>IF($AK$6=TRUE(),8058.8,"")</f>
        <v/>
      </c>
      <c r="BI44" s="13" t="str">
        <f>IF($AK$6=TRUE(),8375.9,"")</f>
        <v/>
      </c>
      <c r="BJ44" s="13" t="str">
        <f>IF($AK$6=TRUE(),8388.9,"")</f>
        <v/>
      </c>
      <c r="BK44" s="13" t="str">
        <f>IF($AK$6=TRUE(),8738.4,"")</f>
        <v/>
      </c>
      <c r="BL44" s="13" t="str">
        <f>IF($AK$6=TRUE(),8816.1,"")</f>
        <v/>
      </c>
      <c r="BM44" s="13" t="str">
        <f>IF($AK$6=TRUE(),8893.8,"")</f>
        <v/>
      </c>
      <c r="BN44" s="14"/>
      <c r="BO44" s="14"/>
    </row>
  </sheetData>
  <mergeCells count="1">
    <mergeCell ref="A1:BO1"/>
  </mergeCells>
  <dataValidations count="1">
    <dataValidation type="list" sqref="B6:AK6" xr:uid="{00000000-0002-0000-04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6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4.25"/>
  <cols>
    <col min="1" max="1" width="25" customWidth="1"/>
    <col min="2" max="19" width="8" customWidth="1"/>
  </cols>
  <sheetData>
    <row r="1" spans="1:67" ht="30" customHeight="1">
      <c r="A1" s="85" t="s">
        <v>355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167</v>
      </c>
      <c r="C5" s="4" t="s">
        <v>168</v>
      </c>
      <c r="D5" s="4" t="s">
        <v>169</v>
      </c>
      <c r="E5" s="4" t="s">
        <v>170</v>
      </c>
      <c r="F5" s="4" t="s">
        <v>171</v>
      </c>
      <c r="G5" s="4" t="s">
        <v>172</v>
      </c>
      <c r="H5" s="4" t="s">
        <v>353</v>
      </c>
      <c r="I5" s="4" t="s">
        <v>173</v>
      </c>
      <c r="J5" s="4" t="s">
        <v>174</v>
      </c>
      <c r="K5" s="4" t="s">
        <v>175</v>
      </c>
      <c r="L5" s="4" t="s">
        <v>176</v>
      </c>
      <c r="M5" s="4" t="s">
        <v>177</v>
      </c>
      <c r="N5" s="4" t="s">
        <v>178</v>
      </c>
      <c r="O5" s="4" t="s">
        <v>95</v>
      </c>
      <c r="P5" s="4" t="s">
        <v>179</v>
      </c>
      <c r="Q5" s="4" t="s">
        <v>180</v>
      </c>
      <c r="R5" s="4" t="s">
        <v>181</v>
      </c>
      <c r="S5" s="4" t="s">
        <v>182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167</v>
      </c>
      <c r="B9" s="10">
        <f>IF($B$6=TRUE(),334.3,"")</f>
        <v>334.3</v>
      </c>
      <c r="C9" s="10">
        <f>IF($B$6=TRUE(),345.9,"")</f>
        <v>345.9</v>
      </c>
      <c r="D9" s="10">
        <f>IF($B$6=TRUE(),357.9,"")</f>
        <v>357.9</v>
      </c>
      <c r="E9" s="10">
        <f>IF($B$6=TRUE(),369.8,"")</f>
        <v>369.8</v>
      </c>
      <c r="F9" s="10">
        <f>IF($B$6=TRUE(),407,"")</f>
        <v>407</v>
      </c>
      <c r="G9" s="10">
        <f>IF($B$6=TRUE(),428.4,"")</f>
        <v>428.4</v>
      </c>
      <c r="H9" s="10">
        <f>IF($B$6=TRUE(),464.6,"")</f>
        <v>464.6</v>
      </c>
      <c r="I9" s="10">
        <f>IF($B$6=TRUE(),481,"")</f>
        <v>481</v>
      </c>
      <c r="J9" s="10">
        <f>IF($B$6=TRUE(),534.7,"")</f>
        <v>534.70000000000005</v>
      </c>
      <c r="K9" s="10">
        <f>IF($B$6=TRUE(),546.2,"")</f>
        <v>546.20000000000005</v>
      </c>
      <c r="L9" s="10">
        <f>IF($B$6=TRUE(),557,"")</f>
        <v>557</v>
      </c>
      <c r="M9" s="10">
        <f>IF($B$6=TRUE(),567.9,"")</f>
        <v>567.9</v>
      </c>
      <c r="N9" s="10">
        <f>IF($B$6=TRUE(),647.3,"")</f>
        <v>647.29999999999995</v>
      </c>
      <c r="O9" s="10">
        <f>IF($B$6=TRUE(),659.8,"")</f>
        <v>659.8</v>
      </c>
      <c r="P9" s="10">
        <f>IF($B$6=TRUE(),668,"")</f>
        <v>668</v>
      </c>
      <c r="Q9" s="10">
        <f>IF($B$6=TRUE(),675.9,"")</f>
        <v>675.9</v>
      </c>
      <c r="R9" s="10">
        <f>IF($B$6=TRUE(),677,"")</f>
        <v>677</v>
      </c>
      <c r="S9" s="10">
        <f>IF($B$6=TRUE(),678,"")</f>
        <v>678</v>
      </c>
      <c r="T9" s="10">
        <f>IF($B$6=TRUE(),679,"")</f>
        <v>679</v>
      </c>
      <c r="U9" s="10">
        <f>IF($B$6=TRUE(),680,"")</f>
        <v>680</v>
      </c>
      <c r="V9" s="10">
        <f>IF($B$6=TRUE(),681,"")</f>
        <v>681</v>
      </c>
      <c r="W9" s="10">
        <f>IF($B$6=TRUE(),682,"")</f>
        <v>682</v>
      </c>
      <c r="X9" s="10">
        <f>IF($B$6=TRUE(),683,"")</f>
        <v>683</v>
      </c>
      <c r="Y9" s="10">
        <f>IF($B$6=TRUE(),684,"")</f>
        <v>684</v>
      </c>
      <c r="Z9" s="10">
        <f>IF($B$6=TRUE(),685,"")</f>
        <v>685</v>
      </c>
      <c r="AA9" s="10">
        <f>IF($B$6=TRUE(),686,"")</f>
        <v>686</v>
      </c>
      <c r="AB9" s="10">
        <f>IF($B$6=TRUE(),687,"")</f>
        <v>687</v>
      </c>
      <c r="AC9" s="10">
        <f>IF($B$6=TRUE(),688,"")</f>
        <v>688</v>
      </c>
      <c r="AD9" s="10">
        <f>IF($B$6=TRUE(),689,"")</f>
        <v>689</v>
      </c>
      <c r="AE9" s="10">
        <f>IF($B$6=TRUE(),690,"")</f>
        <v>690</v>
      </c>
      <c r="AF9" s="10">
        <f>IF($B$6=TRUE(),691,"")</f>
        <v>691</v>
      </c>
      <c r="AG9" s="10">
        <f>IF($B$6=TRUE(),692,"")</f>
        <v>692</v>
      </c>
      <c r="AH9" s="10">
        <f>IF($B$6=TRUE(),692,"")</f>
        <v>692</v>
      </c>
      <c r="AI9" s="10">
        <f>IF($B$6=TRUE(),693,"")</f>
        <v>693</v>
      </c>
      <c r="AJ9" s="10">
        <f>IF($B$6=TRUE(),694,"")</f>
        <v>694</v>
      </c>
      <c r="AK9" s="10">
        <f>IF($B$6=TRUE(),695,"")</f>
        <v>695</v>
      </c>
      <c r="AL9" s="10">
        <f>IF($B$6=TRUE(),696,"")</f>
        <v>696</v>
      </c>
      <c r="AM9" s="10">
        <f>IF($B$6=TRUE(),697,"")</f>
        <v>697</v>
      </c>
      <c r="AN9" s="10">
        <f>IF($B$6=TRUE(),698,"")</f>
        <v>698</v>
      </c>
      <c r="AO9" s="10">
        <f>IF($B$6=TRUE(),699,"")</f>
        <v>699</v>
      </c>
      <c r="AP9" s="10">
        <f>IF($B$6=TRUE(),700,"")</f>
        <v>700</v>
      </c>
      <c r="AQ9" s="10">
        <f>IF($B$6=TRUE(),701,"")</f>
        <v>701</v>
      </c>
      <c r="AR9" s="10">
        <f>IF($B$6=TRUE(),702,"")</f>
        <v>702</v>
      </c>
      <c r="AS9" s="10">
        <f>IF($B$6=TRUE(),703,"")</f>
        <v>703</v>
      </c>
      <c r="AT9" s="10">
        <f>IF($B$6=TRUE(),704,"")</f>
        <v>704</v>
      </c>
      <c r="AU9" s="10">
        <f>IF($B$6=TRUE(),705,"")</f>
        <v>705</v>
      </c>
      <c r="AV9" s="10">
        <f>IF($B$6=TRUE(),706,"")</f>
        <v>706</v>
      </c>
      <c r="AW9" s="10">
        <f>IF($B$6=TRUE(),707,"")</f>
        <v>707</v>
      </c>
      <c r="AX9" s="10">
        <f>IF($B$6=TRUE(),708,"")</f>
        <v>708</v>
      </c>
      <c r="AY9" s="10">
        <f>IF($B$6=TRUE(),709,"")</f>
        <v>709</v>
      </c>
      <c r="AZ9" s="10">
        <f>IF($B$6=TRUE(),710,"")</f>
        <v>710</v>
      </c>
      <c r="BA9" s="10">
        <f>IF($B$6=TRUE(),711,"")</f>
        <v>711</v>
      </c>
      <c r="BB9" s="10">
        <f>IF($B$6=TRUE(),711,"")</f>
        <v>711</v>
      </c>
      <c r="BC9" s="10">
        <f>IF($B$6=TRUE(),711,"")</f>
        <v>711</v>
      </c>
      <c r="BD9" s="10">
        <f>IF($B$6=TRUE(),712,"")</f>
        <v>712</v>
      </c>
      <c r="BE9" s="10">
        <f>IF($B$6=TRUE(),713,"")</f>
        <v>713</v>
      </c>
      <c r="BF9" s="10">
        <f>IF($B$6=TRUE(),714,"")</f>
        <v>714</v>
      </c>
      <c r="BG9" s="10">
        <f>IF($B$6=TRUE(),715,"")</f>
        <v>715</v>
      </c>
      <c r="BH9" s="10">
        <f>IF($B$6=TRUE(),716,"")</f>
        <v>716</v>
      </c>
      <c r="BI9" s="10">
        <f>IF($B$6=TRUE(),717,"")</f>
        <v>717</v>
      </c>
      <c r="BJ9" s="10">
        <f>IF($B$6=TRUE(),718,"")</f>
        <v>718</v>
      </c>
      <c r="BK9" s="10">
        <f>IF($B$6=TRUE(),719,"")</f>
        <v>719</v>
      </c>
      <c r="BL9" s="10">
        <f>IF($B$6=TRUE(),719,"")</f>
        <v>719</v>
      </c>
      <c r="BM9" s="10">
        <f>IF($B$6=TRUE(),719,"")</f>
        <v>719</v>
      </c>
      <c r="BN9" s="11"/>
      <c r="BO9" s="11"/>
    </row>
    <row r="10" spans="1:67" ht="15" customHeight="1">
      <c r="A10" s="12" t="s">
        <v>168</v>
      </c>
      <c r="B10" s="13">
        <f>IF($C$6=TRUE(),333.1,"")</f>
        <v>333.1</v>
      </c>
      <c r="C10" s="13">
        <f>IF($C$6=TRUE(),344.7,"")</f>
        <v>344.7</v>
      </c>
      <c r="D10" s="13">
        <f>IF($C$6=TRUE(),357.2,"")</f>
        <v>357.2</v>
      </c>
      <c r="E10" s="13">
        <f>IF($C$6=TRUE(),369.4,"")</f>
        <v>369.4</v>
      </c>
      <c r="F10" s="13">
        <f>IF($C$6=TRUE(),406.1,"")</f>
        <v>406.1</v>
      </c>
      <c r="G10" s="13">
        <f>IF($C$6=TRUE(),427.7,"")</f>
        <v>427.7</v>
      </c>
      <c r="H10" s="13">
        <f>IF($C$6=TRUE(),464.5,"")</f>
        <v>464.5</v>
      </c>
      <c r="I10" s="13">
        <f>IF($C$6=TRUE(),481.2,"")</f>
        <v>481.2</v>
      </c>
      <c r="J10" s="13">
        <f>IF($C$6=TRUE(),534.2,"")</f>
        <v>534.20000000000005</v>
      </c>
      <c r="K10" s="13">
        <f>IF($C$6=TRUE(),545.9,"")</f>
        <v>545.9</v>
      </c>
      <c r="L10" s="13">
        <f>IF($C$6=TRUE(),556.9,"")</f>
        <v>556.9</v>
      </c>
      <c r="M10" s="13">
        <f>IF($C$6=TRUE(),567.9,"")</f>
        <v>567.9</v>
      </c>
      <c r="N10" s="13">
        <f>IF($C$6=TRUE(),646.1,"")</f>
        <v>646.1</v>
      </c>
      <c r="O10" s="13">
        <f>IF($C$6=TRUE(),658.6,"")</f>
        <v>658.6</v>
      </c>
      <c r="P10" s="13">
        <f>IF($C$6=TRUE(),666.7,"")</f>
        <v>666.7</v>
      </c>
      <c r="Q10" s="13">
        <f>IF($C$6=TRUE(),674.6,"")</f>
        <v>674.6</v>
      </c>
      <c r="R10" s="13">
        <f>IF($C$6=TRUE(),731.6,"")</f>
        <v>731.6</v>
      </c>
      <c r="S10" s="13">
        <f>IF($C$6=TRUE(),736.9,"")</f>
        <v>736.9</v>
      </c>
      <c r="T10" s="13">
        <f>IF($C$6=TRUE(),740.8,"")</f>
        <v>740.8</v>
      </c>
      <c r="U10" s="13">
        <f>IF($C$6=TRUE(),744,"")</f>
        <v>744</v>
      </c>
      <c r="V10" s="13">
        <f>IF($C$6=TRUE(),792.9,"")</f>
        <v>792.9</v>
      </c>
      <c r="W10" s="13">
        <f>IF($C$6=TRUE(),800.5,"")</f>
        <v>800.5</v>
      </c>
      <c r="X10" s="13">
        <f>IF($C$6=TRUE(),808,"")</f>
        <v>808</v>
      </c>
      <c r="Y10" s="13">
        <f>IF($C$6=TRUE(),815.3,"")</f>
        <v>815.3</v>
      </c>
      <c r="Z10" s="13">
        <f>IF($C$6=TRUE(),879,"")</f>
        <v>879</v>
      </c>
      <c r="AA10" s="13">
        <f>IF($C$6=TRUE(),881.7,"")</f>
        <v>881.7</v>
      </c>
      <c r="AB10" s="13">
        <f>IF($C$6=TRUE(),900.4,"")</f>
        <v>900.4</v>
      </c>
      <c r="AC10" s="13">
        <f>IF($C$6=TRUE(),909,"")</f>
        <v>909</v>
      </c>
      <c r="AD10" s="13">
        <f>IF($C$6=TRUE(),1029.5,"")</f>
        <v>1029.5</v>
      </c>
      <c r="AE10" s="13">
        <f>IF($C$6=TRUE(),1110.6,"")</f>
        <v>1110.5999999999999</v>
      </c>
      <c r="AF10" s="13">
        <f>IF($C$6=TRUE(),1145,"")</f>
        <v>1145</v>
      </c>
      <c r="AG10" s="13">
        <f>IF($C$6=TRUE(),1174.2,"")</f>
        <v>1174.2</v>
      </c>
      <c r="AH10" s="13">
        <f>IF($C$6=TRUE(),1191.2,"")</f>
        <v>1191.2</v>
      </c>
      <c r="AI10" s="13">
        <f>IF($C$6=TRUE(),1237.1,"")</f>
        <v>1237.0999999999999</v>
      </c>
      <c r="AJ10" s="13">
        <f>IF($C$6=TRUE(),1472.8,"")</f>
        <v>1472.8</v>
      </c>
      <c r="AK10" s="13">
        <f>IF($C$6=TRUE(),1552.1,"")</f>
        <v>1552.1</v>
      </c>
      <c r="AL10" s="13">
        <f>IF($C$6=TRUE(),1613.9,"")</f>
        <v>1613.9</v>
      </c>
      <c r="AM10" s="13">
        <f>IF($C$6=TRUE(),1681.2,"")</f>
        <v>1681.2</v>
      </c>
      <c r="AN10" s="13">
        <f>IF($C$6=TRUE(),2039.1,"")</f>
        <v>2039.1</v>
      </c>
      <c r="AO10" s="13">
        <f>IF($C$6=TRUE(),2308.9,"")</f>
        <v>2308.9</v>
      </c>
      <c r="AP10" s="13">
        <f>IF($C$6=TRUE(),2364.9,"")</f>
        <v>2364.9</v>
      </c>
      <c r="AQ10" s="13">
        <f>IF($C$6=TRUE(),2482.1,"")</f>
        <v>2482.1</v>
      </c>
      <c r="AR10" s="13">
        <f>IF($C$6=TRUE(),2734.3,"")</f>
        <v>2734.3</v>
      </c>
      <c r="AS10" s="13">
        <f>IF($C$6=TRUE(),2884.2,"")</f>
        <v>2884.2</v>
      </c>
      <c r="AT10" s="13">
        <f>IF($C$6=TRUE(),3746.7,"")</f>
        <v>3746.7</v>
      </c>
      <c r="AU10" s="13">
        <f>IF($C$6=TRUE(),3997.9,"")</f>
        <v>3997.9</v>
      </c>
      <c r="AV10" s="13">
        <f>IF($C$6=TRUE(),4025.4,"")</f>
        <v>4025.4</v>
      </c>
      <c r="AW10" s="13">
        <f>IF($C$6=TRUE(),4113.5,"")</f>
        <v>4113.5</v>
      </c>
      <c r="AX10" s="13">
        <f>IF($C$6=TRUE(),5165.6,"")</f>
        <v>5165.6000000000004</v>
      </c>
      <c r="AY10" s="13">
        <f>IF($C$6=TRUE(),5297.3,"")</f>
        <v>5297.3</v>
      </c>
      <c r="AZ10" s="13">
        <f>IF($C$6=TRUE(),5714.8,"")</f>
        <v>5714.8</v>
      </c>
      <c r="BA10" s="13">
        <f>IF($C$6=TRUE(),6014.2,"")</f>
        <v>6014.2</v>
      </c>
      <c r="BB10" s="13">
        <f>IF($C$6=TRUE(),6016.7,"")</f>
        <v>6016.7</v>
      </c>
      <c r="BC10" s="13">
        <f>IF($C$6=TRUE(),6028.8,"")</f>
        <v>6028.8</v>
      </c>
      <c r="BD10" s="13">
        <f>IF($C$6=TRUE(),7311.1,"")</f>
        <v>7311.1</v>
      </c>
      <c r="BE10" s="13">
        <f>IF($C$6=TRUE(),7615.6,"")</f>
        <v>7615.6</v>
      </c>
      <c r="BF10" s="13">
        <f>IF($C$6=TRUE(),7760.4,"")</f>
        <v>7760.4</v>
      </c>
      <c r="BG10" s="13">
        <f>IF($C$6=TRUE(),7982,"")</f>
        <v>7982</v>
      </c>
      <c r="BH10" s="13">
        <f>IF($C$6=TRUE(),9751.1,"")</f>
        <v>9751.1</v>
      </c>
      <c r="BI10" s="13">
        <f>IF($C$6=TRUE(),10191.8,"")</f>
        <v>10191.799999999999</v>
      </c>
      <c r="BJ10" s="13">
        <f>IF($C$6=TRUE(),10219.4,"")</f>
        <v>10219.4</v>
      </c>
      <c r="BK10" s="13">
        <f>IF($C$6=TRUE(),10793.9,"")</f>
        <v>10793.9</v>
      </c>
      <c r="BL10" s="13">
        <f>IF($C$6=TRUE(),10934.7,"")</f>
        <v>10934.7</v>
      </c>
      <c r="BM10" s="13">
        <f>IF($C$6=TRUE(),11090.3,"")</f>
        <v>11090.3</v>
      </c>
      <c r="BN10" s="14"/>
      <c r="BO10" s="14"/>
    </row>
    <row r="11" spans="1:67" ht="15" customHeight="1">
      <c r="A11" s="9" t="s">
        <v>169</v>
      </c>
      <c r="B11" s="10">
        <f>IF($D$6=TRUE(),334.6,"")</f>
        <v>334.6</v>
      </c>
      <c r="C11" s="10">
        <f>IF($D$6=TRUE(),347.1,"")</f>
        <v>347.1</v>
      </c>
      <c r="D11" s="10">
        <f>IF($D$6=TRUE(),360.6,"")</f>
        <v>360.6</v>
      </c>
      <c r="E11" s="10">
        <f>IF($D$6=TRUE(),374.5,"")</f>
        <v>374.5</v>
      </c>
      <c r="F11" s="10">
        <f>IF($D$6=TRUE(),410.8,"")</f>
        <v>410.8</v>
      </c>
      <c r="G11" s="10">
        <f>IF($D$6=TRUE(),433.2,"")</f>
        <v>433.2</v>
      </c>
      <c r="H11" s="10">
        <f>IF($D$6=TRUE(),473.4,"")</f>
        <v>473.4</v>
      </c>
      <c r="I11" s="10">
        <f>IF($D$6=TRUE(),491.8,"")</f>
        <v>491.8</v>
      </c>
      <c r="J11" s="10">
        <f>IF($D$6=TRUE(),543.6,"")</f>
        <v>543.6</v>
      </c>
      <c r="K11" s="10">
        <f>IF($D$6=TRUE(),555.6,"")</f>
        <v>555.6</v>
      </c>
      <c r="L11" s="10">
        <f>IF($D$6=TRUE(),565.9,"")</f>
        <v>565.9</v>
      </c>
      <c r="M11" s="10">
        <f>IF($D$6=TRUE(),576.5,"")</f>
        <v>576.5</v>
      </c>
      <c r="N11" s="10">
        <f>IF($D$6=TRUE(),652.4,"")</f>
        <v>652.4</v>
      </c>
      <c r="O11" s="10">
        <f>IF($D$6=TRUE(),665.5,"")</f>
        <v>665.5</v>
      </c>
      <c r="P11" s="10">
        <f>IF($D$6=TRUE(),673.4,"")</f>
        <v>673.4</v>
      </c>
      <c r="Q11" s="10">
        <f>IF($D$6=TRUE(),680.6,"")</f>
        <v>680.6</v>
      </c>
      <c r="R11" s="10">
        <f>IF($D$6=TRUE(),734.2,"")</f>
        <v>734.2</v>
      </c>
      <c r="S11" s="10">
        <f>IF($D$6=TRUE(),739.6,"")</f>
        <v>739.6</v>
      </c>
      <c r="T11" s="10">
        <f>IF($D$6=TRUE(),743.3,"")</f>
        <v>743.3</v>
      </c>
      <c r="U11" s="10">
        <f>IF($D$6=TRUE(),745.9,"")</f>
        <v>745.9</v>
      </c>
      <c r="V11" s="10">
        <f>IF($D$6=TRUE(),792.1,"")</f>
        <v>792.1</v>
      </c>
      <c r="W11" s="10">
        <f>IF($D$6=TRUE(),799.8,"")</f>
        <v>799.8</v>
      </c>
      <c r="X11" s="10">
        <f>IF($D$6=TRUE(),807.4,"")</f>
        <v>807.4</v>
      </c>
      <c r="Y11" s="10">
        <f>IF($D$6=TRUE(),814.6,"")</f>
        <v>814.6</v>
      </c>
      <c r="Z11" s="10">
        <f>IF($D$6=TRUE(),875.3,"")</f>
        <v>875.3</v>
      </c>
      <c r="AA11" s="10">
        <f>IF($D$6=TRUE(),878.7,"")</f>
        <v>878.7</v>
      </c>
      <c r="AB11" s="10">
        <f>IF($D$6=TRUE(),898.2,"")</f>
        <v>898.2</v>
      </c>
      <c r="AC11" s="10">
        <f>IF($D$6=TRUE(),907.2,"")</f>
        <v>907.2</v>
      </c>
      <c r="AD11" s="10">
        <f>IF($D$6=TRUE(),1023.8,"")</f>
        <v>1023.8</v>
      </c>
      <c r="AE11" s="10">
        <f>IF($D$6=TRUE(),1112.7,"")</f>
        <v>1112.7</v>
      </c>
      <c r="AF11" s="10">
        <f>IF($D$6=TRUE(),1154.4,"")</f>
        <v>1154.4000000000001</v>
      </c>
      <c r="AG11" s="10">
        <f>IF($D$6=TRUE(),1188,"")</f>
        <v>1188</v>
      </c>
      <c r="AH11" s="10">
        <f>IF($D$6=TRUE(),1205.9,"")</f>
        <v>1205.9000000000001</v>
      </c>
      <c r="AI11" s="10">
        <f>IF($D$6=TRUE(),1258.3,"")</f>
        <v>1258.3</v>
      </c>
      <c r="AJ11" s="10">
        <f>IF($D$6=TRUE(),1488.2,"")</f>
        <v>1488.2</v>
      </c>
      <c r="AK11" s="10">
        <f>IF($D$6=TRUE(),1570.5,"")</f>
        <v>1570.5</v>
      </c>
      <c r="AL11" s="10">
        <f>IF($D$6=TRUE(),1644.1,"")</f>
        <v>1644.1</v>
      </c>
      <c r="AM11" s="10">
        <f>IF($D$6=TRUE(),1718.2,"")</f>
        <v>1718.2</v>
      </c>
      <c r="AN11" s="10">
        <f>IF($D$6=TRUE(),2078.5,"")</f>
        <v>2078.5</v>
      </c>
      <c r="AO11" s="10">
        <f>IF($D$6=TRUE(),2374.2,"")</f>
        <v>2374.1999999999998</v>
      </c>
      <c r="AP11" s="10">
        <f>IF($D$6=TRUE(),2440.6,"")</f>
        <v>2440.6</v>
      </c>
      <c r="AQ11" s="10">
        <f>IF($D$6=TRUE(),2578.4,"")</f>
        <v>2578.4</v>
      </c>
      <c r="AR11" s="10">
        <f>IF($D$6=TRUE(),2842.6,"")</f>
        <v>2842.6</v>
      </c>
      <c r="AS11" s="10">
        <f>IF($D$6=TRUE(),3004.1,"")</f>
        <v>3004.1</v>
      </c>
      <c r="AT11" s="10">
        <f>IF($D$6=TRUE(),3885.1,"")</f>
        <v>3885.1</v>
      </c>
      <c r="AU11" s="10">
        <f>IF($D$6=TRUE(),4167.7,"")</f>
        <v>4167.7</v>
      </c>
      <c r="AV11" s="10">
        <f>IF($D$6=TRUE(),4199.3,"")</f>
        <v>4199.3</v>
      </c>
      <c r="AW11" s="10">
        <f>IF($D$6=TRUE(),4306.5,"")</f>
        <v>4306.5</v>
      </c>
      <c r="AX11" s="10">
        <f>IF($D$6=TRUE(),5383.1,"")</f>
        <v>5383.1</v>
      </c>
      <c r="AY11" s="10">
        <f>IF($D$6=TRUE(),5529.4,"")</f>
        <v>5529.4</v>
      </c>
      <c r="AZ11" s="10">
        <f>IF($D$6=TRUE(),5965.7,"")</f>
        <v>5965.7</v>
      </c>
      <c r="BA11" s="10">
        <f>IF($D$6=TRUE(),6288.1,"")</f>
        <v>6288.1</v>
      </c>
      <c r="BB11" s="10">
        <f>IF($D$6=TRUE(),6292.5,"")</f>
        <v>6292.5</v>
      </c>
      <c r="BC11" s="10">
        <f>IF($D$6=TRUE(),6313.4,"")</f>
        <v>6313.4</v>
      </c>
      <c r="BD11" s="10">
        <f>IF($D$6=TRUE(),7620.8,"")</f>
        <v>7620.8</v>
      </c>
      <c r="BE11" s="10">
        <f>IF($D$6=TRUE(),7951.8,"")</f>
        <v>7951.8</v>
      </c>
      <c r="BF11" s="10">
        <f>IF($D$6=TRUE(),8106.6,"")</f>
        <v>8106.6</v>
      </c>
      <c r="BG11" s="10">
        <f>IF($D$6=TRUE(),8342.3,"")</f>
        <v>8342.2999999999993</v>
      </c>
      <c r="BH11" s="10">
        <f>IF($D$6=TRUE(),10144.6,"")</f>
        <v>10144.6</v>
      </c>
      <c r="BI11" s="10">
        <f>IF($D$6=TRUE(),10616.8,"")</f>
        <v>10616.8</v>
      </c>
      <c r="BJ11" s="10">
        <f>IF($D$6=TRUE(),10655.4,"")</f>
        <v>10655.4</v>
      </c>
      <c r="BK11" s="10">
        <f>IF($D$6=TRUE(),11268.4,"")</f>
        <v>11268.4</v>
      </c>
      <c r="BL11" s="10">
        <f>IF($D$6=TRUE(),11432.6,"")</f>
        <v>11432.6</v>
      </c>
      <c r="BM11" s="10">
        <f>IF($D$6=TRUE(),11606.6,"")</f>
        <v>11606.6</v>
      </c>
      <c r="BN11" s="11"/>
      <c r="BO11" s="11"/>
    </row>
    <row r="12" spans="1:67" ht="15" customHeight="1">
      <c r="A12" s="12" t="s">
        <v>170</v>
      </c>
      <c r="B12" s="13">
        <f>IF($E$6=TRUE(),334.4,"")</f>
        <v>334.4</v>
      </c>
      <c r="C12" s="13">
        <f>IF($E$6=TRUE(),346.8,"")</f>
        <v>346.8</v>
      </c>
      <c r="D12" s="13">
        <f>IF($E$6=TRUE(),361.8,"")</f>
        <v>361.8</v>
      </c>
      <c r="E12" s="13">
        <f>IF($E$6=TRUE(),376.2,"")</f>
        <v>376.2</v>
      </c>
      <c r="F12" s="13">
        <f>IF($E$6=TRUE(),412.2,"")</f>
        <v>412.2</v>
      </c>
      <c r="G12" s="13">
        <f>IF($E$6=TRUE(),435.3,"")</f>
        <v>435.3</v>
      </c>
      <c r="H12" s="13">
        <f>IF($E$6=TRUE(),479.8,"")</f>
        <v>479.8</v>
      </c>
      <c r="I12" s="13">
        <f>IF($E$6=TRUE(),500,"")</f>
        <v>500</v>
      </c>
      <c r="J12" s="13">
        <f>IF($E$6=TRUE(),550.6,"")</f>
        <v>550.6</v>
      </c>
      <c r="K12" s="13">
        <f>IF($E$6=TRUE(),562.3,"")</f>
        <v>562.29999999999995</v>
      </c>
      <c r="L12" s="13">
        <f>IF($E$6=TRUE(),573.6,"")</f>
        <v>573.6</v>
      </c>
      <c r="M12" s="13">
        <f>IF($E$6=TRUE(),583.6,"")</f>
        <v>583.6</v>
      </c>
      <c r="N12" s="13">
        <f>IF($E$6=TRUE(),657.8,"")</f>
        <v>657.8</v>
      </c>
      <c r="O12" s="13">
        <f>IF($E$6=TRUE(),670.6,"")</f>
        <v>670.6</v>
      </c>
      <c r="P12" s="13">
        <f>IF($E$6=TRUE(),677.8,"")</f>
        <v>677.8</v>
      </c>
      <c r="Q12" s="13">
        <f>IF($E$6=TRUE(),685.1,"")</f>
        <v>685.1</v>
      </c>
      <c r="R12" s="13">
        <f>IF($E$6=TRUE(),738.6,"")</f>
        <v>738.6</v>
      </c>
      <c r="S12" s="13">
        <f>IF($E$6=TRUE(),743.5,"")</f>
        <v>743.5</v>
      </c>
      <c r="T12" s="13">
        <f>IF($E$6=TRUE(),746.2,"")</f>
        <v>746.2</v>
      </c>
      <c r="U12" s="13">
        <f>IF($E$6=TRUE(),748.5,"")</f>
        <v>748.5</v>
      </c>
      <c r="V12" s="13">
        <f>IF($E$6=TRUE(),794.5,"")</f>
        <v>794.5</v>
      </c>
      <c r="W12" s="13">
        <f>IF($E$6=TRUE(),802.2,"")</f>
        <v>802.2</v>
      </c>
      <c r="X12" s="13">
        <f>IF($E$6=TRUE(),809.5,"")</f>
        <v>809.5</v>
      </c>
      <c r="Y12" s="13">
        <f>IF($E$6=TRUE(),816.8,"")</f>
        <v>816.8</v>
      </c>
      <c r="Z12" s="13">
        <f>IF($E$6=TRUE(),877,"")</f>
        <v>877</v>
      </c>
      <c r="AA12" s="13">
        <f>IF($E$6=TRUE(),879.6,"")</f>
        <v>879.6</v>
      </c>
      <c r="AB12" s="13">
        <f>IF($E$6=TRUE(),899.1,"")</f>
        <v>899.1</v>
      </c>
      <c r="AC12" s="13">
        <f>IF($E$6=TRUE(),907.6,"")</f>
        <v>907.6</v>
      </c>
      <c r="AD12" s="13">
        <f>IF($E$6=TRUE(),1022.3,"")</f>
        <v>1022.3</v>
      </c>
      <c r="AE12" s="13">
        <f>IF($E$6=TRUE(),1117,"")</f>
        <v>1117</v>
      </c>
      <c r="AF12" s="13">
        <f>IF($E$6=TRUE(),1158.4,"")</f>
        <v>1158.4000000000001</v>
      </c>
      <c r="AG12" s="13">
        <f>IF($E$6=TRUE(),1194.9,"")</f>
        <v>1194.9000000000001</v>
      </c>
      <c r="AH12" s="13">
        <f>IF($E$6=TRUE(),1219.8,"")</f>
        <v>1219.8</v>
      </c>
      <c r="AI12" s="13">
        <f>IF($E$6=TRUE(),1277.6,"")</f>
        <v>1277.5999999999999</v>
      </c>
      <c r="AJ12" s="13">
        <f>IF($E$6=TRUE(),1503.8,"")</f>
        <v>1503.8</v>
      </c>
      <c r="AK12" s="13">
        <f>IF($E$6=TRUE(),1589.1,"")</f>
        <v>1589.1</v>
      </c>
      <c r="AL12" s="13">
        <f>IF($E$6=TRUE(),1659.1,"")</f>
        <v>1659.1</v>
      </c>
      <c r="AM12" s="13">
        <f>IF($E$6=TRUE(),1735.2,"")</f>
        <v>1735.2</v>
      </c>
      <c r="AN12" s="13">
        <f>IF($E$6=TRUE(),2090.2,"")</f>
        <v>2090.1999999999998</v>
      </c>
      <c r="AO12" s="13">
        <f>IF($E$6=TRUE(),2390.9,"")</f>
        <v>2390.9</v>
      </c>
      <c r="AP12" s="13">
        <f>IF($E$6=TRUE(),2461.3,"")</f>
        <v>2461.3000000000002</v>
      </c>
      <c r="AQ12" s="13">
        <f>IF($E$6=TRUE(),2612.4,"")</f>
        <v>2612.4</v>
      </c>
      <c r="AR12" s="13">
        <f>IF($E$6=TRUE(),2874.8,"")</f>
        <v>2874.8</v>
      </c>
      <c r="AS12" s="13">
        <f>IF($E$6=TRUE(),3036,"")</f>
        <v>3036</v>
      </c>
      <c r="AT12" s="13">
        <f>IF($E$6=TRUE(),3926.8,"")</f>
        <v>3926.8</v>
      </c>
      <c r="AU12" s="13">
        <f>IF($E$6=TRUE(),4213.3,"")</f>
        <v>4213.3</v>
      </c>
      <c r="AV12" s="13">
        <f>IF($E$6=TRUE(),4247.4,"")</f>
        <v>4247.3999999999996</v>
      </c>
      <c r="AW12" s="13">
        <f>IF($E$6=TRUE(),4356.5,"")</f>
        <v>4356.5</v>
      </c>
      <c r="AX12" s="13">
        <f>IF($E$6=TRUE(),5461.8,"")</f>
        <v>5461.8</v>
      </c>
      <c r="AY12" s="13">
        <f>IF($E$6=TRUE(),5614.7,"")</f>
        <v>5614.7</v>
      </c>
      <c r="AZ12" s="13">
        <f>IF($E$6=TRUE(),6015.2,"")</f>
        <v>6015.2</v>
      </c>
      <c r="BA12" s="13">
        <f>IF($E$6=TRUE(),6358.4,"")</f>
        <v>6358.4</v>
      </c>
      <c r="BB12" s="13">
        <f>IF($E$6=TRUE(),6368.2,"")</f>
        <v>6368.2</v>
      </c>
      <c r="BC12" s="13">
        <f>IF($E$6=TRUE(),6394.3,"")</f>
        <v>6394.3</v>
      </c>
      <c r="BD12" s="13">
        <f>IF($E$6=TRUE(),7721.9,"")</f>
        <v>7721.9</v>
      </c>
      <c r="BE12" s="13">
        <f>IF($E$6=TRUE(),8059.7,"")</f>
        <v>8059.7</v>
      </c>
      <c r="BF12" s="13">
        <f>IF($E$6=TRUE(),8195.8,"")</f>
        <v>8195.7999999999993</v>
      </c>
      <c r="BG12" s="13">
        <f>IF($E$6=TRUE(),8439.2,"")</f>
        <v>8439.2000000000007</v>
      </c>
      <c r="BH12" s="13">
        <f>IF($E$6=TRUE(),10241.6,"")</f>
        <v>10241.6</v>
      </c>
      <c r="BI12" s="13">
        <f>IF($E$6=TRUE(),10726.6,"")</f>
        <v>10726.6</v>
      </c>
      <c r="BJ12" s="13">
        <f>IF($E$6=TRUE(),10754.9,"")</f>
        <v>10754.9</v>
      </c>
      <c r="BK12" s="13">
        <f>IF($E$6=TRUE(),11398.3,"")</f>
        <v>11398.3</v>
      </c>
      <c r="BL12" s="13">
        <f>IF($E$6=TRUE(),11547.8,"")</f>
        <v>11547.8</v>
      </c>
      <c r="BM12" s="13">
        <f>IF($E$6=TRUE(),11717.9,"")</f>
        <v>11717.9</v>
      </c>
      <c r="BN12" s="14"/>
      <c r="BO12" s="14"/>
    </row>
    <row r="13" spans="1:67" ht="15" customHeight="1">
      <c r="A13" s="9" t="s">
        <v>171</v>
      </c>
      <c r="B13" s="10">
        <f>IF($F$6=TRUE(),334.4,"")</f>
        <v>334.4</v>
      </c>
      <c r="C13" s="10">
        <f>IF($F$6=TRUE(),347.1,"")</f>
        <v>347.1</v>
      </c>
      <c r="D13" s="10">
        <f>IF($F$6=TRUE(),361.5,"")</f>
        <v>361.5</v>
      </c>
      <c r="E13" s="10">
        <f>IF($F$6=TRUE(),376,"")</f>
        <v>376</v>
      </c>
      <c r="F13" s="10">
        <f>IF($F$6=TRUE(),411.7,"")</f>
        <v>411.7</v>
      </c>
      <c r="G13" s="10">
        <f>IF($F$6=TRUE(),434.7,"")</f>
        <v>434.7</v>
      </c>
      <c r="H13" s="10">
        <f>IF($F$6=TRUE(),476.5,"")</f>
        <v>476.5</v>
      </c>
      <c r="I13" s="10">
        <f>IF($F$6=TRUE(),495.6,"")</f>
        <v>495.6</v>
      </c>
      <c r="J13" s="10">
        <f>IF($F$6=TRUE(),546.5,"")</f>
        <v>546.5</v>
      </c>
      <c r="K13" s="10">
        <f>IF($F$6=TRUE(),558.9,"")</f>
        <v>558.9</v>
      </c>
      <c r="L13" s="10">
        <f>IF($F$6=TRUE(),569.5,"")</f>
        <v>569.5</v>
      </c>
      <c r="M13" s="10">
        <f>IF($F$6=TRUE(),580.3,"")</f>
        <v>580.29999999999995</v>
      </c>
      <c r="N13" s="10">
        <f>IF($F$6=TRUE(),654.7,"")</f>
        <v>654.70000000000005</v>
      </c>
      <c r="O13" s="10">
        <f>IF($F$6=TRUE(),667.9,"")</f>
        <v>667.9</v>
      </c>
      <c r="P13" s="10">
        <f>IF($F$6=TRUE(),675.5,"")</f>
        <v>675.5</v>
      </c>
      <c r="Q13" s="10">
        <f>IF($F$6=TRUE(),682.7,"")</f>
        <v>682.7</v>
      </c>
      <c r="R13" s="10">
        <f>IF($F$6=TRUE(),736,"")</f>
        <v>736</v>
      </c>
      <c r="S13" s="10">
        <f>IF($F$6=TRUE(),741.2,"")</f>
        <v>741.2</v>
      </c>
      <c r="T13" s="10">
        <f>IF($F$6=TRUE(),744.5,"")</f>
        <v>744.5</v>
      </c>
      <c r="U13" s="10">
        <f>IF($F$6=TRUE(),746.9,"")</f>
        <v>746.9</v>
      </c>
      <c r="V13" s="10">
        <f>IF($F$6=TRUE(),792.7,"")</f>
        <v>792.7</v>
      </c>
      <c r="W13" s="10">
        <f>IF($F$6=TRUE(),800.4,"")</f>
        <v>800.4</v>
      </c>
      <c r="X13" s="10">
        <f>IF($F$6=TRUE(),807.9,"")</f>
        <v>807.9</v>
      </c>
      <c r="Y13" s="10">
        <f>IF($F$6=TRUE(),815.2,"")</f>
        <v>815.2</v>
      </c>
      <c r="Z13" s="10">
        <f>IF($F$6=TRUE(),874.9,"")</f>
        <v>874.9</v>
      </c>
      <c r="AA13" s="10">
        <f>IF($F$6=TRUE(),878,"")</f>
        <v>878</v>
      </c>
      <c r="AB13" s="10">
        <f>IF($F$6=TRUE(),897.8,"")</f>
        <v>897.8</v>
      </c>
      <c r="AC13" s="10">
        <f>IF($F$6=TRUE(),906.7,"")</f>
        <v>906.7</v>
      </c>
      <c r="AD13" s="10">
        <f>IF($F$6=TRUE(),1021.7,"")</f>
        <v>1021.7</v>
      </c>
      <c r="AE13" s="10">
        <f>IF($F$6=TRUE(),1114.3,"")</f>
        <v>1114.3</v>
      </c>
      <c r="AF13" s="10">
        <f>IF($F$6=TRUE(),1157.4,"")</f>
        <v>1157.4000000000001</v>
      </c>
      <c r="AG13" s="10">
        <f>IF($F$6=TRUE(),1193.5,"")</f>
        <v>1193.5</v>
      </c>
      <c r="AH13" s="10">
        <f>IF($F$6=TRUE(),1211,"")</f>
        <v>1211</v>
      </c>
      <c r="AI13" s="10">
        <f>IF($F$6=TRUE(),1264.7,"")</f>
        <v>1264.7</v>
      </c>
      <c r="AJ13" s="10">
        <f>IF($F$6=TRUE(),1491.8,"")</f>
        <v>1491.8</v>
      </c>
      <c r="AK13" s="10">
        <f>IF($F$6=TRUE(),1576,"")</f>
        <v>1576</v>
      </c>
      <c r="AL13" s="10">
        <f>IF($F$6=TRUE(),1650.5,"")</f>
        <v>1650.5</v>
      </c>
      <c r="AM13" s="10">
        <f>IF($F$6=TRUE(),1726.9,"")</f>
        <v>1726.9</v>
      </c>
      <c r="AN13" s="10">
        <f>IF($F$6=TRUE(),2082.9,"")</f>
        <v>2082.9</v>
      </c>
      <c r="AO13" s="10">
        <f>IF($F$6=TRUE(),2382.7,"")</f>
        <v>2382.6999999999998</v>
      </c>
      <c r="AP13" s="10">
        <f>IF($F$6=TRUE(),2453.1,"")</f>
        <v>2453.1</v>
      </c>
      <c r="AQ13" s="10">
        <f>IF($F$6=TRUE(),2599.5,"")</f>
        <v>2599.5</v>
      </c>
      <c r="AR13" s="10">
        <f>IF($F$6=TRUE(),2865.2,"")</f>
        <v>2865.2</v>
      </c>
      <c r="AS13" s="10">
        <f>IF($F$6=TRUE(),3027.7,"")</f>
        <v>3027.7</v>
      </c>
      <c r="AT13" s="10">
        <f>IF($F$6=TRUE(),3915.5,"")</f>
        <v>3915.5</v>
      </c>
      <c r="AU13" s="10">
        <f>IF($F$6=TRUE(),4204.3,"")</f>
        <v>4204.3</v>
      </c>
      <c r="AV13" s="10">
        <f>IF($F$6=TRUE(),4236.4,"")</f>
        <v>4236.3999999999996</v>
      </c>
      <c r="AW13" s="10">
        <f>IF($F$6=TRUE(),4347.8,"")</f>
        <v>4347.8</v>
      </c>
      <c r="AX13" s="10">
        <f>IF($F$6=TRUE(),5440,"")</f>
        <v>5440</v>
      </c>
      <c r="AY13" s="10">
        <f>IF($F$6=TRUE(),5590.5,"")</f>
        <v>5590.5</v>
      </c>
      <c r="AZ13" s="10">
        <f>IF($F$6=TRUE(),6011.2,"")</f>
        <v>6011.2</v>
      </c>
      <c r="BA13" s="10">
        <f>IF($F$6=TRUE(),6345.2,"")</f>
        <v>6345.2</v>
      </c>
      <c r="BB13" s="10">
        <f>IF($F$6=TRUE(),6348.9,"")</f>
        <v>6348.9</v>
      </c>
      <c r="BC13" s="10">
        <f>IF($F$6=TRUE(),6366.4,"")</f>
        <v>6366.4</v>
      </c>
      <c r="BD13" s="10">
        <f>IF($F$6=TRUE(),7682.2,"")</f>
        <v>7682.2</v>
      </c>
      <c r="BE13" s="10">
        <f>IF($F$6=TRUE(),8023.7,"")</f>
        <v>8023.7</v>
      </c>
      <c r="BF13" s="10">
        <f>IF($F$6=TRUE(),8172.7,"")</f>
        <v>8172.7</v>
      </c>
      <c r="BG13" s="10">
        <f>IF($F$6=TRUE(),8415.5,"")</f>
        <v>8415.5</v>
      </c>
      <c r="BH13" s="10">
        <f>IF($F$6=TRUE(),10213.7,"")</f>
        <v>10213.700000000001</v>
      </c>
      <c r="BI13" s="10">
        <f>IF($F$6=TRUE(),10693.5,"")</f>
        <v>10693.5</v>
      </c>
      <c r="BJ13" s="10">
        <f>IF($F$6=TRUE(),10732,"")</f>
        <v>10732</v>
      </c>
      <c r="BK13" s="10">
        <f>IF($F$6=TRUE(),11370.9,"")</f>
        <v>11370.9</v>
      </c>
      <c r="BL13" s="10">
        <f>IF($F$6=TRUE(),11532.2,"")</f>
        <v>11532.2</v>
      </c>
      <c r="BM13" s="10">
        <f>IF($F$6=TRUE(),11707.7,"")</f>
        <v>11707.7</v>
      </c>
      <c r="BN13" s="11"/>
      <c r="BO13" s="11"/>
    </row>
    <row r="14" spans="1:67" ht="15" customHeight="1">
      <c r="A14" s="12" t="s">
        <v>172</v>
      </c>
      <c r="B14" s="13" t="str">
        <f>IF($G$6=TRUE(),334.7,"")</f>
        <v/>
      </c>
      <c r="C14" s="13" t="str">
        <f>IF($G$6=TRUE(),345.3,"")</f>
        <v/>
      </c>
      <c r="D14" s="13" t="str">
        <f>IF($G$6=TRUE(),356.1,"")</f>
        <v/>
      </c>
      <c r="E14" s="13" t="str">
        <f>IF($G$6=TRUE(),366.2,"")</f>
        <v/>
      </c>
      <c r="F14" s="13" t="str">
        <f>IF($G$6=TRUE(),404.1,"")</f>
        <v/>
      </c>
      <c r="G14" s="13" t="str">
        <f>IF($G$6=TRUE(),425,"")</f>
        <v/>
      </c>
      <c r="H14" s="13" t="str">
        <f>IF($G$6=TRUE(),458.4,"")</f>
        <v/>
      </c>
      <c r="I14" s="13" t="str">
        <f>IF($G$6=TRUE(),472.9,"")</f>
        <v/>
      </c>
      <c r="J14" s="13" t="str">
        <f>IF($G$6=TRUE(),528.4,"")</f>
        <v/>
      </c>
      <c r="K14" s="13" t="str">
        <f>IF($G$6=TRUE(),539.1,"")</f>
        <v/>
      </c>
      <c r="L14" s="13" t="str">
        <f>IF($G$6=TRUE(),542.8,"")</f>
        <v/>
      </c>
      <c r="M14" s="13" t="str">
        <f>IF($G$6=TRUE(),553.3,"")</f>
        <v/>
      </c>
      <c r="N14" s="13" t="str">
        <f>IF($G$6=TRUE(),621.9,"")</f>
        <v/>
      </c>
      <c r="O14" s="13" t="str">
        <f>IF($G$6=TRUE(),634.1,"")</f>
        <v/>
      </c>
      <c r="P14" s="13" t="str">
        <f>IF($G$6=TRUE(),640.2,"")</f>
        <v/>
      </c>
      <c r="Q14" s="13" t="str">
        <f>IF($G$6=TRUE(),647.4,"")</f>
        <v/>
      </c>
      <c r="R14" s="13" t="str">
        <f>IF($G$6=TRUE(),698.5,"")</f>
        <v/>
      </c>
      <c r="S14" s="13" t="str">
        <f>IF($G$6=TRUE(),703.1,"")</f>
        <v/>
      </c>
      <c r="T14" s="13" t="str">
        <f>IF($G$6=TRUE(),705.7,"")</f>
        <v/>
      </c>
      <c r="U14" s="13" t="str">
        <f>IF($G$6=TRUE(),707,"")</f>
        <v/>
      </c>
      <c r="V14" s="13" t="str">
        <f>IF($G$6=TRUE(),750.1,"")</f>
        <v/>
      </c>
      <c r="W14" s="13" t="str">
        <f>IF($G$6=TRUE(),757.2,"")</f>
        <v/>
      </c>
      <c r="X14" s="13" t="str">
        <f>IF($G$6=TRUE(),764.3,"")</f>
        <v/>
      </c>
      <c r="Y14" s="13" t="str">
        <f>IF($G$6=TRUE(),771.3,"")</f>
        <v/>
      </c>
      <c r="Z14" s="13" t="str">
        <f>IF($G$6=TRUE(),826.8,"")</f>
        <v/>
      </c>
      <c r="AA14" s="13" t="str">
        <f>IF($G$6=TRUE(),828.4,"")</f>
        <v/>
      </c>
      <c r="AB14" s="13" t="str">
        <f>IF($G$6=TRUE(),846.9,"")</f>
        <v/>
      </c>
      <c r="AC14" s="13" t="str">
        <f>IF($G$6=TRUE(),854.6,"")</f>
        <v/>
      </c>
      <c r="AD14" s="13" t="str">
        <f>IF($G$6=TRUE(),963.1,"")</f>
        <v/>
      </c>
      <c r="AE14" s="13" t="str">
        <f>IF($G$6=TRUE(),1056.3,"")</f>
        <v/>
      </c>
      <c r="AF14" s="13" t="str">
        <f>IF($G$6=TRUE(),1097.3,"")</f>
        <v/>
      </c>
      <c r="AG14" s="13" t="str">
        <f>IF($G$6=TRUE(),1134.9,"")</f>
        <v/>
      </c>
      <c r="AH14" s="13" t="str">
        <f>IF($G$6=TRUE(),1153.7,"")</f>
        <v/>
      </c>
      <c r="AI14" s="13" t="str">
        <f>IF($G$6=TRUE(),1208.4,"")</f>
        <v/>
      </c>
      <c r="AJ14" s="13" t="str">
        <f>IF($G$6=TRUE(),1427.1,"")</f>
        <v/>
      </c>
      <c r="AK14" s="13" t="str">
        <f>IF($G$6=TRUE(),1511.7,"")</f>
        <v/>
      </c>
      <c r="AL14" s="13" t="str">
        <f>IF($G$6=TRUE(),1577,"")</f>
        <v/>
      </c>
      <c r="AM14" s="13" t="str">
        <f>IF($G$6=TRUE(),1653.1,"")</f>
        <v/>
      </c>
      <c r="AN14" s="13" t="str">
        <f>IF($G$6=TRUE(),1982.1,"")</f>
        <v/>
      </c>
      <c r="AO14" s="13" t="str">
        <f>IF($G$6=TRUE(),2264.7,"")</f>
        <v/>
      </c>
      <c r="AP14" s="13" t="str">
        <f>IF($G$6=TRUE(),2335.8,"")</f>
        <v/>
      </c>
      <c r="AQ14" s="13" t="str">
        <f>IF($G$6=TRUE(),2487.9,"")</f>
        <v/>
      </c>
      <c r="AR14" s="13" t="str">
        <f>IF($G$6=TRUE(),2740.8,"")</f>
        <v/>
      </c>
      <c r="AS14" s="13" t="str">
        <f>IF($G$6=TRUE(),2888,"")</f>
        <v/>
      </c>
      <c r="AT14" s="13" t="str">
        <f>IF($G$6=TRUE(),3745.7,"")</f>
        <v/>
      </c>
      <c r="AU14" s="13" t="str">
        <f>IF($G$6=TRUE(),4020.1,"")</f>
        <v/>
      </c>
      <c r="AV14" s="13" t="str">
        <f>IF($G$6=TRUE(),4066.3,"")</f>
        <v/>
      </c>
      <c r="AW14" s="13" t="str">
        <f>IF($G$6=TRUE(),4173.2,"")</f>
        <v/>
      </c>
      <c r="AX14" s="13" t="str">
        <f>IF($G$6=TRUE(),5237.4,"")</f>
        <v/>
      </c>
      <c r="AY14" s="13" t="str">
        <f>IF($G$6=TRUE(),5383.4,"")</f>
        <v/>
      </c>
      <c r="AZ14" s="13" t="str">
        <f>IF($G$6=TRUE(),5759,"")</f>
        <v/>
      </c>
      <c r="BA14" s="13" t="str">
        <f>IF($G$6=TRUE(),6088.7,"")</f>
        <v/>
      </c>
      <c r="BB14" s="13" t="str">
        <f>IF($G$6=TRUE(),6088.7,"")</f>
        <v/>
      </c>
      <c r="BC14" s="13" t="str">
        <f>IF($G$6=TRUE(),6088.7,"")</f>
        <v/>
      </c>
      <c r="BD14" s="13" t="str">
        <f>IF($G$6=TRUE(),7373.4,"")</f>
        <v/>
      </c>
      <c r="BE14" s="13" t="str">
        <f>IF($G$6=TRUE(),7708.3,"")</f>
        <v/>
      </c>
      <c r="BF14" s="13" t="str">
        <f>IF($G$6=TRUE(),7830.1,"")</f>
        <v/>
      </c>
      <c r="BG14" s="13" t="str">
        <f>IF($G$6=TRUE(),8067.5,"")</f>
        <v/>
      </c>
      <c r="BH14" s="13" t="str">
        <f>IF($G$6=TRUE(),9785.9,"")</f>
        <v/>
      </c>
      <c r="BI14" s="13" t="str">
        <f>IF($G$6=TRUE(),10213,"")</f>
        <v/>
      </c>
      <c r="BJ14" s="13" t="str">
        <f>IF($G$6=TRUE(),10286.1,"")</f>
        <v/>
      </c>
      <c r="BK14" s="13" t="str">
        <f>IF($G$6=TRUE(),10931.5,"")</f>
        <v/>
      </c>
      <c r="BL14" s="13" t="str">
        <f>IF($G$6=TRUE(),11068.6,"")</f>
        <v/>
      </c>
      <c r="BM14" s="13" t="str">
        <f>IF($G$6=TRUE(),11230,"")</f>
        <v/>
      </c>
      <c r="BN14" s="14"/>
      <c r="BO14" s="14"/>
    </row>
    <row r="15" spans="1:67" ht="15" customHeight="1">
      <c r="A15" s="9" t="s">
        <v>353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</row>
    <row r="16" spans="1:67" ht="15" customHeight="1">
      <c r="A16" s="12" t="s">
        <v>173</v>
      </c>
      <c r="B16" s="13" t="str">
        <f>IF($I$6=TRUE(),335.6,"")</f>
        <v/>
      </c>
      <c r="C16" s="13" t="str">
        <f>IF($I$6=TRUE(),346.9,"")</f>
        <v/>
      </c>
      <c r="D16" s="13" t="str">
        <f>IF($I$6=TRUE(),358.1,"")</f>
        <v/>
      </c>
      <c r="E16" s="13" t="str">
        <f>IF($I$6=TRUE(),368.8,"")</f>
        <v/>
      </c>
      <c r="F16" s="13" t="str">
        <f>IF($I$6=TRUE(),406.9,"")</f>
        <v/>
      </c>
      <c r="G16" s="13" t="str">
        <f>IF($I$6=TRUE(),428,"")</f>
        <v/>
      </c>
      <c r="H16" s="13" t="str">
        <f>IF($I$6=TRUE(),462.5,"")</f>
        <v/>
      </c>
      <c r="I16" s="13" t="str">
        <f>IF($I$6=TRUE(),477.8,"")</f>
        <v/>
      </c>
      <c r="J16" s="13" t="str">
        <f>IF($I$6=TRUE(),533.1,"")</f>
        <v/>
      </c>
      <c r="K16" s="13" t="str">
        <f>IF($I$6=TRUE(),544.2,"")</f>
        <v/>
      </c>
      <c r="L16" s="13" t="str">
        <f>IF($I$6=TRUE(),555,"")</f>
        <v/>
      </c>
      <c r="M16" s="13" t="str">
        <f>IF($I$6=TRUE(),565.7,"")</f>
        <v/>
      </c>
      <c r="N16" s="13" t="str">
        <f>IF($I$6=TRUE(),648.2,"")</f>
        <v/>
      </c>
      <c r="O16" s="13" t="str">
        <f>IF($I$6=TRUE(),660.3,"")</f>
        <v/>
      </c>
      <c r="P16" s="13" t="str">
        <f>IF($I$6=TRUE(),668.6,"")</f>
        <v/>
      </c>
      <c r="Q16" s="13" t="str">
        <f>IF($I$6=TRUE(),677.2,"")</f>
        <v/>
      </c>
      <c r="R16" s="13" t="str">
        <f>IF($I$6=TRUE(),737.9,"")</f>
        <v/>
      </c>
      <c r="S16" s="13" t="str">
        <f>IF($I$6=TRUE(),743.4,"")</f>
        <v/>
      </c>
      <c r="T16" s="13" t="str">
        <f>IF($I$6=TRUE(),747.4,"")</f>
        <v/>
      </c>
      <c r="U16" s="13" t="str">
        <f>IF($I$6=TRUE(),751.2,"")</f>
        <v/>
      </c>
      <c r="V16" s="13" t="str">
        <f>IF($I$6=TRUE(),802.9,"")</f>
        <v/>
      </c>
      <c r="W16" s="13" t="str">
        <f>IF($I$6=TRUE(),810.4,"")</f>
        <v/>
      </c>
      <c r="X16" s="13" t="str">
        <f>IF($I$6=TRUE(),817.9,"")</f>
        <v/>
      </c>
      <c r="Y16" s="13" t="str">
        <f>IF($I$6=TRUE(),825.5,"")</f>
        <v/>
      </c>
      <c r="Z16" s="13" t="str">
        <f>IF($I$6=TRUE(),893.2,"")</f>
        <v/>
      </c>
      <c r="AA16" s="13" t="str">
        <f>IF($I$6=TRUE(),895.3,"")</f>
        <v/>
      </c>
      <c r="AB16" s="13" t="str">
        <f>IF($I$6=TRUE(),914,"")</f>
        <v/>
      </c>
      <c r="AC16" s="13" t="str">
        <f>IF($I$6=TRUE(),922.7,"")</f>
        <v/>
      </c>
      <c r="AD16" s="13" t="str">
        <f>IF($I$6=TRUE(),1048.7,"")</f>
        <v/>
      </c>
      <c r="AE16" s="13" t="str">
        <f>IF($I$6=TRUE(),1122.5,"")</f>
        <v/>
      </c>
      <c r="AF16" s="13" t="str">
        <f>IF($I$6=TRUE(),1150.7,"")</f>
        <v/>
      </c>
      <c r="AG16" s="13" t="str">
        <f>IF($I$6=TRUE(),1175.7,"")</f>
        <v/>
      </c>
      <c r="AH16" s="13" t="str">
        <f>IF($I$6=TRUE(),1193.1,"")</f>
        <v/>
      </c>
      <c r="AI16" s="13" t="str">
        <f>IF($I$6=TRUE(),1237.9,"")</f>
        <v/>
      </c>
      <c r="AJ16" s="13" t="str">
        <f>IF($I$6=TRUE(),1486.2,"")</f>
        <v/>
      </c>
      <c r="AK16" s="13" t="str">
        <f>IF($I$6=TRUE(),1562.9,"")</f>
        <v/>
      </c>
      <c r="AL16" s="13" t="str">
        <f>IF($I$6=TRUE(),1616.8,"")</f>
        <v/>
      </c>
      <c r="AM16" s="13" t="str">
        <f>IF($I$6=TRUE(),1680,"")</f>
        <v/>
      </c>
      <c r="AN16" s="13" t="str">
        <f>IF($I$6=TRUE(),2047.7,"")</f>
        <v/>
      </c>
      <c r="AO16" s="13" t="str">
        <f>IF($I$6=TRUE(),2301.9,"")</f>
        <v/>
      </c>
      <c r="AP16" s="13" t="str">
        <f>IF($I$6=TRUE(),2349.4,"")</f>
        <v/>
      </c>
      <c r="AQ16" s="13" t="str">
        <f>IF($I$6=TRUE(),2447.2,"")</f>
        <v/>
      </c>
      <c r="AR16" s="13" t="str">
        <f>IF($I$6=TRUE(),2696,"")</f>
        <v/>
      </c>
      <c r="AS16" s="13" t="str">
        <f>IF($I$6=TRUE(),2843.5,"")</f>
        <v/>
      </c>
      <c r="AT16" s="13" t="str">
        <f>IF($I$6=TRUE(),3707.9,"")</f>
        <v/>
      </c>
      <c r="AU16" s="13" t="str">
        <f>IF($I$6=TRUE(),3931.7,"")</f>
        <v/>
      </c>
      <c r="AV16" s="13" t="str">
        <f>IF($I$6=TRUE(),3951.7,"")</f>
        <v/>
      </c>
      <c r="AW16" s="13" t="str">
        <f>IF($I$6=TRUE(),4023.5,"")</f>
        <v/>
      </c>
      <c r="AX16" s="13" t="str">
        <f>IF($I$6=TRUE(),5059.7,"")</f>
        <v/>
      </c>
      <c r="AY16" s="13" t="str">
        <f>IF($I$6=TRUE(),5176.7,"")</f>
        <v/>
      </c>
      <c r="AZ16" s="13" t="str">
        <f>IF($I$6=TRUE(),5615.9,"")</f>
        <v/>
      </c>
      <c r="BA16" s="13" t="str">
        <f>IF($I$6=TRUE(),5894.4,"")</f>
        <v/>
      </c>
      <c r="BB16" s="13" t="str">
        <f>IF($I$6=TRUE(),5896.3,"")</f>
        <v/>
      </c>
      <c r="BC16" s="13" t="str">
        <f>IF($I$6=TRUE(),5907.2,"")</f>
        <v/>
      </c>
      <c r="BD16" s="13" t="str">
        <f>IF($I$6=TRUE(),7187.6,"")</f>
        <v/>
      </c>
      <c r="BE16" s="13" t="str">
        <f>IF($I$6=TRUE(),7467.8,"")</f>
        <v/>
      </c>
      <c r="BF16" s="13" t="str">
        <f>IF($I$6=TRUE(),7604.7,"")</f>
        <v/>
      </c>
      <c r="BG16" s="13" t="str">
        <f>IF($I$6=TRUE(),7819,"")</f>
        <v/>
      </c>
      <c r="BH16" s="13" t="str">
        <f>IF($I$6=TRUE(),9594.7,"")</f>
        <v/>
      </c>
      <c r="BI16" s="13" t="str">
        <f>IF($I$6=TRUE(),10007.3,"")</f>
        <v/>
      </c>
      <c r="BJ16" s="13" t="str">
        <f>IF($I$6=TRUE(),10031,"")</f>
        <v/>
      </c>
      <c r="BK16" s="13" t="str">
        <f>IF($I$6=TRUE(),10580.9,"")</f>
        <v/>
      </c>
      <c r="BL16" s="13" t="str">
        <f>IF($I$6=TRUE(),10706.4,"")</f>
        <v/>
      </c>
      <c r="BM16" s="13" t="str">
        <f>IF($I$6=TRUE(),10850.9,"")</f>
        <v/>
      </c>
      <c r="BN16" s="14"/>
      <c r="BO16" s="14"/>
    </row>
    <row r="17" spans="1:67" ht="15" customHeight="1">
      <c r="A17" s="9" t="s">
        <v>174</v>
      </c>
      <c r="B17" s="10" t="str">
        <f>IF($J$6=TRUE(),287.6,"")</f>
        <v/>
      </c>
      <c r="C17" s="10" t="str">
        <f>IF($J$6=TRUE(),295.9,"")</f>
        <v/>
      </c>
      <c r="D17" s="10" t="str">
        <f>IF($J$6=TRUE(),303.2,"")</f>
        <v/>
      </c>
      <c r="E17" s="10" t="str">
        <f>IF($J$6=TRUE(),325,"")</f>
        <v/>
      </c>
      <c r="F17" s="10" t="str">
        <f>IF($J$6=TRUE(),346.6,"")</f>
        <v/>
      </c>
      <c r="G17" s="10" t="str">
        <f>IF($J$6=TRUE(),370.2,"")</f>
        <v/>
      </c>
      <c r="H17" s="10" t="str">
        <f>IF($J$6=TRUE(),389.6,"")</f>
        <v/>
      </c>
      <c r="I17" s="10" t="str">
        <f>IF($J$6=TRUE(),409.6,"")</f>
        <v/>
      </c>
      <c r="J17" s="10" t="str">
        <f>IF($J$6=TRUE(),446.7,"")</f>
        <v/>
      </c>
      <c r="K17" s="10" t="str">
        <f>IF($J$6=TRUE(),454.4,"")</f>
        <v/>
      </c>
      <c r="L17" s="10" t="str">
        <f>IF($J$6=TRUE(),453.3,"")</f>
        <v/>
      </c>
      <c r="M17" s="10" t="str">
        <f>IF($J$6=TRUE(),456.9,"")</f>
        <v/>
      </c>
      <c r="N17" s="10" t="str">
        <f>IF($J$6=TRUE(),500.5,"")</f>
        <v/>
      </c>
      <c r="O17" s="10" t="str">
        <f>IF($J$6=TRUE(),520.5,"")</f>
        <v/>
      </c>
      <c r="P17" s="10" t="str">
        <f>IF($J$6=TRUE(),518.7,"")</f>
        <v/>
      </c>
      <c r="Q17" s="10" t="str">
        <f>IF($J$6=TRUE(),515.6,"")</f>
        <v/>
      </c>
      <c r="R17" s="10" t="str">
        <f>IF($J$6=TRUE(),536.3,"")</f>
        <v/>
      </c>
      <c r="S17" s="10" t="str">
        <f>IF($J$6=TRUE(),538,"")</f>
        <v/>
      </c>
      <c r="T17" s="10" t="str">
        <f>IF($J$6=TRUE(),538.6,"")</f>
        <v/>
      </c>
      <c r="U17" s="10" t="str">
        <f>IF($J$6=TRUE(),531.6,"")</f>
        <v/>
      </c>
      <c r="V17" s="10" t="str">
        <f>IF($J$6=TRUE(),557.6,"")</f>
        <v/>
      </c>
      <c r="W17" s="10" t="str">
        <f>IF($J$6=TRUE(),564.3,"")</f>
        <v/>
      </c>
      <c r="X17" s="10" t="str">
        <f>IF($J$6=TRUE(),585.6,"")</f>
        <v/>
      </c>
      <c r="Y17" s="10" t="str">
        <f>IF($J$6=TRUE(),594.9,"")</f>
        <v/>
      </c>
      <c r="Z17" s="10" t="str">
        <f>IF($J$6=TRUE(),641,"")</f>
        <v/>
      </c>
      <c r="AA17" s="10" t="str">
        <f>IF($J$6=TRUE(),645.2,"")</f>
        <v/>
      </c>
      <c r="AB17" s="10" t="str">
        <f>IF($J$6=TRUE(),656.6,"")</f>
        <v/>
      </c>
      <c r="AC17" s="10" t="str">
        <f>IF($J$6=TRUE(),674.7,"")</f>
        <v/>
      </c>
      <c r="AD17" s="10" t="str">
        <f>IF($J$6=TRUE(),763.7,"")</f>
        <v/>
      </c>
      <c r="AE17" s="10" t="str">
        <f>IF($J$6=TRUE(),843,"")</f>
        <v/>
      </c>
      <c r="AF17" s="10" t="str">
        <f>IF($J$6=TRUE(),907,"")</f>
        <v/>
      </c>
      <c r="AG17" s="10" t="str">
        <f>IF($J$6=TRUE(),974.5,"")</f>
        <v/>
      </c>
      <c r="AH17" s="10" t="str">
        <f>IF($J$6=TRUE(),983.1,"")</f>
        <v/>
      </c>
      <c r="AI17" s="10" t="str">
        <f>IF($J$6=TRUE(),978.3,"")</f>
        <v/>
      </c>
      <c r="AJ17" s="10" t="str">
        <f>IF($J$6=TRUE(),1103.3,"")</f>
        <v/>
      </c>
      <c r="AK17" s="10" t="str">
        <f>IF($J$6=TRUE(),1152,"")</f>
        <v/>
      </c>
      <c r="AL17" s="10" t="str">
        <f>IF($J$6=TRUE(),1171.4,"")</f>
        <v/>
      </c>
      <c r="AM17" s="10" t="str">
        <f>IF($J$6=TRUE(),1214.6,"")</f>
        <v/>
      </c>
      <c r="AN17" s="10" t="str">
        <f>IF($J$6=TRUE(),1448.9,"")</f>
        <v/>
      </c>
      <c r="AO17" s="10" t="str">
        <f>IF($J$6=TRUE(),1710.7,"")</f>
        <v/>
      </c>
      <c r="AP17" s="10" t="str">
        <f>IF($J$6=TRUE(),1745.9,"")</f>
        <v/>
      </c>
      <c r="AQ17" s="10" t="str">
        <f>IF($J$6=TRUE(),1835.2,"")</f>
        <v/>
      </c>
      <c r="AR17" s="10" t="str">
        <f>IF($J$6=TRUE(),2084.8,"")</f>
        <v/>
      </c>
      <c r="AS17" s="10" t="str">
        <f>IF($J$6=TRUE(),2238.4,"")</f>
        <v/>
      </c>
      <c r="AT17" s="10" t="str">
        <f>IF($J$6=TRUE(),2781.4,"")</f>
        <v/>
      </c>
      <c r="AU17" s="10" t="str">
        <f>IF($J$6=TRUE(),3154.5,"")</f>
        <v/>
      </c>
      <c r="AV17" s="10" t="str">
        <f>IF($J$6=TRUE(),3354.9,"")</f>
        <v/>
      </c>
      <c r="AW17" s="10" t="str">
        <f>IF($J$6=TRUE(),3444.7,"")</f>
        <v/>
      </c>
      <c r="AX17" s="10" t="str">
        <f>IF($J$6=TRUE(),4137.7,"")</f>
        <v/>
      </c>
      <c r="AY17" s="10" t="str">
        <f>IF($J$6=TRUE(),4236.2,"")</f>
        <v/>
      </c>
      <c r="AZ17" s="10" t="str">
        <f>IF($J$6=TRUE(),4458.4,"")</f>
        <v/>
      </c>
      <c r="BA17" s="10" t="str">
        <f>IF($J$6=TRUE(),4763.4,"")</f>
        <v/>
      </c>
      <c r="BB17" s="10" t="str">
        <f>IF($J$6=TRUE(),4817.7,"")</f>
        <v/>
      </c>
      <c r="BC17" s="10" t="str">
        <f>IF($J$6=TRUE(),5071.1,"")</f>
        <v/>
      </c>
      <c r="BD17" s="10" t="str">
        <f>IF($J$6=TRUE(),5604.1,"")</f>
        <v/>
      </c>
      <c r="BE17" s="10" t="str">
        <f>IF($J$6=TRUE(),5786.6,"")</f>
        <v/>
      </c>
      <c r="BF17" s="10" t="str">
        <f>IF($J$6=TRUE(),5941,"")</f>
        <v/>
      </c>
      <c r="BG17" s="10" t="str">
        <f>IF($J$6=TRUE(),5988.6,"")</f>
        <v/>
      </c>
      <c r="BH17" s="10" t="str">
        <f>IF($J$6=TRUE(),6988.3,"")</f>
        <v/>
      </c>
      <c r="BI17" s="10" t="str">
        <f>IF($J$6=TRUE(),7487.6,"")</f>
        <v/>
      </c>
      <c r="BJ17" s="10" t="str">
        <f>IF($J$6=TRUE(),7681.1,"")</f>
        <v/>
      </c>
      <c r="BK17" s="10" t="str">
        <f>IF($J$6=TRUE(),8193,"")</f>
        <v/>
      </c>
      <c r="BL17" s="10" t="str">
        <f>IF($J$6=TRUE(),8543.8,"")</f>
        <v/>
      </c>
      <c r="BM17" s="10" t="str">
        <f>IF($J$6=TRUE(),8924.3,"")</f>
        <v/>
      </c>
      <c r="BN17" s="11"/>
      <c r="BO17" s="11"/>
    </row>
    <row r="18" spans="1:67" ht="15" customHeight="1">
      <c r="A18" s="12" t="s">
        <v>175</v>
      </c>
      <c r="B18" s="13" t="str">
        <f>IF($K$6=TRUE(),307.1,"")</f>
        <v/>
      </c>
      <c r="C18" s="13" t="str">
        <f>IF($K$6=TRUE(),320.7,"")</f>
        <v/>
      </c>
      <c r="D18" s="13" t="str">
        <f>IF($K$6=TRUE(),336.4,"")</f>
        <v/>
      </c>
      <c r="E18" s="13" t="str">
        <f>IF($K$6=TRUE(),350.1,"")</f>
        <v/>
      </c>
      <c r="F18" s="13" t="str">
        <f>IF($K$6=TRUE(),378.6,"")</f>
        <v/>
      </c>
      <c r="G18" s="13" t="str">
        <f>IF($K$6=TRUE(),399.7,"")</f>
        <v/>
      </c>
      <c r="H18" s="13" t="str">
        <f>IF($K$6=TRUE(),445.3,"")</f>
        <v/>
      </c>
      <c r="I18" s="13" t="str">
        <f>IF($K$6=TRUE(),464.4,"")</f>
        <v/>
      </c>
      <c r="J18" s="13" t="str">
        <f>IF($K$6=TRUE(),508.6,"")</f>
        <v/>
      </c>
      <c r="K18" s="13" t="str">
        <f>IF($K$6=TRUE(),522.9,"")</f>
        <v/>
      </c>
      <c r="L18" s="13" t="str">
        <f>IF($K$6=TRUE(),533.3,"")</f>
        <v/>
      </c>
      <c r="M18" s="13" t="str">
        <f>IF($K$6=TRUE(),542.4,"")</f>
        <v/>
      </c>
      <c r="N18" s="13" t="str">
        <f>IF($K$6=TRUE(),597.8,"")</f>
        <v/>
      </c>
      <c r="O18" s="13" t="str">
        <f>IF($K$6=TRUE(),614.5,"")</f>
        <v/>
      </c>
      <c r="P18" s="13" t="str">
        <f>IF($K$6=TRUE(),616.1,"")</f>
        <v/>
      </c>
      <c r="Q18" s="13" t="str">
        <f>IF($K$6=TRUE(),621.8,"")</f>
        <v/>
      </c>
      <c r="R18" s="13" t="str">
        <f>IF($K$6=TRUE(),663.1,"")</f>
        <v/>
      </c>
      <c r="S18" s="13" t="str">
        <f>IF($K$6=TRUE(),666.7,"")</f>
        <v/>
      </c>
      <c r="T18" s="13" t="str">
        <f>IF($K$6=TRUE(),666.3,"")</f>
        <v/>
      </c>
      <c r="U18" s="13" t="str">
        <f>IF($K$6=TRUE(),667.6,"")</f>
        <v/>
      </c>
      <c r="V18" s="13" t="str">
        <f>IF($K$6=TRUE(),702.5,"")</f>
        <v/>
      </c>
      <c r="W18" s="13" t="str">
        <f>IF($K$6=TRUE(),709.6,"")</f>
        <v/>
      </c>
      <c r="X18" s="13" t="str">
        <f>IF($K$6=TRUE(),719.1,"")</f>
        <v/>
      </c>
      <c r="Y18" s="13" t="str">
        <f>IF($K$6=TRUE(),726,"")</f>
        <v/>
      </c>
      <c r="Z18" s="13" t="str">
        <f>IF($K$6=TRUE(),773.7,"")</f>
        <v/>
      </c>
      <c r="AA18" s="13" t="str">
        <f>IF($K$6=TRUE(),775,"")</f>
        <v/>
      </c>
      <c r="AB18" s="13" t="str">
        <f>IF($K$6=TRUE(),793.8,"")</f>
        <v/>
      </c>
      <c r="AC18" s="13" t="str">
        <f>IF($K$6=TRUE(),800.8,"")</f>
        <v/>
      </c>
      <c r="AD18" s="13" t="str">
        <f>IF($K$6=TRUE(),895.6,"")</f>
        <v/>
      </c>
      <c r="AE18" s="13" t="str">
        <f>IF($K$6=TRUE(),985,"")</f>
        <v/>
      </c>
      <c r="AF18" s="13" t="str">
        <f>IF($K$6=TRUE(),1029.7,"")</f>
        <v/>
      </c>
      <c r="AG18" s="13" t="str">
        <f>IF($K$6=TRUE(),1066.3,"")</f>
        <v/>
      </c>
      <c r="AH18" s="13" t="str">
        <f>IF($K$6=TRUE(),1076.6,"")</f>
        <v/>
      </c>
      <c r="AI18" s="13" t="str">
        <f>IF($K$6=TRUE(),1120.8,"")</f>
        <v/>
      </c>
      <c r="AJ18" s="13" t="str">
        <f>IF($K$6=TRUE(),1299.4,"")</f>
        <v/>
      </c>
      <c r="AK18" s="13" t="str">
        <f>IF($K$6=TRUE(),1392.9,"")</f>
        <v/>
      </c>
      <c r="AL18" s="13" t="str">
        <f>IF($K$6=TRUE(),1462,"")</f>
        <v/>
      </c>
      <c r="AM18" s="13" t="str">
        <f>IF($K$6=TRUE(),1534.4,"")</f>
        <v/>
      </c>
      <c r="AN18" s="13" t="str">
        <f>IF($K$6=TRUE(),1817.9,"")</f>
        <v/>
      </c>
      <c r="AO18" s="13" t="str">
        <f>IF($K$6=TRUE(),2096.6,"")</f>
        <v/>
      </c>
      <c r="AP18" s="13" t="str">
        <f>IF($K$6=TRUE(),2168.9,"")</f>
        <v/>
      </c>
      <c r="AQ18" s="13" t="str">
        <f>IF($K$6=TRUE(),2320.1,"")</f>
        <v/>
      </c>
      <c r="AR18" s="13" t="str">
        <f>IF($K$6=TRUE(),2575.7,"")</f>
        <v/>
      </c>
      <c r="AS18" s="13" t="str">
        <f>IF($K$6=TRUE(),2711.7,"")</f>
        <v/>
      </c>
      <c r="AT18" s="13" t="str">
        <f>IF($K$6=TRUE(),3515.2,"")</f>
        <v/>
      </c>
      <c r="AU18" s="13" t="str">
        <f>IF($K$6=TRUE(),3816.5,"")</f>
        <v/>
      </c>
      <c r="AV18" s="13" t="str">
        <f>IF($K$6=TRUE(),3853.9,"")</f>
        <v/>
      </c>
      <c r="AW18" s="13" t="str">
        <f>IF($K$6=TRUE(),3969.5,"")</f>
        <v/>
      </c>
      <c r="AX18" s="13" t="str">
        <f>IF($K$6=TRUE(),4931.3,"")</f>
        <v/>
      </c>
      <c r="AY18" s="13" t="str">
        <f>IF($K$6=TRUE(),5089.1,"")</f>
        <v/>
      </c>
      <c r="AZ18" s="13" t="str">
        <f>IF($K$6=TRUE(),5432,"")</f>
        <v/>
      </c>
      <c r="BA18" s="13" t="str">
        <f>IF($K$6=TRUE(),5779,"")</f>
        <v/>
      </c>
      <c r="BB18" s="13" t="str">
        <f>IF($K$6=TRUE(),5773.1,"")</f>
        <v/>
      </c>
      <c r="BC18" s="13" t="str">
        <f>IF($K$6=TRUE(),5828.9,"")</f>
        <v/>
      </c>
      <c r="BD18" s="13" t="str">
        <f>IF($K$6=TRUE(),6077,"")</f>
        <v/>
      </c>
      <c r="BE18" s="13" t="str">
        <f>IF($K$6=TRUE(),7317.7,"")</f>
        <v/>
      </c>
      <c r="BF18" s="13" t="str">
        <f>IF($K$6=TRUE(),7458.6,"")</f>
        <v/>
      </c>
      <c r="BG18" s="13" t="str">
        <f>IF($K$6=TRUE(),7655.6,"")</f>
        <v/>
      </c>
      <c r="BH18" s="13" t="str">
        <f>IF($K$6=TRUE(),9189.4,"")</f>
        <v/>
      </c>
      <c r="BI18" s="13" t="str">
        <f>IF($K$6=TRUE(),9709.7,"")</f>
        <v/>
      </c>
      <c r="BJ18" s="13" t="str">
        <f>IF($K$6=TRUE(),9755.7,"")</f>
        <v/>
      </c>
      <c r="BK18" s="13" t="str">
        <f>IF($K$6=TRUE(),10365,"")</f>
        <v/>
      </c>
      <c r="BL18" s="13" t="str">
        <f>IF($K$6=TRUE(),10585.6,"")</f>
        <v/>
      </c>
      <c r="BM18" s="13" t="str">
        <f>IF($K$6=TRUE(),10862.7,"")</f>
        <v/>
      </c>
      <c r="BN18" s="14"/>
      <c r="BO18" s="14"/>
    </row>
    <row r="19" spans="1:67" ht="15" customHeight="1">
      <c r="A19" s="9" t="s">
        <v>176</v>
      </c>
      <c r="B19" s="10" t="str">
        <f>IF($L$6=TRUE(),329.1,"")</f>
        <v/>
      </c>
      <c r="C19" s="10" t="str">
        <f>IF($L$6=TRUE(),336.9,"")</f>
        <v/>
      </c>
      <c r="D19" s="10" t="str">
        <f>IF($L$6=TRUE(),353.8,"")</f>
        <v/>
      </c>
      <c r="E19" s="10" t="str">
        <f>IF($L$6=TRUE(),371.9,"")</f>
        <v/>
      </c>
      <c r="F19" s="10" t="str">
        <f>IF($L$6=TRUE(),406.7,"")</f>
        <v/>
      </c>
      <c r="G19" s="10" t="str">
        <f>IF($L$6=TRUE(),427.7,"")</f>
        <v/>
      </c>
      <c r="H19" s="10" t="str">
        <f>IF($L$6=TRUE(),466.1,"")</f>
        <v/>
      </c>
      <c r="I19" s="10" t="str">
        <f>IF($L$6=TRUE(),489.1,"")</f>
        <v/>
      </c>
      <c r="J19" s="10" t="str">
        <f>IF($L$6=TRUE(),527.5,"")</f>
        <v/>
      </c>
      <c r="K19" s="10" t="str">
        <f>IF($L$6=TRUE(),535.9,"")</f>
        <v/>
      </c>
      <c r="L19" s="10" t="str">
        <f>IF($L$6=TRUE(),555.9,"")</f>
        <v/>
      </c>
      <c r="M19" s="10" t="str">
        <f>IF($L$6=TRUE(),565.7,"")</f>
        <v/>
      </c>
      <c r="N19" s="10" t="str">
        <f>IF($L$6=TRUE(),623.5,"")</f>
        <v/>
      </c>
      <c r="O19" s="10" t="str">
        <f>IF($L$6=TRUE(),645,"")</f>
        <v/>
      </c>
      <c r="P19" s="10" t="str">
        <f>IF($L$6=TRUE(),657,"")</f>
        <v/>
      </c>
      <c r="Q19" s="10" t="str">
        <f>IF($L$6=TRUE(),661.5,"")</f>
        <v/>
      </c>
      <c r="R19" s="10" t="str">
        <f>IF($L$6=TRUE(),700.3,"")</f>
        <v/>
      </c>
      <c r="S19" s="10" t="str">
        <f>IF($L$6=TRUE(),704.7,"")</f>
        <v/>
      </c>
      <c r="T19" s="10" t="str">
        <f>IF($L$6=TRUE(),705.2,"")</f>
        <v/>
      </c>
      <c r="U19" s="10" t="str">
        <f>IF($L$6=TRUE(),695.6,"")</f>
        <v/>
      </c>
      <c r="V19" s="10" t="str">
        <f>IF($L$6=TRUE(),733.3,"")</f>
        <v/>
      </c>
      <c r="W19" s="10" t="str">
        <f>IF($L$6=TRUE(),742.3,"")</f>
        <v/>
      </c>
      <c r="X19" s="10" t="str">
        <f>IF($L$6=TRUE(),751.8,"")</f>
        <v/>
      </c>
      <c r="Y19" s="10" t="str">
        <f>IF($L$6=TRUE(),761.7,"")</f>
        <v/>
      </c>
      <c r="Z19" s="10" t="str">
        <f>IF($L$6=TRUE(),813.4,"")</f>
        <v/>
      </c>
      <c r="AA19" s="10" t="str">
        <f>IF($L$6=TRUE(),818.5,"")</f>
        <v/>
      </c>
      <c r="AB19" s="10" t="str">
        <f>IF($L$6=TRUE(),836.8,"")</f>
        <v/>
      </c>
      <c r="AC19" s="10" t="str">
        <f>IF($L$6=TRUE(),852.4,"")</f>
        <v/>
      </c>
      <c r="AD19" s="10" t="str">
        <f>IF($L$6=TRUE(),951.6,"")</f>
        <v/>
      </c>
      <c r="AE19" s="10" t="str">
        <f>IF($L$6=TRUE(),1027.5,"")</f>
        <v/>
      </c>
      <c r="AF19" s="10" t="str">
        <f>IF($L$6=TRUE(),1061.4,"")</f>
        <v/>
      </c>
      <c r="AG19" s="10" t="str">
        <f>IF($L$6=TRUE(),1117,"")</f>
        <v/>
      </c>
      <c r="AH19" s="10" t="str">
        <f>IF($L$6=TRUE(),1139.3,"")</f>
        <v/>
      </c>
      <c r="AI19" s="10" t="str">
        <f>IF($L$6=TRUE(),1164.6,"")</f>
        <v/>
      </c>
      <c r="AJ19" s="10" t="str">
        <f>IF($L$6=TRUE(),1361.8,"")</f>
        <v/>
      </c>
      <c r="AK19" s="10" t="str">
        <f>IF($L$6=TRUE(),1433.7,"")</f>
        <v/>
      </c>
      <c r="AL19" s="10" t="str">
        <f>IF($L$6=TRUE(),1494.2,"")</f>
        <v/>
      </c>
      <c r="AM19" s="10" t="str">
        <f>IF($L$6=TRUE(),1548.9,"")</f>
        <v/>
      </c>
      <c r="AN19" s="10" t="str">
        <f>IF($L$6=TRUE(),1885.9,"")</f>
        <v/>
      </c>
      <c r="AO19" s="10" t="str">
        <f>IF($L$6=TRUE(),2126.5,"")</f>
        <v/>
      </c>
      <c r="AP19" s="10" t="str">
        <f>IF($L$6=TRUE(),2191.2,"")</f>
        <v/>
      </c>
      <c r="AQ19" s="10" t="str">
        <f>IF($L$6=TRUE(),2301.7,"")</f>
        <v/>
      </c>
      <c r="AR19" s="10" t="str">
        <f>IF($L$6=TRUE(),2526.4,"")</f>
        <v/>
      </c>
      <c r="AS19" s="10" t="str">
        <f>IF($L$6=TRUE(),2692.5,"")</f>
        <v/>
      </c>
      <c r="AT19" s="10" t="str">
        <f>IF($L$6=TRUE(),3444.5,"")</f>
        <v/>
      </c>
      <c r="AU19" s="10" t="str">
        <f>IF($L$6=TRUE(),3728.2,"")</f>
        <v/>
      </c>
      <c r="AV19" s="10" t="str">
        <f>IF($L$6=TRUE(),3818.1,"")</f>
        <v/>
      </c>
      <c r="AW19" s="10" t="str">
        <f>IF($L$6=TRUE(),3923.2,"")</f>
        <v/>
      </c>
      <c r="AX19" s="10" t="str">
        <f>IF($L$6=TRUE(),4795.6,"")</f>
        <v/>
      </c>
      <c r="AY19" s="10" t="str">
        <f>IF($L$6=TRUE(),4931.7,"")</f>
        <v/>
      </c>
      <c r="AZ19" s="10" t="str">
        <f>IF($L$6=TRUE(),5324.8,"")</f>
        <v/>
      </c>
      <c r="BA19" s="10" t="str">
        <f>IF($L$6=TRUE(),5651.2,"")</f>
        <v/>
      </c>
      <c r="BB19" s="10" t="str">
        <f>IF($L$6=TRUE(),5673.6,"")</f>
        <v/>
      </c>
      <c r="BC19" s="10" t="str">
        <f>IF($L$6=TRUE(),5778.9,"")</f>
        <v/>
      </c>
      <c r="BD19" s="10" t="str">
        <f>IF($L$6=TRUE(),6858.6,"")</f>
        <v/>
      </c>
      <c r="BE19" s="10" t="str">
        <f>IF($L$6=TRUE(),7114.7,"")</f>
        <v/>
      </c>
      <c r="BF19" s="10" t="str">
        <f>IF($L$6=TRUE(),7399.3,"")</f>
        <v/>
      </c>
      <c r="BG19" s="10" t="str">
        <f>IF($L$6=TRUE(),7590.1,"")</f>
        <v/>
      </c>
      <c r="BH19" s="10" t="str">
        <f>IF($L$6=TRUE(),9166.7,"")</f>
        <v/>
      </c>
      <c r="BI19" s="10" t="str">
        <f>IF($L$6=TRUE(),9592.4,"")</f>
        <v/>
      </c>
      <c r="BJ19" s="10" t="str">
        <f>IF($L$6=TRUE(),9776.9,"")</f>
        <v/>
      </c>
      <c r="BK19" s="10" t="str">
        <f>IF($L$6=TRUE(),10282.7,"")</f>
        <v/>
      </c>
      <c r="BL19" s="10" t="str">
        <f>IF($L$6=TRUE(),10514.5,"")</f>
        <v/>
      </c>
      <c r="BM19" s="10" t="str">
        <f>IF($L$6=TRUE(),10673.5,"")</f>
        <v/>
      </c>
      <c r="BN19" s="11"/>
      <c r="BO19" s="11"/>
    </row>
    <row r="20" spans="1:67" ht="15" customHeight="1">
      <c r="A20" s="12" t="s">
        <v>177</v>
      </c>
      <c r="B20" s="13" t="str">
        <f>IF($M$6=TRUE(),287.3,"")</f>
        <v/>
      </c>
      <c r="C20" s="13" t="str">
        <f>IF($M$6=TRUE(),301.4,"")</f>
        <v/>
      </c>
      <c r="D20" s="13" t="str">
        <f>IF($M$6=TRUE(),313.5,"")</f>
        <v/>
      </c>
      <c r="E20" s="13" t="str">
        <f>IF($M$6=TRUE(),354.4,"")</f>
        <v/>
      </c>
      <c r="F20" s="13" t="str">
        <f>IF($M$6=TRUE(),404.3,"")</f>
        <v/>
      </c>
      <c r="G20" s="13" t="str">
        <f>IF($M$6=TRUE(),484.5,"")</f>
        <v/>
      </c>
      <c r="H20" s="13" t="str">
        <f>IF($M$6=TRUE(),555.2,"")</f>
        <v/>
      </c>
      <c r="I20" s="13" t="str">
        <f>IF($M$6=TRUE(),560.4,"")</f>
        <v/>
      </c>
      <c r="J20" s="13" t="str">
        <f>IF($M$6=TRUE(),575,"")</f>
        <v/>
      </c>
      <c r="K20" s="13" t="str">
        <f>IF($M$6=TRUE(),576.1,"")</f>
        <v/>
      </c>
      <c r="L20" s="13" t="str">
        <f>IF($M$6=TRUE(),572,"")</f>
        <v/>
      </c>
      <c r="M20" s="13" t="str">
        <f>IF($M$6=TRUE(),546.3,"")</f>
        <v/>
      </c>
      <c r="N20" s="13" t="str">
        <f>IF($M$6=TRUE(),600,"")</f>
        <v/>
      </c>
      <c r="O20" s="13" t="str">
        <f>IF($M$6=TRUE(),590.7,"")</f>
        <v/>
      </c>
      <c r="P20" s="13" t="str">
        <f>IF($M$6=TRUE(),590.7,"")</f>
        <v/>
      </c>
      <c r="Q20" s="13" t="str">
        <f>IF($M$6=TRUE(),560.5,"")</f>
        <v/>
      </c>
      <c r="R20" s="13" t="str">
        <f>IF($M$6=TRUE(),550.5,"")</f>
        <v/>
      </c>
      <c r="S20" s="13" t="str">
        <f>IF($M$6=TRUE(),540.2,"")</f>
        <v/>
      </c>
      <c r="T20" s="13" t="str">
        <f>IF($M$6=TRUE(),521,"")</f>
        <v/>
      </c>
      <c r="U20" s="13" t="str">
        <f>IF($M$6=TRUE(),496.2,"")</f>
        <v/>
      </c>
      <c r="V20" s="13" t="str">
        <f>IF($M$6=TRUE(),568.4,"")</f>
        <v/>
      </c>
      <c r="W20" s="13" t="str">
        <f>IF($M$6=TRUE(),570.6,"")</f>
        <v/>
      </c>
      <c r="X20" s="13" t="str">
        <f>IF($M$6=TRUE(),594.9,"")</f>
        <v/>
      </c>
      <c r="Y20" s="13" t="str">
        <f>IF($M$6=TRUE(),588.5,"")</f>
        <v/>
      </c>
      <c r="Z20" s="13" t="str">
        <f>IF($M$6=TRUE(),611.7,"")</f>
        <v/>
      </c>
      <c r="AA20" s="13" t="str">
        <f>IF($M$6=TRUE(),704.8,"")</f>
        <v/>
      </c>
      <c r="AB20" s="13" t="str">
        <f>IF($M$6=TRUE(),728.2,"")</f>
        <v/>
      </c>
      <c r="AC20" s="13" t="str">
        <f>IF($M$6=TRUE(),762.2,"")</f>
        <v/>
      </c>
      <c r="AD20" s="13" t="str">
        <f>IF($M$6=TRUE(),913.2,"")</f>
        <v/>
      </c>
      <c r="AE20" s="13" t="str">
        <f>IF($M$6=TRUE(),1038.3,"")</f>
        <v/>
      </c>
      <c r="AF20" s="13" t="str">
        <f>IF($M$6=TRUE(),1255.2,"")</f>
        <v/>
      </c>
      <c r="AG20" s="13" t="str">
        <f>IF($M$6=TRUE(),1303.1,"")</f>
        <v/>
      </c>
      <c r="AH20" s="13" t="str">
        <f>IF($M$6=TRUE(),1240.5,"")</f>
        <v/>
      </c>
      <c r="AI20" s="13" t="str">
        <f>IF($M$6=TRUE(),1239.4,"")</f>
        <v/>
      </c>
      <c r="AJ20" s="13" t="str">
        <f>IF($M$6=TRUE(),1460.3,"")</f>
        <v/>
      </c>
      <c r="AK20" s="13" t="str">
        <f>IF($M$6=TRUE(),1348.9,"")</f>
        <v/>
      </c>
      <c r="AL20" s="13" t="str">
        <f>IF($M$6=TRUE(),1398.8,"")</f>
        <v/>
      </c>
      <c r="AM20" s="13" t="str">
        <f>IF($M$6=TRUE(),1674.4,"")</f>
        <v/>
      </c>
      <c r="AN20" s="13" t="str">
        <f>IF($M$6=TRUE(),1921,"")</f>
        <v/>
      </c>
      <c r="AO20" s="13" t="str">
        <f>IF($M$6=TRUE(),2733.9,"")</f>
        <v/>
      </c>
      <c r="AP20" s="13" t="str">
        <f>IF($M$6=TRUE(),2935.5,"")</f>
        <v/>
      </c>
      <c r="AQ20" s="13" t="str">
        <f>IF($M$6=TRUE(),3092.1,"")</f>
        <v/>
      </c>
      <c r="AR20" s="13" t="str">
        <f>IF($M$6=TRUE(),3286.2,"")</f>
        <v/>
      </c>
      <c r="AS20" s="13" t="str">
        <f>IF($M$6=TRUE(),3485.7,"")</f>
        <v/>
      </c>
      <c r="AT20" s="13" t="str">
        <f>IF($M$6=TRUE(),3969.8,"")</f>
        <v/>
      </c>
      <c r="AU20" s="13" t="str">
        <f>IF($M$6=TRUE(),4534.1,"")</f>
        <v/>
      </c>
      <c r="AV20" s="13" t="str">
        <f>IF($M$6=TRUE(),4433.3,"")</f>
        <v/>
      </c>
      <c r="AW20" s="13" t="str">
        <f>IF($M$6=TRUE(),4388.7,"")</f>
        <v/>
      </c>
      <c r="AX20" s="13" t="str">
        <f>IF($M$6=TRUE(),5198,"")</f>
        <v/>
      </c>
      <c r="AY20" s="13" t="str">
        <f>IF($M$6=TRUE(),4897.1,"")</f>
        <v/>
      </c>
      <c r="AZ20" s="13" t="str">
        <f>IF($M$6=TRUE(),4958.8,"")</f>
        <v/>
      </c>
      <c r="BA20" s="13" t="str">
        <f>IF($M$6=TRUE(),5717.8,"")</f>
        <v/>
      </c>
      <c r="BB20" s="13" t="str">
        <f>IF($M$6=TRUE(),6252.5,"")</f>
        <v/>
      </c>
      <c r="BC20" s="13" t="str">
        <f>IF($M$6=TRUE(),7135.3,"")</f>
        <v/>
      </c>
      <c r="BD20" s="13" t="str">
        <f>IF($M$6=TRUE(),7473.4,"")</f>
        <v/>
      </c>
      <c r="BE20" s="13" t="str">
        <f>IF($M$6=TRUE(),7232.6,"")</f>
        <v/>
      </c>
      <c r="BF20" s="13" t="str">
        <f>IF($M$6=TRUE(),7048.5,"")</f>
        <v/>
      </c>
      <c r="BG20" s="13" t="str">
        <f>IF($M$6=TRUE(),7350.7,"")</f>
        <v/>
      </c>
      <c r="BH20" s="13" t="str">
        <f>IF($M$6=TRUE(),8377.4,"")</f>
        <v/>
      </c>
      <c r="BI20" s="13" t="str">
        <f>IF($M$6=TRUE(),8781.7,"")</f>
        <v/>
      </c>
      <c r="BJ20" s="13" t="str">
        <f>IF($M$6=TRUE(),9011.1,"")</f>
        <v/>
      </c>
      <c r="BK20" s="13" t="str">
        <f>IF($M$6=TRUE(),9476.1,"")</f>
        <v/>
      </c>
      <c r="BL20" s="13" t="str">
        <f>IF($M$6=TRUE(),9918.7,"")</f>
        <v/>
      </c>
      <c r="BM20" s="13" t="str">
        <f>IF($M$6=TRUE(),10629,"")</f>
        <v/>
      </c>
      <c r="BN20" s="14"/>
      <c r="BO20" s="14"/>
    </row>
    <row r="21" spans="1:67" ht="15" customHeight="1">
      <c r="A21" s="9" t="s">
        <v>178</v>
      </c>
      <c r="B21" s="10" t="str">
        <f>IF($N$6=TRUE(),293.3,"")</f>
        <v/>
      </c>
      <c r="C21" s="10" t="str">
        <f>IF($N$6=TRUE(),309.4,"")</f>
        <v/>
      </c>
      <c r="D21" s="10" t="str">
        <f>IF($N$6=TRUE(),314.2,"")</f>
        <v/>
      </c>
      <c r="E21" s="10" t="str">
        <f>IF($N$6=TRUE(),330.3,"")</f>
        <v/>
      </c>
      <c r="F21" s="10" t="str">
        <f>IF($N$6=TRUE(),349.6,"")</f>
        <v/>
      </c>
      <c r="G21" s="10" t="str">
        <f>IF($N$6=TRUE(),364.9,"")</f>
        <v/>
      </c>
      <c r="H21" s="10" t="str">
        <f>IF($N$6=TRUE(),403.9,"")</f>
        <v/>
      </c>
      <c r="I21" s="10" t="str">
        <f>IF($N$6=TRUE(),413.2,"")</f>
        <v/>
      </c>
      <c r="J21" s="10" t="str">
        <f>IF($N$6=TRUE(),445.7,"")</f>
        <v/>
      </c>
      <c r="K21" s="10" t="str">
        <f>IF($N$6=TRUE(),461.9,"")</f>
        <v/>
      </c>
      <c r="L21" s="10" t="str">
        <f>IF($N$6=TRUE(),478.5,"")</f>
        <v/>
      </c>
      <c r="M21" s="10" t="str">
        <f>IF($N$6=TRUE(),484.7,"")</f>
        <v/>
      </c>
      <c r="N21" s="10" t="str">
        <f>IF($N$6=TRUE(),520.4,"")</f>
        <v/>
      </c>
      <c r="O21" s="10" t="str">
        <f>IF($N$6=TRUE(),564.1,"")</f>
        <v/>
      </c>
      <c r="P21" s="10" t="str">
        <f>IF($N$6=TRUE(),566.8,"")</f>
        <v/>
      </c>
      <c r="Q21" s="10" t="str">
        <f>IF($N$6=TRUE(),568.1,"")</f>
        <v/>
      </c>
      <c r="R21" s="10" t="str">
        <f>IF($N$6=TRUE(),587.4,"")</f>
        <v/>
      </c>
      <c r="S21" s="10" t="str">
        <f>IF($N$6=TRUE(),590.2,"")</f>
        <v/>
      </c>
      <c r="T21" s="10" t="str">
        <f>IF($N$6=TRUE(),587.1,"")</f>
        <v/>
      </c>
      <c r="U21" s="10" t="str">
        <f>IF($N$6=TRUE(),587.8,"")</f>
        <v/>
      </c>
      <c r="V21" s="10" t="str">
        <f>IF($N$6=TRUE(),610.3,"")</f>
        <v/>
      </c>
      <c r="W21" s="10" t="str">
        <f>IF($N$6=TRUE(),617.5,"")</f>
        <v/>
      </c>
      <c r="X21" s="10" t="str">
        <f>IF($N$6=TRUE(),638.6,"")</f>
        <v/>
      </c>
      <c r="Y21" s="10" t="str">
        <f>IF($N$6=TRUE(),645.6,"")</f>
        <v/>
      </c>
      <c r="Z21" s="10" t="str">
        <f>IF($N$6=TRUE(),694.8,"")</f>
        <v/>
      </c>
      <c r="AA21" s="10" t="str">
        <f>IF($N$6=TRUE(),706.6,"")</f>
        <v/>
      </c>
      <c r="AB21" s="10" t="str">
        <f>IF($N$6=TRUE(),715.1,"")</f>
        <v/>
      </c>
      <c r="AC21" s="10" t="str">
        <f>IF($N$6=TRUE(),721.8,"")</f>
        <v/>
      </c>
      <c r="AD21" s="10" t="str">
        <f>IF($N$6=TRUE(),807.5,"")</f>
        <v/>
      </c>
      <c r="AE21" s="10" t="str">
        <f>IF($N$6=TRUE(),852.6,"")</f>
        <v/>
      </c>
      <c r="AF21" s="10" t="str">
        <f>IF($N$6=TRUE(),902.2,"")</f>
        <v/>
      </c>
      <c r="AG21" s="10" t="str">
        <f>IF($N$6=TRUE(),913.1,"")</f>
        <v/>
      </c>
      <c r="AH21" s="10" t="str">
        <f>IF($N$6=TRUE(),946.7,"")</f>
        <v/>
      </c>
      <c r="AI21" s="10" t="str">
        <f>IF($N$6=TRUE(),965.4,"")</f>
        <v/>
      </c>
      <c r="AJ21" s="10" t="str">
        <f>IF($N$6=TRUE(),1090.3,"")</f>
        <v/>
      </c>
      <c r="AK21" s="10" t="str">
        <f>IF($N$6=TRUE(),1211.4,"")</f>
        <v/>
      </c>
      <c r="AL21" s="10" t="str">
        <f>IF($N$6=TRUE(),1270.7,"")</f>
        <v/>
      </c>
      <c r="AM21" s="10" t="str">
        <f>IF($N$6=TRUE(),1322,"")</f>
        <v/>
      </c>
      <c r="AN21" s="10" t="str">
        <f>IF($N$6=TRUE(),1565.9,"")</f>
        <v/>
      </c>
      <c r="AO21" s="10" t="str">
        <f>IF($N$6=TRUE(),1802.2,"")</f>
        <v/>
      </c>
      <c r="AP21" s="10" t="str">
        <f>IF($N$6=TRUE(),1866.2,"")</f>
        <v/>
      </c>
      <c r="AQ21" s="10" t="str">
        <f>IF($N$6=TRUE(),1965.5,"")</f>
        <v/>
      </c>
      <c r="AR21" s="10" t="str">
        <f>IF($N$6=TRUE(),2188.4,"")</f>
        <v/>
      </c>
      <c r="AS21" s="10" t="str">
        <f>IF($N$6=TRUE(),2267.5,"")</f>
        <v/>
      </c>
      <c r="AT21" s="10" t="str">
        <f>IF($N$6=TRUE(),2893.7,"")</f>
        <v/>
      </c>
      <c r="AU21" s="10" t="str">
        <f>IF($N$6=TRUE(),3328.8,"")</f>
        <v/>
      </c>
      <c r="AV21" s="10" t="str">
        <f>IF($N$6=TRUE(),3335.8,"")</f>
        <v/>
      </c>
      <c r="AW21" s="10" t="str">
        <f>IF($N$6=TRUE(),3420.4,"")</f>
        <v/>
      </c>
      <c r="AX21" s="10" t="str">
        <f>IF($N$6=TRUE(),4061.1,"")</f>
        <v/>
      </c>
      <c r="AY21" s="10" t="str">
        <f>IF($N$6=TRUE(),4293.4,"")</f>
        <v/>
      </c>
      <c r="AZ21" s="10" t="str">
        <f>IF($N$6=TRUE(),4605,"")</f>
        <v/>
      </c>
      <c r="BA21" s="10" t="str">
        <f>IF($N$6=TRUE(),4905.3,"")</f>
        <v/>
      </c>
      <c r="BB21" s="10" t="str">
        <f>IF($N$6=TRUE(),4935.9,"")</f>
        <v/>
      </c>
      <c r="BC21" s="10" t="str">
        <f>IF($N$6=TRUE(),5251.8,"")</f>
        <v/>
      </c>
      <c r="BD21" s="10" t="str">
        <f>IF($N$6=TRUE(),6038.1,"")</f>
        <v/>
      </c>
      <c r="BE21" s="10" t="str">
        <f>IF($N$6=TRUE(),6336.8,"")</f>
        <v/>
      </c>
      <c r="BF21" s="10" t="str">
        <f>IF($N$6=TRUE(),6633.2,"")</f>
        <v/>
      </c>
      <c r="BG21" s="10" t="str">
        <f>IF($N$6=TRUE(),6721.5,"")</f>
        <v/>
      </c>
      <c r="BH21" s="10" t="str">
        <f>IF($N$6=TRUE(),7891.3,"")</f>
        <v/>
      </c>
      <c r="BI21" s="10" t="str">
        <f>IF($N$6=TRUE(),8626.6,"")</f>
        <v/>
      </c>
      <c r="BJ21" s="10" t="str">
        <f>IF($N$6=TRUE(),8760,"")</f>
        <v/>
      </c>
      <c r="BK21" s="10" t="str">
        <f>IF($N$6=TRUE(),9183,"")</f>
        <v/>
      </c>
      <c r="BL21" s="10" t="str">
        <f>IF($N$6=TRUE(),9495.9,"")</f>
        <v/>
      </c>
      <c r="BM21" s="10" t="str">
        <f>IF($N$6=TRUE(),9945.1,"")</f>
        <v/>
      </c>
      <c r="BN21" s="11"/>
      <c r="BO21" s="11"/>
    </row>
    <row r="22" spans="1:67" ht="15" customHeight="1">
      <c r="A22" s="12" t="s">
        <v>95</v>
      </c>
      <c r="B22" s="13" t="str">
        <f>IF($O$6=TRUE(),297.6,"")</f>
        <v/>
      </c>
      <c r="C22" s="13" t="str">
        <f>IF($O$6=TRUE(),306.3,"")</f>
        <v/>
      </c>
      <c r="D22" s="13" t="str">
        <f>IF($O$6=TRUE(),323.9,"")</f>
        <v/>
      </c>
      <c r="E22" s="13" t="str">
        <f>IF($O$6=TRUE(),344.3,"")</f>
        <v/>
      </c>
      <c r="F22" s="13" t="str">
        <f>IF($O$6=TRUE(),378.6,"")</f>
        <v/>
      </c>
      <c r="G22" s="13" t="str">
        <f>IF($O$6=TRUE(),396,"")</f>
        <v/>
      </c>
      <c r="H22" s="13" t="str">
        <f>IF($O$6=TRUE(),413.1,"")</f>
        <v/>
      </c>
      <c r="I22" s="13" t="str">
        <f>IF($O$6=TRUE(),430.3,"")</f>
        <v/>
      </c>
      <c r="J22" s="13" t="str">
        <f>IF($O$6=TRUE(),495.2,"")</f>
        <v/>
      </c>
      <c r="K22" s="13" t="str">
        <f>IF($O$6=TRUE(),521.5,"")</f>
        <v/>
      </c>
      <c r="L22" s="13" t="str">
        <f>IF($O$6=TRUE(),522.8,"")</f>
        <v/>
      </c>
      <c r="M22" s="13" t="str">
        <f>IF($O$6=TRUE(),522.8,"")</f>
        <v/>
      </c>
      <c r="N22" s="13" t="str">
        <f>IF($O$6=TRUE(),567.2,"")</f>
        <v/>
      </c>
      <c r="O22" s="13" t="str">
        <f>IF($O$6=TRUE(),580.3,"")</f>
        <v/>
      </c>
      <c r="P22" s="13" t="str">
        <f>IF($O$6=TRUE(),582,"")</f>
        <v/>
      </c>
      <c r="Q22" s="13" t="str">
        <f>IF($O$6=TRUE(),582.6,"")</f>
        <v/>
      </c>
      <c r="R22" s="13" t="str">
        <f>IF($O$6=TRUE(),600,"")</f>
        <v/>
      </c>
      <c r="S22" s="13" t="str">
        <f>IF($O$6=TRUE(),614.6,"")</f>
        <v/>
      </c>
      <c r="T22" s="13" t="str">
        <f>IF($O$6=TRUE(),626.9,"")</f>
        <v/>
      </c>
      <c r="U22" s="13" t="str">
        <f>IF($O$6=TRUE(),626.9,"")</f>
        <v/>
      </c>
      <c r="V22" s="13" t="str">
        <f>IF($O$6=TRUE(),626.9,"")</f>
        <v/>
      </c>
      <c r="W22" s="13" t="str">
        <f>IF($O$6=TRUE(),661.6,"")</f>
        <v/>
      </c>
      <c r="X22" s="13" t="str">
        <f>IF($O$6=TRUE(),684.5,"")</f>
        <v/>
      </c>
      <c r="Y22" s="13" t="str">
        <f>IF($O$6=TRUE(),690.8,"")</f>
        <v/>
      </c>
      <c r="Z22" s="13" t="str">
        <f>IF($O$6=TRUE(),725.3,"")</f>
        <v/>
      </c>
      <c r="AA22" s="13" t="str">
        <f>IF($O$6=TRUE(),746.1,"")</f>
        <v/>
      </c>
      <c r="AB22" s="13" t="str">
        <f>IF($O$6=TRUE(),753,"")</f>
        <v/>
      </c>
      <c r="AC22" s="13" t="str">
        <f>IF($O$6=TRUE(),759.9,"")</f>
        <v/>
      </c>
      <c r="AD22" s="13" t="str">
        <f>IF($O$6=TRUE(),843.4,"")</f>
        <v/>
      </c>
      <c r="AE22" s="13" t="str">
        <f>IF($O$6=TRUE(),927.1,"")</f>
        <v/>
      </c>
      <c r="AF22" s="13" t="str">
        <f>IF($O$6=TRUE(),1025.9,"")</f>
        <v/>
      </c>
      <c r="AG22" s="13" t="str">
        <f>IF($O$6=TRUE(),1052.5,"")</f>
        <v/>
      </c>
      <c r="AH22" s="13" t="str">
        <f>IF($O$6=TRUE(),1109.4,"")</f>
        <v/>
      </c>
      <c r="AI22" s="13" t="str">
        <f>IF($O$6=TRUE(),1227.2,"")</f>
        <v/>
      </c>
      <c r="AJ22" s="13" t="str">
        <f>IF($O$6=TRUE(),1405.1,"")</f>
        <v/>
      </c>
      <c r="AK22" s="13" t="str">
        <f>IF($O$6=TRUE(),1509.6,"")</f>
        <v/>
      </c>
      <c r="AL22" s="13" t="str">
        <f>IF($O$6=TRUE(),1772.7,"")</f>
        <v/>
      </c>
      <c r="AM22" s="13" t="str">
        <f>IF($O$6=TRUE(),1877.6,"")</f>
        <v/>
      </c>
      <c r="AN22" s="13" t="str">
        <f>IF($O$6=TRUE(),2371.4,"")</f>
        <v/>
      </c>
      <c r="AO22" s="13" t="str">
        <f>IF($O$6=TRUE(),2891.4,"")</f>
        <v/>
      </c>
      <c r="AP22" s="13" t="str">
        <f>IF($O$6=TRUE(),2966.6,"")</f>
        <v/>
      </c>
      <c r="AQ22" s="13" t="str">
        <f>IF($O$6=TRUE(),3191.9,"")</f>
        <v/>
      </c>
      <c r="AR22" s="13" t="str">
        <f>IF($O$6=TRUE(),3379.6,"")</f>
        <v/>
      </c>
      <c r="AS22" s="13" t="str">
        <f>IF($O$6=TRUE(),3539.2,"")</f>
        <v/>
      </c>
      <c r="AT22" s="13" t="str">
        <f>IF($O$6=TRUE(),4654,"")</f>
        <v/>
      </c>
      <c r="AU22" s="13" t="str">
        <f>IF($O$6=TRUE(),4901.7,"")</f>
        <v/>
      </c>
      <c r="AV22" s="13" t="str">
        <f>IF($O$6=TRUE(),4990.3,"")</f>
        <v/>
      </c>
      <c r="AW22" s="13" t="str">
        <f>IF($O$6=TRUE(),5096.4,"")</f>
        <v/>
      </c>
      <c r="AX22" s="13" t="str">
        <f>IF($O$6=TRUE(),6345,"")</f>
        <v/>
      </c>
      <c r="AY22" s="13" t="str">
        <f>IF($O$6=TRUE(),6564.2,"")</f>
        <v/>
      </c>
      <c r="AZ22" s="13" t="str">
        <f>IF($O$6=TRUE(),7032.9,"")</f>
        <v/>
      </c>
      <c r="BA22" s="13" t="str">
        <f>IF($O$6=TRUE(),7425.4,"")</f>
        <v/>
      </c>
      <c r="BB22" s="13" t="str">
        <f>IF($O$6=TRUE(),7547.7,"")</f>
        <v/>
      </c>
      <c r="BC22" s="13" t="str">
        <f>IF($O$6=TRUE(),7670,"")</f>
        <v/>
      </c>
      <c r="BD22" s="13" t="str">
        <f>IF($O$6=TRUE(),9104.3,"")</f>
        <v/>
      </c>
      <c r="BE22" s="13" t="str">
        <f>IF($O$6=TRUE(),9672,"")</f>
        <v/>
      </c>
      <c r="BF22" s="13" t="str">
        <f>IF($O$6=TRUE(),10216.5,"")</f>
        <v/>
      </c>
      <c r="BG22" s="13" t="str">
        <f>IF($O$6=TRUE(),10392.9,"")</f>
        <v/>
      </c>
      <c r="BH22" s="13" t="str">
        <f>IF($O$6=TRUE(),12804,"")</f>
        <v/>
      </c>
      <c r="BI22" s="13" t="str">
        <f>IF($O$6=TRUE(),13406.7,"")</f>
        <v/>
      </c>
      <c r="BJ22" s="13" t="str">
        <f>IF($O$6=TRUE(),13562.6,"")</f>
        <v/>
      </c>
      <c r="BK22" s="13" t="str">
        <f>IF($O$6=TRUE(),14030,"")</f>
        <v/>
      </c>
      <c r="BL22" s="13" t="str">
        <f>IF($O$6=TRUE(),14279.4,"")</f>
        <v/>
      </c>
      <c r="BM22" s="13" t="str">
        <f>IF($O$6=TRUE(),14550,"")</f>
        <v/>
      </c>
      <c r="BN22" s="14"/>
      <c r="BO22" s="14"/>
    </row>
    <row r="23" spans="1:67" ht="15" customHeight="1">
      <c r="A23" s="9" t="s">
        <v>179</v>
      </c>
      <c r="B23" s="11"/>
      <c r="C23" s="11"/>
      <c r="D23" s="11"/>
      <c r="E23" s="11"/>
      <c r="F23" s="11"/>
      <c r="G23" s="11"/>
      <c r="H23" s="11"/>
      <c r="I23" s="11"/>
      <c r="J23" s="10" t="str">
        <f>IF($P$6=TRUE(),600,"")</f>
        <v/>
      </c>
      <c r="K23" s="10" t="str">
        <f>IF($P$6=TRUE(),605,"")</f>
        <v/>
      </c>
      <c r="L23" s="10" t="str">
        <f>IF($P$6=TRUE(),630,"")</f>
        <v/>
      </c>
      <c r="M23" s="10" t="str">
        <f>IF($P$6=TRUE(),640,"")</f>
        <v/>
      </c>
      <c r="N23" s="10" t="str">
        <f>IF($P$6=TRUE(),716.8,"")</f>
        <v/>
      </c>
      <c r="O23" s="10" t="str">
        <f>IF($P$6=TRUE(),716.8,"")</f>
        <v/>
      </c>
      <c r="P23" s="10" t="str">
        <f>IF($P$6=TRUE(),723.2,"")</f>
        <v/>
      </c>
      <c r="Q23" s="10" t="str">
        <f>IF($P$6=TRUE(),723.2,"")</f>
        <v/>
      </c>
      <c r="R23" s="10" t="str">
        <f>IF($P$6=TRUE(),723.2,"")</f>
        <v/>
      </c>
      <c r="S23" s="10" t="str">
        <f>IF($P$6=TRUE(),723.2,"")</f>
        <v/>
      </c>
      <c r="T23" s="10" t="str">
        <f t="shared" ref="T23:Y23" si="0">IF($P$6=TRUE(),730.4,"")</f>
        <v/>
      </c>
      <c r="U23" s="10" t="str">
        <f t="shared" si="0"/>
        <v/>
      </c>
      <c r="V23" s="10" t="str">
        <f t="shared" si="0"/>
        <v/>
      </c>
      <c r="W23" s="10" t="str">
        <f t="shared" si="0"/>
        <v/>
      </c>
      <c r="X23" s="10" t="str">
        <f t="shared" si="0"/>
        <v/>
      </c>
      <c r="Y23" s="10" t="str">
        <f t="shared" si="0"/>
        <v/>
      </c>
      <c r="Z23" s="10" t="str">
        <f>IF($P$6=TRUE(),796.2,"")</f>
        <v/>
      </c>
      <c r="AA23" s="10" t="str">
        <f>IF($P$6=TRUE(),796.2,"")</f>
        <v/>
      </c>
      <c r="AB23" s="10" t="str">
        <f>IF($P$6=TRUE(),861.9,"")</f>
        <v/>
      </c>
      <c r="AC23" s="10" t="str">
        <f>IF($P$6=TRUE(),927.6,"")</f>
        <v/>
      </c>
      <c r="AD23" s="10" t="str">
        <f>IF($P$6=TRUE(),1020.4,"")</f>
        <v/>
      </c>
      <c r="AE23" s="10" t="str">
        <f>IF($P$6=TRUE(),1122.5,"")</f>
        <v/>
      </c>
      <c r="AF23" s="10" t="str">
        <f>IF($P$6=TRUE(),1122.5,"")</f>
        <v/>
      </c>
      <c r="AG23" s="10" t="str">
        <f>IF($P$6=TRUE(),1205.9,"")</f>
        <v/>
      </c>
      <c r="AH23" s="10" t="str">
        <f>IF($P$6=TRUE(),1363.6,"")</f>
        <v/>
      </c>
      <c r="AI23" s="10" t="str">
        <f>IF($P$6=TRUE(),1419.3,"")</f>
        <v/>
      </c>
      <c r="AJ23" s="10" t="str">
        <f>IF($P$6=TRUE(),1632.2,"")</f>
        <v/>
      </c>
      <c r="AK23" s="10" t="str">
        <f>IF($P$6=TRUE(),1632.2,"")</f>
        <v/>
      </c>
      <c r="AL23" s="10" t="str">
        <f>IF($P$6=TRUE(),1737.2,"")</f>
        <v/>
      </c>
      <c r="AM23" s="10" t="str">
        <f>IF($P$6=TRUE(),1737.2,"")</f>
        <v/>
      </c>
      <c r="AN23" s="10" t="str">
        <f>IF($P$6=TRUE(),2171.5,"")</f>
        <v/>
      </c>
      <c r="AO23" s="10" t="str">
        <f>IF($P$6=TRUE(),2814.3,"")</f>
        <v/>
      </c>
      <c r="AP23" s="10" t="str">
        <f>IF($P$6=TRUE(),2814.3,"")</f>
        <v/>
      </c>
      <c r="AQ23" s="10" t="str">
        <f>IF($P$6=TRUE(),2814.3,"")</f>
        <v/>
      </c>
      <c r="AR23" s="10" t="str">
        <f>IF($P$6=TRUE(),2901.2,"")</f>
        <v/>
      </c>
      <c r="AS23" s="10" t="str">
        <f>IF($P$6=TRUE(),3109.6,"")</f>
        <v/>
      </c>
      <c r="AT23" s="10" t="str">
        <f>IF($P$6=TRUE(),3482.8,"")</f>
        <v/>
      </c>
      <c r="AU23" s="10" t="str">
        <f>IF($P$6=TRUE(),3824.9,"")</f>
        <v/>
      </c>
      <c r="AV23" s="10" t="str">
        <f>IF($P$6=TRUE(),4664.5,"")</f>
        <v/>
      </c>
      <c r="AW23" s="10" t="str">
        <f>IF($P$6=TRUE(),4882.1,"")</f>
        <v/>
      </c>
      <c r="AX23" s="10" t="str">
        <f>IF($P$6=TRUE(),5370.3,"")</f>
        <v/>
      </c>
      <c r="AY23" s="10" t="str">
        <f>IF($P$6=TRUE(),5565.6,"")</f>
        <v/>
      </c>
      <c r="AZ23" s="10" t="str">
        <f>IF($P$6=TRUE(),6288.2,"")</f>
        <v/>
      </c>
      <c r="BA23" s="10" t="str">
        <f>IF($P$6=TRUE(),6420,"")</f>
        <v/>
      </c>
      <c r="BB23" s="10" t="str">
        <f>IF($P$6=TRUE(),6420,"")</f>
        <v/>
      </c>
      <c r="BC23" s="10" t="str">
        <f>IF($P$6=TRUE(),6639.7,"")</f>
        <v/>
      </c>
      <c r="BD23" s="10" t="str">
        <f>IF($P$6=TRUE(),7077.9,"")</f>
        <v/>
      </c>
      <c r="BE23" s="10" t="str">
        <f>IF($P$6=TRUE(),7489.6,"")</f>
        <v/>
      </c>
      <c r="BF23" s="10" t="str">
        <f>IF($P$6=TRUE(),7595.8,"")</f>
        <v/>
      </c>
      <c r="BG23" s="10" t="str">
        <f>IF($P$6=TRUE(),7595.8,"")</f>
        <v/>
      </c>
      <c r="BH23" s="10" t="str">
        <f>IF($P$6=TRUE(),8370.6,"")</f>
        <v/>
      </c>
      <c r="BI23" s="10" t="str">
        <f>IF($P$6=TRUE(),8370.6,"")</f>
        <v/>
      </c>
      <c r="BJ23" s="10" t="str">
        <f>IF($P$6=TRUE(),8682,"")</f>
        <v/>
      </c>
      <c r="BK23" s="10" t="str">
        <f>IF($P$6=TRUE(),8682,"")</f>
        <v/>
      </c>
      <c r="BL23" s="10" t="str">
        <f>IF($P$6=TRUE(),8682,"")</f>
        <v/>
      </c>
      <c r="BM23" s="10" t="str">
        <f>IF($P$6=TRUE(),8682,"")</f>
        <v/>
      </c>
      <c r="BN23" s="11"/>
      <c r="BO23" s="11"/>
    </row>
    <row r="24" spans="1:67" ht="15" customHeight="1">
      <c r="A24" s="12" t="s">
        <v>180</v>
      </c>
      <c r="B24" s="14"/>
      <c r="C24" s="14"/>
      <c r="D24" s="14"/>
      <c r="E24" s="14"/>
      <c r="F24" s="14"/>
      <c r="G24" s="14"/>
      <c r="H24" s="14"/>
      <c r="I24" s="14"/>
      <c r="J24" s="13" t="str">
        <f>IF($Q$6=TRUE(),539,"")</f>
        <v/>
      </c>
      <c r="K24" s="13" t="str">
        <f>IF($Q$6=TRUE(),528,"")</f>
        <v/>
      </c>
      <c r="L24" s="13" t="str">
        <f>IF($Q$6=TRUE(),528,"")</f>
        <v/>
      </c>
      <c r="M24" s="13" t="str">
        <f>IF($Q$6=TRUE(),528,"")</f>
        <v/>
      </c>
      <c r="N24" s="13" t="str">
        <f>IF($Q$6=TRUE(),549.1,"")</f>
        <v/>
      </c>
      <c r="O24" s="13" t="str">
        <f>IF($Q$6=TRUE(),549.1,"")</f>
        <v/>
      </c>
      <c r="P24" s="13" t="str">
        <f>IF($Q$6=TRUE(),554.4,"")</f>
        <v/>
      </c>
      <c r="Q24" s="13" t="str">
        <f>IF($Q$6=TRUE(),554.4,"")</f>
        <v/>
      </c>
      <c r="R24" s="13" t="str">
        <f>IF($Q$6=TRUE(),543.3,"")</f>
        <v/>
      </c>
      <c r="S24" s="13" t="str">
        <f>IF($Q$6=TRUE(),543.3,"")</f>
        <v/>
      </c>
      <c r="T24" s="13" t="str">
        <f>IF($Q$6=TRUE(),504.5,"")</f>
        <v/>
      </c>
      <c r="U24" s="13" t="str">
        <f>IF($Q$6=TRUE(),493.4,"")</f>
        <v/>
      </c>
      <c r="V24" s="13" t="str">
        <f>IF($Q$6=TRUE(),510.7,"")</f>
        <v/>
      </c>
      <c r="W24" s="13" t="str">
        <f>IF($Q$6=TRUE(),518.1,"")</f>
        <v/>
      </c>
      <c r="X24" s="13" t="str">
        <f>IF($Q$6=TRUE(),582.2,"")</f>
        <v/>
      </c>
      <c r="Y24" s="13" t="str">
        <f>IF($Q$6=TRUE(),602,"")</f>
        <v/>
      </c>
      <c r="Z24" s="13" t="str">
        <f>IF($Q$6=TRUE(),589.9,"")</f>
        <v/>
      </c>
      <c r="AA24" s="13" t="str">
        <f>IF($Q$6=TRUE(),644.1,"")</f>
        <v/>
      </c>
      <c r="AB24" s="13" t="str">
        <f>IF($Q$6=TRUE(),644.1,"")</f>
        <v/>
      </c>
      <c r="AC24" s="13" t="str">
        <f>IF($Q$6=TRUE(),710.3,"")</f>
        <v/>
      </c>
      <c r="AD24" s="13" t="str">
        <f>IF($Q$6=TRUE(),781.4,"")</f>
        <v/>
      </c>
      <c r="AE24" s="13" t="str">
        <f>IF($Q$6=TRUE(),838.2,"")</f>
        <v/>
      </c>
      <c r="AF24" s="13" t="str">
        <f>IF($Q$6=TRUE(),944.7,"")</f>
        <v/>
      </c>
      <c r="AG24" s="13" t="str">
        <f>IF($Q$6=TRUE(),987.3,"")</f>
        <v/>
      </c>
      <c r="AH24" s="13" t="str">
        <f>IF($Q$6=TRUE(),1044.2,"")</f>
        <v/>
      </c>
      <c r="AI24" s="13" t="str">
        <f>IF($Q$6=TRUE(),994.5,"")</f>
        <v/>
      </c>
      <c r="AJ24" s="13" t="str">
        <f>IF($Q$6=TRUE(),1272.9,"")</f>
        <v/>
      </c>
      <c r="AK24" s="13" t="str">
        <f>IF($Q$6=TRUE(),1163.5,"")</f>
        <v/>
      </c>
      <c r="AL24" s="13" t="str">
        <f>IF($Q$6=TRUE(),1183.4,"")</f>
        <v/>
      </c>
      <c r="AM24" s="13" t="str">
        <f>IF($Q$6=TRUE(),1402.2,"")</f>
        <v/>
      </c>
      <c r="AN24" s="13" t="str">
        <f>IF($Q$6=TRUE(),1898.5,"")</f>
        <v/>
      </c>
      <c r="AO24" s="13" t="str">
        <f>IF($Q$6=TRUE(),2131.3,"")</f>
        <v/>
      </c>
      <c r="AP24" s="13" t="str">
        <f>IF($Q$6=TRUE(),2313.6,"")</f>
        <v/>
      </c>
      <c r="AQ24" s="13" t="str">
        <f>IF($Q$6=TRUE(),2523.9,"")</f>
        <v/>
      </c>
      <c r="AR24" s="13" t="str">
        <f>IF($Q$6=TRUE(),2650.1,"")</f>
        <v/>
      </c>
      <c r="AS24" s="13" t="str">
        <f>IF($Q$6=TRUE(),2916.5,"")</f>
        <v/>
      </c>
      <c r="AT24" s="13" t="str">
        <f>IF($Q$6=TRUE(),3645.7,"")</f>
        <v/>
      </c>
      <c r="AU24" s="13" t="str">
        <f>IF($Q$6=TRUE(),3995.6,"")</f>
        <v/>
      </c>
      <c r="AV24" s="13" t="str">
        <f>IF($Q$6=TRUE(),3558.2,"")</f>
        <v/>
      </c>
      <c r="AW24" s="13" t="str">
        <f>IF($Q$6=TRUE(),3441.5,"")</f>
        <v/>
      </c>
      <c r="AX24" s="13" t="str">
        <f>IF($Q$6=TRUE(),3613.6,"")</f>
        <v/>
      </c>
      <c r="AY24" s="13" t="str">
        <f>IF($Q$6=TRUE(),3448.4,"")</f>
        <v/>
      </c>
      <c r="AZ24" s="13" t="str">
        <f>IF($Q$6=TRUE(),3510.3,"")</f>
        <v/>
      </c>
      <c r="BA24" s="13" t="str">
        <f>IF($Q$6=TRUE(),4023.1,"")</f>
        <v/>
      </c>
      <c r="BB24" s="13" t="str">
        <f>IF($Q$6=TRUE(),4287.9,"")</f>
        <v/>
      </c>
      <c r="BC24" s="13" t="str">
        <f>IF($Q$6=TRUE(),4859.4,"")</f>
        <v/>
      </c>
      <c r="BD24" s="13" t="str">
        <f>IF($Q$6=TRUE(),5214.1,"")</f>
        <v/>
      </c>
      <c r="BE24" s="13" t="str">
        <f>IF($Q$6=TRUE(),5063.5,"")</f>
        <v/>
      </c>
      <c r="BF24" s="13" t="str">
        <f>IF($Q$6=TRUE(),5170.4,"")</f>
        <v/>
      </c>
      <c r="BG24" s="13" t="str">
        <f>IF($Q$6=TRUE(),5389.1,"")</f>
        <v/>
      </c>
      <c r="BH24" s="13" t="str">
        <f>IF($Q$6=TRUE(),5836.4,"")</f>
        <v/>
      </c>
      <c r="BI24" s="13" t="str">
        <f>IF($Q$6=TRUE(),5669.3,"")</f>
        <v/>
      </c>
      <c r="BJ24" s="13" t="str">
        <f>IF($Q$6=TRUE(),5507.7,"")</f>
        <v/>
      </c>
      <c r="BK24" s="13" t="str">
        <f>IF($Q$6=TRUE(),5626.2,"")</f>
        <v/>
      </c>
      <c r="BL24" s="13" t="str">
        <f>IF($Q$6=TRUE(),5922.6,"")</f>
        <v/>
      </c>
      <c r="BM24" s="13" t="str">
        <f>IF($Q$6=TRUE(),6149,"")</f>
        <v/>
      </c>
      <c r="BN24" s="14"/>
      <c r="BO24" s="14"/>
    </row>
    <row r="25" spans="1:67" ht="15" customHeight="1">
      <c r="A25" s="9" t="s">
        <v>181</v>
      </c>
      <c r="B25" s="11"/>
      <c r="C25" s="11"/>
      <c r="D25" s="11"/>
      <c r="E25" s="11"/>
      <c r="F25" s="11"/>
      <c r="G25" s="11"/>
      <c r="H25" s="11"/>
      <c r="I25" s="11"/>
      <c r="J25" s="10" t="str">
        <f>IF($R$6=TRUE(),475.6,"")</f>
        <v/>
      </c>
      <c r="K25" s="10" t="str">
        <f t="shared" ref="K25:Y25" si="1">IF($R$6=TRUE(),487.9,"")</f>
        <v/>
      </c>
      <c r="L25" s="10" t="str">
        <f t="shared" si="1"/>
        <v/>
      </c>
      <c r="M25" s="10" t="str">
        <f t="shared" si="1"/>
        <v/>
      </c>
      <c r="N25" s="10" t="str">
        <f t="shared" si="1"/>
        <v/>
      </c>
      <c r="O25" s="10" t="str">
        <f t="shared" si="1"/>
        <v/>
      </c>
      <c r="P25" s="10" t="str">
        <f t="shared" si="1"/>
        <v/>
      </c>
      <c r="Q25" s="10" t="str">
        <f t="shared" si="1"/>
        <v/>
      </c>
      <c r="R25" s="10" t="str">
        <f t="shared" si="1"/>
        <v/>
      </c>
      <c r="S25" s="10" t="str">
        <f t="shared" si="1"/>
        <v/>
      </c>
      <c r="T25" s="10" t="str">
        <f t="shared" si="1"/>
        <v/>
      </c>
      <c r="U25" s="10" t="str">
        <f t="shared" si="1"/>
        <v/>
      </c>
      <c r="V25" s="10" t="str">
        <f t="shared" si="1"/>
        <v/>
      </c>
      <c r="W25" s="10" t="str">
        <f t="shared" si="1"/>
        <v/>
      </c>
      <c r="X25" s="10" t="str">
        <f t="shared" si="1"/>
        <v/>
      </c>
      <c r="Y25" s="10" t="str">
        <f t="shared" si="1"/>
        <v/>
      </c>
      <c r="Z25" s="10" t="str">
        <f>IF($R$6=TRUE(),561.1,"")</f>
        <v/>
      </c>
      <c r="AA25" s="10" t="str">
        <f>IF($R$6=TRUE(),595.2,"")</f>
        <v/>
      </c>
      <c r="AB25" s="10" t="str">
        <f>IF($R$6=TRUE(),595.2,"")</f>
        <v/>
      </c>
      <c r="AC25" s="10" t="str">
        <f>IF($R$6=TRUE(),595.2,"")</f>
        <v/>
      </c>
      <c r="AD25" s="10" t="str">
        <f>IF($R$6=TRUE(),702.3,"")</f>
        <v/>
      </c>
      <c r="AE25" s="10" t="str">
        <f>IF($R$6=TRUE(),940.4,"")</f>
        <v/>
      </c>
      <c r="AF25" s="10" t="str">
        <f>IF($R$6=TRUE(),1017.8,"")</f>
        <v/>
      </c>
      <c r="AG25" s="10" t="str">
        <f>IF($R$6=TRUE(),1041.6,"")</f>
        <v/>
      </c>
      <c r="AH25" s="10" t="str">
        <f>IF($R$6=TRUE(),1071.4,"")</f>
        <v/>
      </c>
      <c r="AI25" s="10" t="str">
        <f>IF($R$6=TRUE(),1154.7,"")</f>
        <v/>
      </c>
      <c r="AJ25" s="10" t="str">
        <f>IF($R$6=TRUE(),1385.6,"")</f>
        <v/>
      </c>
      <c r="AK25" s="10" t="str">
        <f>IF($R$6=TRUE(),1385.6,"")</f>
        <v/>
      </c>
      <c r="AL25" s="10" t="str">
        <f>IF($R$6=TRUE(),1558.8,"")</f>
        <v/>
      </c>
      <c r="AM25" s="10" t="str">
        <f>IF($R$6=TRUE(),1616.9,"")</f>
        <v/>
      </c>
      <c r="AN25" s="10" t="str">
        <f>IF($R$6=TRUE(),2069.6,"")</f>
        <v/>
      </c>
      <c r="AO25" s="10" t="str">
        <f>IF($R$6=TRUE(),2263.7,"")</f>
        <v/>
      </c>
      <c r="AP25" s="10" t="str">
        <f>IF($R$6=TRUE(),2344.5,"")</f>
        <v/>
      </c>
      <c r="AQ25" s="10" t="str">
        <f>IF($R$6=TRUE(),2700.2,"")</f>
        <v/>
      </c>
      <c r="AR25" s="10" t="str">
        <f>IF($R$6=TRUE(),2435,"")</f>
        <v/>
      </c>
      <c r="AS25" s="10" t="str">
        <f>IF($R$6=TRUE(),2435,"")</f>
        <v/>
      </c>
      <c r="AT25" s="10" t="str">
        <f>IF($R$6=TRUE(),2810,"")</f>
        <v/>
      </c>
      <c r="AU25" s="10" t="str">
        <f>IF($R$6=TRUE(),3433.4,"")</f>
        <v/>
      </c>
      <c r="AV25" s="10" t="str">
        <f>IF($R$6=TRUE(),3547.8,"")</f>
        <v/>
      </c>
      <c r="AW25" s="10" t="str">
        <f>IF($R$6=TRUE(),3788.9,"")</f>
        <v/>
      </c>
      <c r="AX25" s="10" t="str">
        <f>IF($R$6=TRUE(),4546.7,"")</f>
        <v/>
      </c>
      <c r="AY25" s="10" t="str">
        <f>IF($R$6=TRUE(),4736.1,"")</f>
        <v/>
      </c>
      <c r="AZ25" s="10" t="str">
        <f>IF($R$6=TRUE(),5221.1,"")</f>
        <v/>
      </c>
      <c r="BA25" s="10" t="str">
        <f>IF($R$6=TRUE(),5664.4,"")</f>
        <v/>
      </c>
      <c r="BB25" s="10" t="str">
        <f>IF($R$6=TRUE(),5717.5,"")</f>
        <v/>
      </c>
      <c r="BC25" s="10" t="str">
        <f>IF($R$6=TRUE(),6361.6,"")</f>
        <v/>
      </c>
      <c r="BD25" s="10" t="str">
        <f>IF($R$6=TRUE(),7379.5,"")</f>
        <v/>
      </c>
      <c r="BE25" s="10" t="str">
        <f>IF($R$6=TRUE(),7665.7,"")</f>
        <v/>
      </c>
      <c r="BF25" s="10" t="str">
        <f>IF($R$6=TRUE(),7379.5,"")</f>
        <v/>
      </c>
      <c r="BG25" s="10" t="str">
        <f>IF($R$6=TRUE(),7697.5,"")</f>
        <v/>
      </c>
      <c r="BH25" s="10" t="str">
        <f>IF($R$6=TRUE(),8536.5,"")</f>
        <v/>
      </c>
      <c r="BI25" s="10" t="str">
        <f>IF($R$6=TRUE(),9306.3,"")</f>
        <v/>
      </c>
      <c r="BJ25" s="10" t="str">
        <f>IF($R$6=TRUE(),9306.3,"")</f>
        <v/>
      </c>
      <c r="BK25" s="10" t="str">
        <f>IF($R$6=TRUE(),9467.9,"")</f>
        <v/>
      </c>
      <c r="BL25" s="10" t="str">
        <f>IF($R$6=TRUE(),9467.9,"")</f>
        <v/>
      </c>
      <c r="BM25" s="10" t="str">
        <f>IF($R$6=TRUE(),9852.8,"")</f>
        <v/>
      </c>
      <c r="BN25" s="11"/>
      <c r="BO25" s="11"/>
    </row>
    <row r="26" spans="1:67" ht="15" customHeight="1">
      <c r="A26" s="12" t="s">
        <v>182</v>
      </c>
      <c r="B26" s="14"/>
      <c r="C26" s="14"/>
      <c r="D26" s="14"/>
      <c r="E26" s="14"/>
      <c r="F26" s="14"/>
      <c r="G26" s="14"/>
      <c r="H26" s="14"/>
      <c r="I26" s="14"/>
      <c r="J26" s="13" t="str">
        <f>IF($S$6=TRUE(),486,"")</f>
        <v/>
      </c>
      <c r="K26" s="13" t="str">
        <f>IF($S$6=TRUE(),486,"")</f>
        <v/>
      </c>
      <c r="L26" s="13" t="str">
        <f>IF($S$6=TRUE(),486,"")</f>
        <v/>
      </c>
      <c r="M26" s="13" t="str">
        <f>IF($S$6=TRUE(),486,"")</f>
        <v/>
      </c>
      <c r="N26" s="13" t="str">
        <f>IF($S$6=TRUE(),524.9,"")</f>
        <v/>
      </c>
      <c r="O26" s="13" t="str">
        <f>IF($S$6=TRUE(),524.9,"")</f>
        <v/>
      </c>
      <c r="P26" s="13" t="str">
        <f>IF($S$6=TRUE(),539.5,"")</f>
        <v/>
      </c>
      <c r="Q26" s="13" t="str">
        <f>IF($S$6=TRUE(),539.5,"")</f>
        <v/>
      </c>
      <c r="R26" s="13" t="str">
        <f>IF($S$6=TRUE(),539.5,"")</f>
        <v/>
      </c>
      <c r="S26" s="13" t="str">
        <f>IF($S$6=TRUE(),539.5,"")</f>
        <v/>
      </c>
      <c r="T26" s="13" t="str">
        <f>IF($S$6=TRUE(),531.9,"")</f>
        <v/>
      </c>
      <c r="U26" s="13" t="str">
        <f>IF($S$6=TRUE(),531.9,"")</f>
        <v/>
      </c>
      <c r="V26" s="13" t="str">
        <f>IF($S$6=TRUE(),531.9,"")</f>
        <v/>
      </c>
      <c r="W26" s="13" t="str">
        <f>IF($S$6=TRUE(),531.9,"")</f>
        <v/>
      </c>
      <c r="X26" s="13" t="str">
        <f>IF($S$6=TRUE(),521.3,"")</f>
        <v/>
      </c>
      <c r="Y26" s="13" t="str">
        <f>IF($S$6=TRUE(),521.3,"")</f>
        <v/>
      </c>
      <c r="Z26" s="13" t="str">
        <f>IF($S$6=TRUE(),536.9,"")</f>
        <v/>
      </c>
      <c r="AA26" s="13" t="str">
        <f>IF($S$6=TRUE(),536.9,"")</f>
        <v/>
      </c>
      <c r="AB26" s="13" t="str">
        <f>IF($S$6=TRUE(),577.8,"")</f>
        <v/>
      </c>
      <c r="AC26" s="13" t="str">
        <f>IF($S$6=TRUE(),609.9,"")</f>
        <v/>
      </c>
      <c r="AD26" s="13" t="str">
        <f>IF($S$6=TRUE(),731.9,"")</f>
        <v/>
      </c>
      <c r="AE26" s="13" t="str">
        <f>IF($S$6=TRUE(),914.9,"")</f>
        <v/>
      </c>
      <c r="AF26" s="13" t="str">
        <f>IF($S$6=TRUE(),1219.9,"")</f>
        <v/>
      </c>
      <c r="AG26" s="13" t="str">
        <f>IF($S$6=TRUE(),1219.9,"")</f>
        <v/>
      </c>
      <c r="AH26" s="13" t="str">
        <f>IF($S$6=TRUE(),1189.4,"")</f>
        <v/>
      </c>
      <c r="AI26" s="13" t="str">
        <f>IF($S$6=TRUE(),1189.4,"")</f>
        <v/>
      </c>
      <c r="AJ26" s="13" t="str">
        <f>IF($S$6=TRUE(),1486.7,"")</f>
        <v/>
      </c>
      <c r="AK26" s="13" t="str">
        <f>IF($S$6=TRUE(),1462.9,"")</f>
        <v/>
      </c>
      <c r="AL26" s="13" t="str">
        <f>IF($S$6=TRUE(),1546.2,"")</f>
        <v/>
      </c>
      <c r="AM26" s="13" t="str">
        <f>IF($S$6=TRUE(),1605.6,"")</f>
        <v/>
      </c>
      <c r="AN26" s="13" t="str">
        <f>IF($S$6=TRUE(),1926.8,"")</f>
        <v/>
      </c>
      <c r="AO26" s="13" t="str">
        <f>IF($S$6=TRUE(),2649.3,"")</f>
        <v/>
      </c>
      <c r="AP26" s="13" t="str">
        <f>IF($S$6=TRUE(),2649.3,"")</f>
        <v/>
      </c>
      <c r="AQ26" s="13" t="str">
        <f>IF($S$6=TRUE(),2729.6,"")</f>
        <v/>
      </c>
      <c r="AR26" s="13" t="str">
        <f>IF($S$6=TRUE(),2938.3,"")</f>
        <v/>
      </c>
      <c r="AS26" s="13" t="str">
        <f>IF($S$6=TRUE(),2938.3,"")</f>
        <v/>
      </c>
      <c r="AT26" s="13" t="str">
        <f>IF($S$6=TRUE(),3790.4,"")</f>
        <v/>
      </c>
      <c r="AU26" s="13" t="str">
        <f>IF($S$6=TRUE(),3790.4,"")</f>
        <v/>
      </c>
      <c r="AV26" s="13" t="str">
        <f>IF($S$6=TRUE(),3819.8,"")</f>
        <v/>
      </c>
      <c r="AW26" s="13" t="str">
        <f>IF($S$6=TRUE(),4025.5,"")</f>
        <v/>
      </c>
      <c r="AX26" s="13" t="str">
        <f>IF($S$6=TRUE(),4387.8,"")</f>
        <v/>
      </c>
      <c r="AY26" s="13" t="str">
        <f>IF($S$6=TRUE(),5031.9,"")</f>
        <v/>
      </c>
      <c r="AZ26" s="13" t="str">
        <f>IF($S$6=TRUE(),5233.2,"")</f>
        <v/>
      </c>
      <c r="BA26" s="13" t="str">
        <f>IF($S$6=TRUE(),5609.5,"")</f>
        <v/>
      </c>
      <c r="BB26" s="13" t="str">
        <f>IF($S$6=TRUE(),6646.1,"")</f>
        <v/>
      </c>
      <c r="BC26" s="13" t="str">
        <f>IF($S$6=TRUE(),7056.7,"")</f>
        <v/>
      </c>
      <c r="BD26" s="13" t="str">
        <f>IF($S$6=TRUE(),6703.9,"")</f>
        <v/>
      </c>
      <c r="BE26" s="13" t="str">
        <f>IF($S$6=TRUE(),6732.1,"")</f>
        <v/>
      </c>
      <c r="BF26" s="13" t="str">
        <f>IF($S$6=TRUE(),6732.1,"")</f>
        <v/>
      </c>
      <c r="BG26" s="13" t="str">
        <f>IF($S$6=TRUE(),6901.5,"")</f>
        <v/>
      </c>
      <c r="BH26" s="13" t="str">
        <f>IF($S$6=TRUE(),8247.3,"")</f>
        <v/>
      </c>
      <c r="BI26" s="13" t="str">
        <f>IF($S$6=TRUE(),9172.1,"")</f>
        <v/>
      </c>
      <c r="BJ26" s="13" t="str">
        <f>IF($S$6=TRUE(),7847,"")</f>
        <v/>
      </c>
      <c r="BK26" s="13" t="str">
        <f>IF($S$6=TRUE(),10124.5,"")</f>
        <v/>
      </c>
      <c r="BL26" s="13" t="str">
        <f>IF($S$6=TRUE(),10124.5,"")</f>
        <v/>
      </c>
      <c r="BM26" s="13" t="str">
        <f>IF($S$6=TRUE(),10124.5,"")</f>
        <v/>
      </c>
      <c r="BN26" s="14"/>
      <c r="BO26" s="14"/>
    </row>
  </sheetData>
  <mergeCells count="1">
    <mergeCell ref="A1:BO1"/>
  </mergeCells>
  <dataValidations count="1">
    <dataValidation type="list" sqref="B6:S6" xr:uid="{00000000-0002-0000-05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2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4.25"/>
  <cols>
    <col min="1" max="1" width="25" customWidth="1"/>
    <col min="2" max="15" width="8" customWidth="1"/>
  </cols>
  <sheetData>
    <row r="1" spans="1:67" ht="30" customHeight="1">
      <c r="A1" s="85" t="s">
        <v>356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167</v>
      </c>
      <c r="C5" s="4" t="s">
        <v>168</v>
      </c>
      <c r="D5" s="4" t="s">
        <v>172</v>
      </c>
      <c r="E5" s="4" t="s">
        <v>184</v>
      </c>
      <c r="F5" s="4" t="s">
        <v>173</v>
      </c>
      <c r="G5" s="4" t="s">
        <v>185</v>
      </c>
      <c r="H5" s="4" t="s">
        <v>186</v>
      </c>
      <c r="I5" s="4" t="s">
        <v>176</v>
      </c>
      <c r="J5" s="4" t="s">
        <v>177</v>
      </c>
      <c r="K5" s="4" t="s">
        <v>178</v>
      </c>
      <c r="L5" s="4" t="s">
        <v>95</v>
      </c>
      <c r="M5" s="4" t="s">
        <v>179</v>
      </c>
      <c r="N5" s="4" t="s">
        <v>182</v>
      </c>
      <c r="O5" s="4" t="s">
        <v>187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167</v>
      </c>
      <c r="B9" s="10">
        <f>IF($B$6=TRUE(),336.1,"")</f>
        <v>336.1</v>
      </c>
      <c r="C9" s="10">
        <f>IF($B$6=TRUE(),346.2,"")</f>
        <v>346.2</v>
      </c>
      <c r="D9" s="10">
        <f>IF($B$6=TRUE(),355.3,"")</f>
        <v>355.3</v>
      </c>
      <c r="E9" s="10">
        <f>IF($B$6=TRUE(),364.3,"")</f>
        <v>364.3</v>
      </c>
      <c r="F9" s="10">
        <f>IF($B$6=TRUE(),403.2,"")</f>
        <v>403.2</v>
      </c>
      <c r="G9" s="10">
        <f>IF($B$6=TRUE(),422.5,"")</f>
        <v>422.5</v>
      </c>
      <c r="H9" s="10">
        <f>IF($B$6=TRUE(),452.6,"")</f>
        <v>452.6</v>
      </c>
      <c r="I9" s="10">
        <f>IF($B$6=TRUE(),465.7,"")</f>
        <v>465.7</v>
      </c>
      <c r="J9" s="10">
        <f>IF($B$6=TRUE(),522.7,"")</f>
        <v>522.70000000000005</v>
      </c>
      <c r="K9" s="10">
        <f>IF($B$6=TRUE(),533,"")</f>
        <v>533</v>
      </c>
      <c r="L9" s="10">
        <f>IF($B$6=TRUE(),543.5,"")</f>
        <v>543.5</v>
      </c>
      <c r="M9" s="10">
        <f>IF($B$6=TRUE(),554.4,"")</f>
        <v>554.4</v>
      </c>
      <c r="N9" s="10">
        <f>IF($B$6=TRUE(),639.3,"")</f>
        <v>639.29999999999995</v>
      </c>
      <c r="O9" s="10">
        <f>IF($B$6=TRUE(),651,"")</f>
        <v>651</v>
      </c>
      <c r="P9" s="10">
        <f>IF($B$6=TRUE(),660.3,"")</f>
        <v>660.3</v>
      </c>
      <c r="Q9" s="10">
        <f>IF($B$6=TRUE(),668.9,"")</f>
        <v>668.9</v>
      </c>
      <c r="R9" s="10">
        <f>IF($B$6=TRUE(),670,"")</f>
        <v>670</v>
      </c>
      <c r="S9" s="10">
        <f>IF($B$6=TRUE(),671,"")</f>
        <v>671</v>
      </c>
      <c r="T9" s="10">
        <f>IF($B$6=TRUE(),672,"")</f>
        <v>672</v>
      </c>
      <c r="U9" s="10">
        <f>IF($B$6=TRUE(),673,"")</f>
        <v>673</v>
      </c>
      <c r="V9" s="10">
        <f>IF($B$6=TRUE(),674,"")</f>
        <v>674</v>
      </c>
      <c r="W9" s="10">
        <f>IF($B$6=TRUE(),675,"")</f>
        <v>675</v>
      </c>
      <c r="X9" s="10">
        <f>IF($B$6=TRUE(),676,"")</f>
        <v>676</v>
      </c>
      <c r="Y9" s="10">
        <f>IF($B$6=TRUE(),677,"")</f>
        <v>677</v>
      </c>
      <c r="Z9" s="10">
        <f>IF($B$6=TRUE(),678,"")</f>
        <v>678</v>
      </c>
      <c r="AA9" s="10">
        <f>IF($B$6=TRUE(),679,"")</f>
        <v>679</v>
      </c>
      <c r="AB9" s="10">
        <f>IF($B$6=TRUE(),680,"")</f>
        <v>680</v>
      </c>
      <c r="AC9" s="10">
        <f>IF($B$6=TRUE(),681,"")</f>
        <v>681</v>
      </c>
      <c r="AD9" s="10">
        <f>IF($B$6=TRUE(),682,"")</f>
        <v>682</v>
      </c>
      <c r="AE9" s="10">
        <f>IF($B$6=TRUE(),683,"")</f>
        <v>683</v>
      </c>
      <c r="AF9" s="10">
        <f>IF($B$6=TRUE(),684,"")</f>
        <v>684</v>
      </c>
      <c r="AG9" s="10">
        <f>IF($B$6=TRUE(),685,"")</f>
        <v>685</v>
      </c>
      <c r="AH9" s="10">
        <f>IF($B$6=TRUE(),685,"")</f>
        <v>685</v>
      </c>
      <c r="AI9" s="10">
        <f>IF($B$6=TRUE(),686,"")</f>
        <v>686</v>
      </c>
      <c r="AJ9" s="10">
        <f>IF($B$6=TRUE(),687,"")</f>
        <v>687</v>
      </c>
      <c r="AK9" s="10">
        <f>IF($B$6=TRUE(),688,"")</f>
        <v>688</v>
      </c>
      <c r="AL9" s="10">
        <f>IF($B$6=TRUE(),689,"")</f>
        <v>689</v>
      </c>
      <c r="AM9" s="10">
        <f>IF($B$6=TRUE(),690,"")</f>
        <v>690</v>
      </c>
      <c r="AN9" s="10">
        <f>IF($B$6=TRUE(),691,"")</f>
        <v>691</v>
      </c>
      <c r="AO9" s="10">
        <f>IF($B$6=TRUE(),692,"")</f>
        <v>692</v>
      </c>
      <c r="AP9" s="10">
        <f>IF($B$6=TRUE(),693,"")</f>
        <v>693</v>
      </c>
      <c r="AQ9" s="10">
        <f>IF($B$6=TRUE(),694,"")</f>
        <v>694</v>
      </c>
      <c r="AR9" s="10">
        <f>IF($B$6=TRUE(),695,"")</f>
        <v>695</v>
      </c>
      <c r="AS9" s="10">
        <f>IF($B$6=TRUE(),696,"")</f>
        <v>696</v>
      </c>
      <c r="AT9" s="10">
        <f>IF($B$6=TRUE(),697,"")</f>
        <v>697</v>
      </c>
      <c r="AU9" s="10">
        <f>IF($B$6=TRUE(),698,"")</f>
        <v>698</v>
      </c>
      <c r="AV9" s="10">
        <f>IF($B$6=TRUE(),699,"")</f>
        <v>699</v>
      </c>
      <c r="AW9" s="10">
        <f>IF($B$6=TRUE(),700,"")</f>
        <v>700</v>
      </c>
      <c r="AX9" s="10">
        <f>IF($B$6=TRUE(),701,"")</f>
        <v>701</v>
      </c>
      <c r="AY9" s="10">
        <f>IF($B$6=TRUE(),702,"")</f>
        <v>702</v>
      </c>
      <c r="AZ9" s="10">
        <f>IF($B$6=TRUE(),703,"")</f>
        <v>703</v>
      </c>
      <c r="BA9" s="10">
        <f>IF($B$6=TRUE(),704,"")</f>
        <v>704</v>
      </c>
      <c r="BB9" s="10">
        <f>IF($B$6=TRUE(),704,"")</f>
        <v>704</v>
      </c>
      <c r="BC9" s="10">
        <f>IF($B$6=TRUE(),704,"")</f>
        <v>704</v>
      </c>
      <c r="BD9" s="10">
        <f>IF($B$6=TRUE(),705,"")</f>
        <v>705</v>
      </c>
      <c r="BE9" s="10">
        <f>IF($B$6=TRUE(),706,"")</f>
        <v>706</v>
      </c>
      <c r="BF9" s="10">
        <f>IF($B$6=TRUE(),707,"")</f>
        <v>707</v>
      </c>
      <c r="BG9" s="10">
        <f>IF($B$6=TRUE(),708,"")</f>
        <v>708</v>
      </c>
      <c r="BH9" s="10">
        <f>IF($B$6=TRUE(),709,"")</f>
        <v>709</v>
      </c>
      <c r="BI9" s="10">
        <f>IF($B$6=TRUE(),710,"")</f>
        <v>710</v>
      </c>
      <c r="BJ9" s="10">
        <f>IF($B$6=TRUE(),711,"")</f>
        <v>711</v>
      </c>
      <c r="BK9" s="10">
        <f>IF($B$6=TRUE(),712,"")</f>
        <v>712</v>
      </c>
      <c r="BL9" s="10">
        <f>IF($B$6=TRUE(),712,"")</f>
        <v>712</v>
      </c>
      <c r="BM9" s="10">
        <f>IF($B$6=TRUE(),712,"")</f>
        <v>712</v>
      </c>
      <c r="BN9" s="11"/>
      <c r="BO9" s="11"/>
    </row>
    <row r="10" spans="1:67" ht="15" customHeight="1">
      <c r="A10" s="12" t="s">
        <v>168</v>
      </c>
      <c r="B10" s="13">
        <f>IF($C$6=TRUE(),335.5,"")</f>
        <v>335.5</v>
      </c>
      <c r="C10" s="13">
        <f>IF($C$6=TRUE(),346,"")</f>
        <v>346</v>
      </c>
      <c r="D10" s="13">
        <f>IF($C$6=TRUE(),355.9,"")</f>
        <v>355.9</v>
      </c>
      <c r="E10" s="13">
        <f>IF($C$6=TRUE(),365.7,"")</f>
        <v>365.7</v>
      </c>
      <c r="F10" s="13">
        <f>IF($C$6=TRUE(),404.1,"")</f>
        <v>404.1</v>
      </c>
      <c r="G10" s="13">
        <f>IF($C$6=TRUE(),424,"")</f>
        <v>424</v>
      </c>
      <c r="H10" s="13">
        <f>IF($C$6=TRUE(),455.6,"")</f>
        <v>455.6</v>
      </c>
      <c r="I10" s="13">
        <f>IF($C$6=TRUE(),469.7,"")</f>
        <v>469.7</v>
      </c>
      <c r="J10" s="13">
        <f>IF($C$6=TRUE(),525.7,"")</f>
        <v>525.70000000000005</v>
      </c>
      <c r="K10" s="13">
        <f>IF($C$6=TRUE(),536.4,"")</f>
        <v>536.4</v>
      </c>
      <c r="L10" s="13">
        <f>IF($C$6=TRUE(),546.9,"")</f>
        <v>546.9</v>
      </c>
      <c r="M10" s="13">
        <f>IF($C$6=TRUE(),557.8,"")</f>
        <v>557.79999999999995</v>
      </c>
      <c r="N10" s="13">
        <f>IF($C$6=TRUE(),641.1,"")</f>
        <v>641.1</v>
      </c>
      <c r="O10" s="13">
        <f>IF($C$6=TRUE(),653,"")</f>
        <v>653</v>
      </c>
      <c r="P10" s="13">
        <f>IF($C$6=TRUE(),662,"")</f>
        <v>662</v>
      </c>
      <c r="Q10" s="13">
        <f>IF($C$6=TRUE(),670.5,"")</f>
        <v>670.5</v>
      </c>
      <c r="R10" s="13">
        <f>IF($C$6=TRUE(),731.1,"")</f>
        <v>731.1</v>
      </c>
      <c r="S10" s="13">
        <f>IF($C$6=TRUE(),737,"")</f>
        <v>737</v>
      </c>
      <c r="T10" s="13">
        <f>IF($C$6=TRUE(),741.8,"")</f>
        <v>741.8</v>
      </c>
      <c r="U10" s="13">
        <f>IF($C$6=TRUE(),745.8,"")</f>
        <v>745.8</v>
      </c>
      <c r="V10" s="13">
        <f>IF($C$6=TRUE(),798.1,"")</f>
        <v>798.1</v>
      </c>
      <c r="W10" s="13">
        <f>IF($C$6=TRUE(),805.6,"")</f>
        <v>805.6</v>
      </c>
      <c r="X10" s="13">
        <f>IF($C$6=TRUE(),813.1,"")</f>
        <v>813.1</v>
      </c>
      <c r="Y10" s="13">
        <f>IF($C$6=TRUE(),820.4,"")</f>
        <v>820.4</v>
      </c>
      <c r="Z10" s="13">
        <f>IF($C$6=TRUE(),888.5,"")</f>
        <v>888.5</v>
      </c>
      <c r="AA10" s="13">
        <f>IF($C$6=TRUE(),891.4,"")</f>
        <v>891.4</v>
      </c>
      <c r="AB10" s="13">
        <f>IF($C$6=TRUE(),908.9,"")</f>
        <v>908.9</v>
      </c>
      <c r="AC10" s="13">
        <f>IF($C$6=TRUE(),917.6,"")</f>
        <v>917.6</v>
      </c>
      <c r="AD10" s="13">
        <f>IF($C$6=TRUE(),1044.9,"")</f>
        <v>1044.9000000000001</v>
      </c>
      <c r="AE10" s="13">
        <f>IF($C$6=TRUE(),1113.2,"")</f>
        <v>1113.2</v>
      </c>
      <c r="AF10" s="13">
        <f>IF($C$6=TRUE(),1139.1,"")</f>
        <v>1139.0999999999999</v>
      </c>
      <c r="AG10" s="13">
        <f>IF($C$6=TRUE(),1160.4,"")</f>
        <v>1160.4000000000001</v>
      </c>
      <c r="AH10" s="13">
        <f>IF($C$6=TRUE(),1178.2,"")</f>
        <v>1178.2</v>
      </c>
      <c r="AI10" s="13">
        <f>IF($C$6=TRUE(),1219.4,"")</f>
        <v>1219.4000000000001</v>
      </c>
      <c r="AJ10" s="13">
        <f>IF($C$6=TRUE(),1467.2,"")</f>
        <v>1467.2</v>
      </c>
      <c r="AK10" s="13">
        <f>IF($C$6=TRUE(),1540.4,"")</f>
        <v>1540.4</v>
      </c>
      <c r="AL10" s="13">
        <f>IF($C$6=TRUE(),1593,"")</f>
        <v>1593</v>
      </c>
      <c r="AM10" s="13">
        <f>IF($C$6=TRUE(),1650.8,"")</f>
        <v>1650.8</v>
      </c>
      <c r="AN10" s="13">
        <f>IF($C$6=TRUE(),2017.6,"")</f>
        <v>2017.6</v>
      </c>
      <c r="AO10" s="13">
        <f>IF($C$6=TRUE(),2261.7,"")</f>
        <v>2261.6999999999998</v>
      </c>
      <c r="AP10" s="13">
        <f>IF($C$6=TRUE(),2303,"")</f>
        <v>2303</v>
      </c>
      <c r="AQ10" s="13">
        <f>IF($C$6=TRUE(),2389.2,"")</f>
        <v>2389.1999999999998</v>
      </c>
      <c r="AR10" s="13">
        <f>IF($C$6=TRUE(),2629.2,"")</f>
        <v>2629.2</v>
      </c>
      <c r="AS10" s="13">
        <f>IF($C$6=TRUE(),2770.3,"")</f>
        <v>2770.3</v>
      </c>
      <c r="AT10" s="13">
        <f>IF($C$6=TRUE(),3611.6,"")</f>
        <v>3611.6</v>
      </c>
      <c r="AU10" s="13">
        <f>IF($C$6=TRUE(),3827,"")</f>
        <v>3827</v>
      </c>
      <c r="AV10" s="13">
        <f>IF($C$6=TRUE(),3848.6,"")</f>
        <v>3848.6</v>
      </c>
      <c r="AW10" s="13">
        <f>IF($C$6=TRUE(),3914.9,"")</f>
        <v>3914.9</v>
      </c>
      <c r="AX10" s="13">
        <f>IF($C$6=TRUE(),4933.5,"")</f>
        <v>4933.5</v>
      </c>
      <c r="AY10" s="13">
        <f>IF($C$6=TRUE(),5046.6,"")</f>
        <v>5046.6000000000004</v>
      </c>
      <c r="AZ10" s="13">
        <f>IF($C$6=TRUE(),5471.1,"")</f>
        <v>5471.1</v>
      </c>
      <c r="BA10" s="13">
        <f>IF($C$6=TRUE(),5735.6,"")</f>
        <v>5735.6</v>
      </c>
      <c r="BB10" s="13">
        <f>IF($C$6=TRUE(),5738,"")</f>
        <v>5738</v>
      </c>
      <c r="BC10" s="13">
        <f>IF($C$6=TRUE(),5748.3,"")</f>
        <v>5748.3</v>
      </c>
      <c r="BD10" s="13">
        <f>IF($C$6=TRUE(),7003.8,"")</f>
        <v>7003.8</v>
      </c>
      <c r="BE10" s="13">
        <f>IF($C$6=TRUE(),7276,"")</f>
        <v>7276</v>
      </c>
      <c r="BF10" s="13">
        <f>IF($C$6=TRUE(),7424.6,"")</f>
        <v>7424.6</v>
      </c>
      <c r="BG10" s="13">
        <f>IF($C$6=TRUE(),7626.4,"")</f>
        <v>7626.4</v>
      </c>
      <c r="BH10" s="13">
        <f>IF($C$6=TRUE(),9378.4,"")</f>
        <v>9378.4</v>
      </c>
      <c r="BI10" s="13">
        <f>IF($C$6=TRUE(),9777.3,"")</f>
        <v>9777.2999999999993</v>
      </c>
      <c r="BJ10" s="13">
        <f>IF($C$6=TRUE(),9807,"")</f>
        <v>9807</v>
      </c>
      <c r="BK10" s="13">
        <f>IF($C$6=TRUE(),10314.1,"")</f>
        <v>10314.1</v>
      </c>
      <c r="BL10" s="13">
        <f>IF($C$6=TRUE(),10439.8,"")</f>
        <v>10439.799999999999</v>
      </c>
      <c r="BM10" s="13">
        <f>IF($C$6=TRUE(),10575.8,"")</f>
        <v>10575.8</v>
      </c>
      <c r="BN10" s="14"/>
      <c r="BO10" s="14"/>
    </row>
    <row r="11" spans="1:67" ht="15" customHeight="1">
      <c r="A11" s="9" t="s">
        <v>172</v>
      </c>
      <c r="B11" s="10">
        <f>IF($D$6=TRUE(),334.7,"")</f>
        <v>334.7</v>
      </c>
      <c r="C11" s="10">
        <f>IF($D$6=TRUE(),345.3,"")</f>
        <v>345.3</v>
      </c>
      <c r="D11" s="10">
        <f>IF($D$6=TRUE(),356.1,"")</f>
        <v>356.1</v>
      </c>
      <c r="E11" s="10">
        <f>IF($D$6=TRUE(),366.2,"")</f>
        <v>366.2</v>
      </c>
      <c r="F11" s="10">
        <f>IF($D$6=TRUE(),404.1,"")</f>
        <v>404.1</v>
      </c>
      <c r="G11" s="10">
        <f>IF($D$6=TRUE(),425,"")</f>
        <v>425</v>
      </c>
      <c r="H11" s="10">
        <f>IF($D$6=TRUE(),458.4,"")</f>
        <v>458.4</v>
      </c>
      <c r="I11" s="10">
        <f>IF($D$6=TRUE(),472.9,"")</f>
        <v>472.9</v>
      </c>
      <c r="J11" s="10">
        <f>IF($D$6=TRUE(),528.4,"")</f>
        <v>528.4</v>
      </c>
      <c r="K11" s="10">
        <f>IF($D$6=TRUE(),539.1,"")</f>
        <v>539.1</v>
      </c>
      <c r="L11" s="10">
        <f>IF($D$6=TRUE(),549.7,"")</f>
        <v>549.70000000000005</v>
      </c>
      <c r="M11" s="10">
        <f>IF($D$6=TRUE(),560.6,"")</f>
        <v>560.6</v>
      </c>
      <c r="N11" s="10">
        <f>IF($D$6=TRUE(),643.3,"")</f>
        <v>643.29999999999995</v>
      </c>
      <c r="O11" s="10">
        <f>IF($D$6=TRUE(),655,"")</f>
        <v>655</v>
      </c>
      <c r="P11" s="10">
        <f>IF($D$6=TRUE(),663.5,"")</f>
        <v>663.5</v>
      </c>
      <c r="Q11" s="10">
        <f>IF($D$6=TRUE(),672.3,"")</f>
        <v>672.3</v>
      </c>
      <c r="R11" s="10">
        <f>IF($D$6=TRUE(),733.6,"")</f>
        <v>733.6</v>
      </c>
      <c r="S11" s="10">
        <f>IF($D$6=TRUE(),739,"")</f>
        <v>739</v>
      </c>
      <c r="T11" s="10">
        <f>IF($D$6=TRUE(),743.1,"")</f>
        <v>743.1</v>
      </c>
      <c r="U11" s="10">
        <f>IF($D$6=TRUE(),746.9,"")</f>
        <v>746.9</v>
      </c>
      <c r="V11" s="10">
        <f>IF($D$6=TRUE(),799.2,"")</f>
        <v>799.2</v>
      </c>
      <c r="W11" s="10">
        <f>IF($D$6=TRUE(),806.7,"")</f>
        <v>806.7</v>
      </c>
      <c r="X11" s="10">
        <f>IF($D$6=TRUE(),814.1,"")</f>
        <v>814.1</v>
      </c>
      <c r="Y11" s="10">
        <f>IF($D$6=TRUE(),821.6,"")</f>
        <v>821.6</v>
      </c>
      <c r="Z11" s="10">
        <f>IF($D$6=TRUE(),889.8,"")</f>
        <v>889.8</v>
      </c>
      <c r="AA11" s="10">
        <f>IF($D$6=TRUE(),892.3,"")</f>
        <v>892.3</v>
      </c>
      <c r="AB11" s="10">
        <f>IF($D$6=TRUE(),910.3,"")</f>
        <v>910.3</v>
      </c>
      <c r="AC11" s="10">
        <f>IF($D$6=TRUE(),919.4,"")</f>
        <v>919.4</v>
      </c>
      <c r="AD11" s="10">
        <f>IF($D$6=TRUE(),1046.3,"")</f>
        <v>1046.3</v>
      </c>
      <c r="AE11" s="10">
        <f>IF($D$6=TRUE(),1117.1,"")</f>
        <v>1117.0999999999999</v>
      </c>
      <c r="AF11" s="10">
        <f>IF($D$6=TRUE(),1143.7,"")</f>
        <v>1143.7</v>
      </c>
      <c r="AG11" s="10">
        <f>IF($D$6=TRUE(),1169.1,"")</f>
        <v>1169.0999999999999</v>
      </c>
      <c r="AH11" s="10">
        <f>IF($D$6=TRUE(),1184.2,"")</f>
        <v>1184.2</v>
      </c>
      <c r="AI11" s="10">
        <f>IF($D$6=TRUE(),1228.3,"")</f>
        <v>1228.3</v>
      </c>
      <c r="AJ11" s="10">
        <f>IF($D$6=TRUE(),1477.6,"")</f>
        <v>1477.6</v>
      </c>
      <c r="AK11" s="10">
        <f>IF($D$6=TRUE(),1551.3,"")</f>
        <v>1551.3</v>
      </c>
      <c r="AL11" s="10">
        <f>IF($D$6=TRUE(),1601.7,"")</f>
        <v>1601.7</v>
      </c>
      <c r="AM11" s="10">
        <f>IF($D$6=TRUE(),1663.1,"")</f>
        <v>1663.1</v>
      </c>
      <c r="AN11" s="10">
        <f>IF($D$6=TRUE(),2027.9,"")</f>
        <v>2027.9</v>
      </c>
      <c r="AO11" s="10">
        <f>IF($D$6=TRUE(),2274,"")</f>
        <v>2274</v>
      </c>
      <c r="AP11" s="10">
        <f>IF($D$6=TRUE(),2317.8,"")</f>
        <v>2317.8000000000002</v>
      </c>
      <c r="AQ11" s="10">
        <f>IF($D$6=TRUE(),2407.4,"")</f>
        <v>2407.4</v>
      </c>
      <c r="AR11" s="10">
        <f>IF($D$6=TRUE(),2654.1,"")</f>
        <v>2654.1</v>
      </c>
      <c r="AS11" s="10">
        <f>IF($D$6=TRUE(),2800.9,"")</f>
        <v>2800.9</v>
      </c>
      <c r="AT11" s="10">
        <f>IF($D$6=TRUE(),3658.9,"")</f>
        <v>3658.9</v>
      </c>
      <c r="AU11" s="10">
        <f>IF($D$6=TRUE(),3877.4,"")</f>
        <v>3877.4</v>
      </c>
      <c r="AV11" s="10">
        <f>IF($D$6=TRUE(),3895.2,"")</f>
        <v>3895.2</v>
      </c>
      <c r="AW11" s="10">
        <f>IF($D$6=TRUE(),3960.4,"")</f>
        <v>3960.4</v>
      </c>
      <c r="AX11" s="10">
        <f>IF($D$6=TRUE(),4982.2,"")</f>
        <v>4982.2</v>
      </c>
      <c r="AY11" s="10">
        <f>IF($D$6=TRUE(),5094.9,"")</f>
        <v>5094.8999999999996</v>
      </c>
      <c r="AZ11" s="10">
        <f>IF($D$6=TRUE(),5512.3,"")</f>
        <v>5512.3</v>
      </c>
      <c r="BA11" s="10">
        <f>IF($D$6=TRUE(),5787.7,"")</f>
        <v>5787.7</v>
      </c>
      <c r="BB11" s="10">
        <f>IF($D$6=TRUE(),5789.5,"")</f>
        <v>5789.5</v>
      </c>
      <c r="BC11" s="10">
        <f>IF($D$6=TRUE(),5802.5,"")</f>
        <v>5802.5</v>
      </c>
      <c r="BD11" s="10">
        <f>IF($D$6=TRUE(),7060.4,"")</f>
        <v>7060.4</v>
      </c>
      <c r="BE11" s="10">
        <f>IF($D$6=TRUE(),7327.8,"")</f>
        <v>7327.8</v>
      </c>
      <c r="BF11" s="10">
        <f>IF($D$6=TRUE(),7464.3,"")</f>
        <v>7464.3</v>
      </c>
      <c r="BG11" s="10">
        <f>IF($D$6=TRUE(),7674.8,"")</f>
        <v>7674.8</v>
      </c>
      <c r="BH11" s="10">
        <f>IF($D$6=TRUE(),9409.3,"")</f>
        <v>9409.2999999999993</v>
      </c>
      <c r="BI11" s="10">
        <f>IF($D$6=TRUE(),9785.4,"")</f>
        <v>9785.4</v>
      </c>
      <c r="BJ11" s="10">
        <f>IF($D$6=TRUE(),9846.8,"")</f>
        <v>9846.7999999999993</v>
      </c>
      <c r="BK11" s="10">
        <f>IF($D$6=TRUE(),10376.3,"")</f>
        <v>10376.299999999999</v>
      </c>
      <c r="BL11" s="10">
        <f>IF($D$6=TRUE(),10499.1,"")</f>
        <v>10499.1</v>
      </c>
      <c r="BM11" s="10">
        <f>IF($D$6=TRUE(),10645,"")</f>
        <v>10645</v>
      </c>
      <c r="BN11" s="11"/>
      <c r="BO11" s="11"/>
    </row>
    <row r="12" spans="1:67" ht="15" customHeight="1">
      <c r="A12" s="12" t="s">
        <v>184</v>
      </c>
      <c r="B12" s="13">
        <f>IF($E$6=TRUE(),334.7,"")</f>
        <v>334.7</v>
      </c>
      <c r="C12" s="13">
        <f>IF($E$6=TRUE(),345.3,"")</f>
        <v>345.3</v>
      </c>
      <c r="D12" s="13">
        <f>IF($E$6=TRUE(),356.1,"")</f>
        <v>356.1</v>
      </c>
      <c r="E12" s="13">
        <f>IF($E$6=TRUE(),366.2,"")</f>
        <v>366.2</v>
      </c>
      <c r="F12" s="13">
        <f>IF($E$6=TRUE(),404.1,"")</f>
        <v>404.1</v>
      </c>
      <c r="G12" s="13">
        <f>IF($E$6=TRUE(),425,"")</f>
        <v>425</v>
      </c>
      <c r="H12" s="13">
        <f>IF($E$6=TRUE(),458.4,"")</f>
        <v>458.4</v>
      </c>
      <c r="I12" s="13">
        <f>IF($E$6=TRUE(),472.9,"")</f>
        <v>472.9</v>
      </c>
      <c r="J12" s="13">
        <f>IF($E$6=TRUE(),528.4,"")</f>
        <v>528.4</v>
      </c>
      <c r="K12" s="13">
        <f>IF($E$6=TRUE(),539.1,"")</f>
        <v>539.1</v>
      </c>
      <c r="L12" s="13">
        <f>IF($E$6=TRUE(),549.7,"")</f>
        <v>549.70000000000005</v>
      </c>
      <c r="M12" s="13">
        <f>IF($E$6=TRUE(),560.6,"")</f>
        <v>560.6</v>
      </c>
      <c r="N12" s="13">
        <f>IF($E$6=TRUE(),643.3,"")</f>
        <v>643.29999999999995</v>
      </c>
      <c r="O12" s="13">
        <f>IF($E$6=TRUE(),655,"")</f>
        <v>655</v>
      </c>
      <c r="P12" s="13">
        <f>IF($E$6=TRUE(),663.5,"")</f>
        <v>663.5</v>
      </c>
      <c r="Q12" s="13">
        <f>IF($E$6=TRUE(),672.2,"")</f>
        <v>672.2</v>
      </c>
      <c r="R12" s="13">
        <f>IF($E$6=TRUE(),733.6,"")</f>
        <v>733.6</v>
      </c>
      <c r="S12" s="13">
        <f>IF($E$6=TRUE(),739,"")</f>
        <v>739</v>
      </c>
      <c r="T12" s="13">
        <f>IF($E$6=TRUE(),743.1,"")</f>
        <v>743.1</v>
      </c>
      <c r="U12" s="13">
        <f>IF($E$6=TRUE(),747.1,"")</f>
        <v>747.1</v>
      </c>
      <c r="V12" s="13">
        <f>IF($E$6=TRUE(),799.6,"")</f>
        <v>799.6</v>
      </c>
      <c r="W12" s="13">
        <f>IF($E$6=TRUE(),806.9,"")</f>
        <v>806.9</v>
      </c>
      <c r="X12" s="13">
        <f>IF($E$6=TRUE(),814.6,"")</f>
        <v>814.6</v>
      </c>
      <c r="Y12" s="13">
        <f>IF($E$6=TRUE(),822.1,"")</f>
        <v>822.1</v>
      </c>
      <c r="Z12" s="13">
        <f>IF($E$6=TRUE(),890.4,"")</f>
        <v>890.4</v>
      </c>
      <c r="AA12" s="13">
        <f>IF($E$6=TRUE(),892.8,"")</f>
        <v>892.8</v>
      </c>
      <c r="AB12" s="13">
        <f>IF($E$6=TRUE(),910.9,"")</f>
        <v>910.9</v>
      </c>
      <c r="AC12" s="13">
        <f>IF($E$6=TRUE(),919.8,"")</f>
        <v>919.8</v>
      </c>
      <c r="AD12" s="13">
        <f>IF($E$6=TRUE(),1046.8,"")</f>
        <v>1046.8</v>
      </c>
      <c r="AE12" s="13">
        <f>IF($E$6=TRUE(),1117.5,"")</f>
        <v>1117.5</v>
      </c>
      <c r="AF12" s="13">
        <f>IF($E$6=TRUE(),1143.7,"")</f>
        <v>1143.7</v>
      </c>
      <c r="AG12" s="13">
        <f>IF($E$6=TRUE(),1167,"")</f>
        <v>1167</v>
      </c>
      <c r="AH12" s="13">
        <f>IF($E$6=TRUE(),1184.4,"")</f>
        <v>1184.4000000000001</v>
      </c>
      <c r="AI12" s="13">
        <f>IF($E$6=TRUE(),1228.8,"")</f>
        <v>1228.8</v>
      </c>
      <c r="AJ12" s="13">
        <f>IF($E$6=TRUE(),1477.7,"")</f>
        <v>1477.7</v>
      </c>
      <c r="AK12" s="13">
        <f>IF($E$6=TRUE(),1552.2,"")</f>
        <v>1552.2</v>
      </c>
      <c r="AL12" s="13">
        <f>IF($E$6=TRUE(),1602.3,"")</f>
        <v>1602.3</v>
      </c>
      <c r="AM12" s="13">
        <f>IF($E$6=TRUE(),1663.2,"")</f>
        <v>1663.2</v>
      </c>
      <c r="AN12" s="13">
        <f>IF($E$6=TRUE(),2027.9,"")</f>
        <v>2027.9</v>
      </c>
      <c r="AO12" s="13">
        <f>IF($E$6=TRUE(),2274,"")</f>
        <v>2274</v>
      </c>
      <c r="AP12" s="13">
        <f>IF($E$6=TRUE(),2317.8,"")</f>
        <v>2317.8000000000002</v>
      </c>
      <c r="AQ12" s="13">
        <f>IF($E$6=TRUE(),2407.4,"")</f>
        <v>2407.4</v>
      </c>
      <c r="AR12" s="13">
        <f>IF($E$6=TRUE(),2654.1,"")</f>
        <v>2654.1</v>
      </c>
      <c r="AS12" s="13">
        <f>IF($E$6=TRUE(),2800.9,"")</f>
        <v>2800.9</v>
      </c>
      <c r="AT12" s="13">
        <f>IF($E$6=TRUE(),3653.2,"")</f>
        <v>3653.2</v>
      </c>
      <c r="AU12" s="13">
        <f>IF($E$6=TRUE(),3869.1,"")</f>
        <v>3869.1</v>
      </c>
      <c r="AV12" s="13">
        <f>IF($E$6=TRUE(),3888,"")</f>
        <v>3888</v>
      </c>
      <c r="AW12" s="13">
        <f>IF($E$6=TRUE(),3960.4,"")</f>
        <v>3960.4</v>
      </c>
      <c r="AX12" s="13">
        <f>IF($E$6=TRUE(),4983.1,"")</f>
        <v>4983.1000000000004</v>
      </c>
      <c r="AY12" s="13">
        <f>IF($E$6=TRUE(),5094.8,"")</f>
        <v>5094.8</v>
      </c>
      <c r="AZ12" s="13">
        <f>IF($E$6=TRUE(),5512.3,"")</f>
        <v>5512.3</v>
      </c>
      <c r="BA12" s="13">
        <f>IF($E$6=TRUE(),5787.7,"")</f>
        <v>5787.7</v>
      </c>
      <c r="BB12" s="13">
        <f>IF($E$6=TRUE(),5789.5,"")</f>
        <v>5789.5</v>
      </c>
      <c r="BC12" s="13">
        <f>IF($E$6=TRUE(),5802.5,"")</f>
        <v>5802.5</v>
      </c>
      <c r="BD12" s="13">
        <f>IF($E$6=TRUE(),7060.4,"")</f>
        <v>7060.4</v>
      </c>
      <c r="BE12" s="13">
        <f>IF($E$6=TRUE(),7327.8,"")</f>
        <v>7327.8</v>
      </c>
      <c r="BF12" s="13">
        <f>IF($E$6=TRUE(),7464.3,"")</f>
        <v>7464.3</v>
      </c>
      <c r="BG12" s="13">
        <f>IF($E$6=TRUE(),7674.8,"")</f>
        <v>7674.8</v>
      </c>
      <c r="BH12" s="13">
        <f>IF($E$6=TRUE(),9424.3,"")</f>
        <v>9424.2999999999993</v>
      </c>
      <c r="BI12" s="13">
        <f>IF($E$6=TRUE(),9823.3,"")</f>
        <v>9823.2999999999993</v>
      </c>
      <c r="BJ12" s="13">
        <f>IF($E$6=TRUE(),9846.5,"")</f>
        <v>9846.5</v>
      </c>
      <c r="BK12" s="13">
        <f>IF($E$6=TRUE(),10378.3,"")</f>
        <v>10378.299999999999</v>
      </c>
      <c r="BL12" s="13">
        <f>IF($E$6=TRUE(),10500.1,"")</f>
        <v>10500.1</v>
      </c>
      <c r="BM12" s="13">
        <f>IF($E$6=TRUE(),10641.3,"")</f>
        <v>10641.3</v>
      </c>
      <c r="BN12" s="14"/>
      <c r="BO12" s="14"/>
    </row>
    <row r="13" spans="1:67" ht="15" customHeight="1">
      <c r="A13" s="9" t="s">
        <v>173</v>
      </c>
      <c r="B13" s="10">
        <f>IF($F$6=TRUE(),335.6,"")</f>
        <v>335.6</v>
      </c>
      <c r="C13" s="10">
        <f>IF($F$6=TRUE(),346.5,"")</f>
        <v>346.5</v>
      </c>
      <c r="D13" s="10">
        <f>IF($F$6=TRUE(),357.3,"")</f>
        <v>357.3</v>
      </c>
      <c r="E13" s="10">
        <f>IF($F$6=TRUE(),367.4,"")</f>
        <v>367.4</v>
      </c>
      <c r="F13" s="10">
        <f>IF($F$6=TRUE(),405.6,"")</f>
        <v>405.6</v>
      </c>
      <c r="G13" s="10">
        <f>IF($F$6=TRUE(),426.5,"")</f>
        <v>426.5</v>
      </c>
      <c r="H13" s="10">
        <f>IF($F$6=TRUE(),460.1,"")</f>
        <v>460.1</v>
      </c>
      <c r="I13" s="10">
        <f>IF($F$6=TRUE(),474.8,"")</f>
        <v>474.8</v>
      </c>
      <c r="J13" s="10">
        <f>IF($F$6=TRUE(),530.6,"")</f>
        <v>530.6</v>
      </c>
      <c r="K13" s="10">
        <f>IF($F$6=TRUE(),541.4,"")</f>
        <v>541.4</v>
      </c>
      <c r="L13" s="10">
        <f>IF($F$6=TRUE(),552.1,"")</f>
        <v>552.1</v>
      </c>
      <c r="M13" s="10">
        <f>IF($F$6=TRUE(),562.9,"")</f>
        <v>562.9</v>
      </c>
      <c r="N13" s="10">
        <f>IF($F$6=TRUE(),646.3,"")</f>
        <v>646.29999999999995</v>
      </c>
      <c r="O13" s="10">
        <f>IF($F$6=TRUE(),658.1,"")</f>
        <v>658.1</v>
      </c>
      <c r="P13" s="10">
        <f>IF($F$6=TRUE(),666.6,"")</f>
        <v>666.6</v>
      </c>
      <c r="Q13" s="10">
        <f>IF($F$6=TRUE(),675.4,"")</f>
        <v>675.4</v>
      </c>
      <c r="R13" s="10">
        <f>IF($F$6=TRUE(),737.3,"")</f>
        <v>737.3</v>
      </c>
      <c r="S13" s="10">
        <f>IF($F$6=TRUE(),742.7,"")</f>
        <v>742.7</v>
      </c>
      <c r="T13" s="10">
        <f>IF($F$6=TRUE(),746.7,"")</f>
        <v>746.7</v>
      </c>
      <c r="U13" s="10">
        <f>IF($F$6=TRUE(),750.7,"")</f>
        <v>750.7</v>
      </c>
      <c r="V13" s="10">
        <f>IF($F$6=TRUE(),803.4,"")</f>
        <v>803.4</v>
      </c>
      <c r="W13" s="10">
        <f>IF($F$6=TRUE(),810.8,"")</f>
        <v>810.8</v>
      </c>
      <c r="X13" s="10">
        <f>IF($F$6=TRUE(),818.4,"")</f>
        <v>818.4</v>
      </c>
      <c r="Y13" s="10">
        <f>IF($F$6=TRUE(),826,"")</f>
        <v>826</v>
      </c>
      <c r="Z13" s="10">
        <f>IF($F$6=TRUE(),894.9,"")</f>
        <v>894.9</v>
      </c>
      <c r="AA13" s="10">
        <f>IF($F$6=TRUE(),896.9,"")</f>
        <v>896.9</v>
      </c>
      <c r="AB13" s="10">
        <f>IF($F$6=TRUE(),915.4,"")</f>
        <v>915.4</v>
      </c>
      <c r="AC13" s="10">
        <f>IF($F$6=TRUE(),924.2,"")</f>
        <v>924.2</v>
      </c>
      <c r="AD13" s="10">
        <f>IF($F$6=TRUE(),1051.8,"")</f>
        <v>1051.8</v>
      </c>
      <c r="AE13" s="10">
        <f>IF($F$6=TRUE(),1122.7,"")</f>
        <v>1122.7</v>
      </c>
      <c r="AF13" s="10">
        <f>IF($F$6=TRUE(),1148.5,"")</f>
        <v>1148.5</v>
      </c>
      <c r="AG13" s="10">
        <f>IF($F$6=TRUE(),1171.9,"")</f>
        <v>1171.9000000000001</v>
      </c>
      <c r="AH13" s="10">
        <f>IF($F$6=TRUE(),1189.4,"")</f>
        <v>1189.4000000000001</v>
      </c>
      <c r="AI13" s="10">
        <f>IF($F$6=TRUE(),1234.2,"")</f>
        <v>1234.2</v>
      </c>
      <c r="AJ13" s="10">
        <f>IF($F$6=TRUE(),1485.7,"")</f>
        <v>1485.7</v>
      </c>
      <c r="AK13" s="10">
        <f>IF($F$6=TRUE(),1560.9,"")</f>
        <v>1560.9</v>
      </c>
      <c r="AL13" s="10">
        <f>IF($F$6=TRUE(),1611.2,"")</f>
        <v>1611.2</v>
      </c>
      <c r="AM13" s="10">
        <f>IF($F$6=TRUE(),1672.7,"")</f>
        <v>1672.7</v>
      </c>
      <c r="AN13" s="10">
        <f>IF($F$6=TRUE(),2040.7,"")</f>
        <v>2040.7</v>
      </c>
      <c r="AO13" s="10">
        <f>IF($F$6=TRUE(),2287.7,"")</f>
        <v>2287.6999999999998</v>
      </c>
      <c r="AP13" s="10">
        <f>IF($F$6=TRUE(),2331.8,"")</f>
        <v>2331.8000000000002</v>
      </c>
      <c r="AQ13" s="10">
        <f>IF($F$6=TRUE(),2421.8,"")</f>
        <v>2421.8000000000002</v>
      </c>
      <c r="AR13" s="10">
        <f>IF($F$6=TRUE(),2669.3,"")</f>
        <v>2669.3</v>
      </c>
      <c r="AS13" s="10">
        <f>IF($F$6=TRUE(),2816.4,"")</f>
        <v>2816.4</v>
      </c>
      <c r="AT13" s="10">
        <f>IF($F$6=TRUE(),3676.1,"")</f>
        <v>3676.1</v>
      </c>
      <c r="AU13" s="10">
        <f>IF($F$6=TRUE(),3890,"")</f>
        <v>3890</v>
      </c>
      <c r="AV13" s="10">
        <f>IF($F$6=TRUE(),3907.3,"")</f>
        <v>3907.3</v>
      </c>
      <c r="AW13" s="10">
        <f>IF($F$6=TRUE(),3972.4,"")</f>
        <v>3972.4</v>
      </c>
      <c r="AX13" s="10">
        <f>IF($F$6=TRUE(),5003.1,"")</f>
        <v>5003.1000000000004</v>
      </c>
      <c r="AY13" s="10">
        <f>IF($F$6=TRUE(),5114.4,"")</f>
        <v>5114.3999999999996</v>
      </c>
      <c r="AZ13" s="10">
        <f>IF($F$6=TRUE(),5547,"")</f>
        <v>5547</v>
      </c>
      <c r="BA13" s="10">
        <f>IF($F$6=TRUE(),5820.1,"")</f>
        <v>5820.1</v>
      </c>
      <c r="BB13" s="10">
        <f>IF($F$6=TRUE(),5821.9,"")</f>
        <v>5821.9</v>
      </c>
      <c r="BC13" s="10">
        <f>IF($F$6=TRUE(),5833.8,"")</f>
        <v>5833.8</v>
      </c>
      <c r="BD13" s="10">
        <f>IF($F$6=TRUE(),7103.7,"")</f>
        <v>7103.7</v>
      </c>
      <c r="BE13" s="10">
        <f>IF($F$6=TRUE(),7372.5,"")</f>
        <v>7372.5</v>
      </c>
      <c r="BF13" s="10">
        <f>IF($F$6=TRUE(),7506.7,"")</f>
        <v>7506.7</v>
      </c>
      <c r="BG13" s="10">
        <f>IF($F$6=TRUE(),7718.4,"")</f>
        <v>7718.4</v>
      </c>
      <c r="BH13" s="10">
        <f>IF($F$6=TRUE(),9483.1,"")</f>
        <v>9483.1</v>
      </c>
      <c r="BI13" s="10">
        <f>IF($F$6=TRUE(),9883.5,"")</f>
        <v>9883.5</v>
      </c>
      <c r="BJ13" s="10">
        <f>IF($F$6=TRUE(),9905.5,"")</f>
        <v>9905.5</v>
      </c>
      <c r="BK13" s="10">
        <f>IF($F$6=TRUE(),10442.9,"")</f>
        <v>10442.9</v>
      </c>
      <c r="BL13" s="10">
        <f>IF($F$6=TRUE(),10562.9,"")</f>
        <v>10562.9</v>
      </c>
      <c r="BM13" s="10">
        <f>IF($F$6=TRUE(),10703.4,"")</f>
        <v>10703.4</v>
      </c>
      <c r="BN13" s="11"/>
      <c r="BO13" s="11"/>
    </row>
    <row r="14" spans="1:67" ht="15" customHeight="1">
      <c r="A14" s="12" t="s">
        <v>185</v>
      </c>
      <c r="B14" s="13" t="str">
        <f>IF($G$6=TRUE(),303,"")</f>
        <v/>
      </c>
      <c r="C14" s="13" t="str">
        <f>IF($G$6=TRUE(),314,"")</f>
        <v/>
      </c>
      <c r="D14" s="13" t="str">
        <f>IF($G$6=TRUE(),321.6,"")</f>
        <v/>
      </c>
      <c r="E14" s="13" t="str">
        <f>IF($G$6=TRUE(),338.3,"")</f>
        <v/>
      </c>
      <c r="F14" s="13" t="str">
        <f>IF($G$6=TRUE(),360.7,"")</f>
        <v/>
      </c>
      <c r="G14" s="13" t="str">
        <f>IF($G$6=TRUE(),379.3,"")</f>
        <v/>
      </c>
      <c r="H14" s="13" t="str">
        <f>IF($G$6=TRUE(),409.5,"")</f>
        <v/>
      </c>
      <c r="I14" s="13" t="str">
        <f>IF($G$6=TRUE(),431.4,"")</f>
        <v/>
      </c>
      <c r="J14" s="13" t="str">
        <f>IF($G$6=TRUE(),473.5,"")</f>
        <v/>
      </c>
      <c r="K14" s="13" t="str">
        <f>IF($G$6=TRUE(),484.4,"")</f>
        <v/>
      </c>
      <c r="L14" s="13" t="str">
        <f>IF($G$6=TRUE(),489.6,"")</f>
        <v/>
      </c>
      <c r="M14" s="13" t="str">
        <f>IF($G$6=TRUE(),494.3,"")</f>
        <v/>
      </c>
      <c r="N14" s="13" t="str">
        <f>IF($G$6=TRUE(),538.7,"")</f>
        <v/>
      </c>
      <c r="O14" s="13" t="str">
        <f>IF($G$6=TRUE(),562.9,"")</f>
        <v/>
      </c>
      <c r="P14" s="13" t="str">
        <f>IF($G$6=TRUE(),559.7,"")</f>
        <v/>
      </c>
      <c r="Q14" s="13" t="str">
        <f>IF($G$6=TRUE(),557.4,"")</f>
        <v/>
      </c>
      <c r="R14" s="13" t="str">
        <f>IF($G$6=TRUE(),583.2,"")</f>
        <v/>
      </c>
      <c r="S14" s="13" t="str">
        <f>IF($G$6=TRUE(),585.3,"")</f>
        <v/>
      </c>
      <c r="T14" s="13" t="str">
        <f>IF($G$6=TRUE(),582.9,"")</f>
        <v/>
      </c>
      <c r="U14" s="13" t="str">
        <f>IF($G$6=TRUE(),576.3,"")</f>
        <v/>
      </c>
      <c r="V14" s="13" t="str">
        <f>IF($G$6=TRUE(),605.2,"")</f>
        <v/>
      </c>
      <c r="W14" s="13" t="str">
        <f>IF($G$6=TRUE(),613.3,"")</f>
        <v/>
      </c>
      <c r="X14" s="13" t="str">
        <f>IF($G$6=TRUE(),630.1,"")</f>
        <v/>
      </c>
      <c r="Y14" s="13" t="str">
        <f>IF($G$6=TRUE(),640.2,"")</f>
        <v/>
      </c>
      <c r="Z14" s="13" t="str">
        <f>IF($G$6=TRUE(),686.7,"")</f>
        <v/>
      </c>
      <c r="AA14" s="13" t="str">
        <f>IF($G$6=TRUE(),693.2,"")</f>
        <v/>
      </c>
      <c r="AB14" s="13" t="str">
        <f>IF($G$6=TRUE(),708.5,"")</f>
        <v/>
      </c>
      <c r="AC14" s="13" t="str">
        <f>IF($G$6=TRUE(),722.7,"")</f>
        <v/>
      </c>
      <c r="AD14" s="13" t="str">
        <f>IF($G$6=TRUE(),816.4,"")</f>
        <v/>
      </c>
      <c r="AE14" s="13" t="str">
        <f>IF($G$6=TRUE(),888.4,"")</f>
        <v/>
      </c>
      <c r="AF14" s="13" t="str">
        <f>IF($G$6=TRUE(),944.4,"")</f>
        <v/>
      </c>
      <c r="AG14" s="13" t="str">
        <f>IF($G$6=TRUE(),1000.3,"")</f>
        <v/>
      </c>
      <c r="AH14" s="13" t="str">
        <f>IF($G$6=TRUE(),1015.1,"")</f>
        <v/>
      </c>
      <c r="AI14" s="13" t="str">
        <f>IF($G$6=TRUE(),1016.7,"")</f>
        <v/>
      </c>
      <c r="AJ14" s="13" t="str">
        <f>IF($G$6=TRUE(),1165,"")</f>
        <v/>
      </c>
      <c r="AK14" s="13" t="str">
        <f>IF($G$6=TRUE(),1228.6,"")</f>
        <v/>
      </c>
      <c r="AL14" s="13" t="str">
        <f>IF($G$6=TRUE(),1261.7,"")</f>
        <v/>
      </c>
      <c r="AM14" s="13" t="str">
        <f>IF($G$6=TRUE(),1309.6,"")</f>
        <v/>
      </c>
      <c r="AN14" s="13" t="str">
        <f>IF($G$6=TRUE(),1542.1,"")</f>
        <v/>
      </c>
      <c r="AO14" s="13" t="str">
        <f>IF($G$6=TRUE(),1801.1,"")</f>
        <v/>
      </c>
      <c r="AP14" s="13" t="str">
        <f>IF($G$6=TRUE(),1852.6,"")</f>
        <v/>
      </c>
      <c r="AQ14" s="13" t="str">
        <f>IF($G$6=TRUE(),1945.9,"")</f>
        <v/>
      </c>
      <c r="AR14" s="13" t="str">
        <f>IF($G$6=TRUE(),2200.4,"")</f>
        <v/>
      </c>
      <c r="AS14" s="13" t="str">
        <f>IF($G$6=TRUE(),2343.3,"")</f>
        <v/>
      </c>
      <c r="AT14" s="13" t="str">
        <f>IF($G$6=TRUE(),2954.9,"")</f>
        <v/>
      </c>
      <c r="AU14" s="13" t="str">
        <f>IF($G$6=TRUE(),3279.5,"")</f>
        <v/>
      </c>
      <c r="AV14" s="13" t="str">
        <f>IF($G$6=TRUE(),3461.5,"")</f>
        <v/>
      </c>
      <c r="AW14" s="13" t="str">
        <f>IF($G$6=TRUE(),3551.7,"")</f>
        <v/>
      </c>
      <c r="AX14" s="13" t="str">
        <f>IF($G$6=TRUE(),4325.5,"")</f>
        <v/>
      </c>
      <c r="AY14" s="13" t="str">
        <f>IF($G$6=TRUE(),4394.4,"")</f>
        <v/>
      </c>
      <c r="AZ14" s="13" t="str">
        <f>IF($G$6=TRUE(),4672.7,"")</f>
        <v/>
      </c>
      <c r="BA14" s="13" t="str">
        <f>IF($G$6=TRUE(),4981.5,"")</f>
        <v/>
      </c>
      <c r="BB14" s="13" t="str">
        <f>IF($G$6=TRUE(),5024.6,"")</f>
        <v/>
      </c>
      <c r="BC14" s="13" t="str">
        <f>IF($G$6=TRUE(),5267.7,"")</f>
        <v/>
      </c>
      <c r="BD14" s="13" t="str">
        <f>IF($G$6=TRUE(),5991.8,"")</f>
        <v/>
      </c>
      <c r="BE14" s="13" t="str">
        <f>IF($G$6=TRUE(),6189.9,"")</f>
        <v/>
      </c>
      <c r="BF14" s="13" t="str">
        <f>IF($G$6=TRUE(),6349.3,"")</f>
        <v/>
      </c>
      <c r="BG14" s="13" t="str">
        <f>IF($G$6=TRUE(),6400.8,"")</f>
        <v/>
      </c>
      <c r="BH14" s="13" t="str">
        <f>IF($G$6=TRUE(),7540.7,"")</f>
        <v/>
      </c>
      <c r="BI14" s="13" t="str">
        <f>IF($G$6=TRUE(),8036.4,"")</f>
        <v/>
      </c>
      <c r="BJ14" s="13" t="str">
        <f>IF($G$6=TRUE(),8225.5,"")</f>
        <v/>
      </c>
      <c r="BK14" s="13" t="str">
        <f>IF($G$6=TRUE(),8730.3,"")</f>
        <v/>
      </c>
      <c r="BL14" s="13" t="str">
        <f>IF($G$6=TRUE(),9138.1,"")</f>
        <v/>
      </c>
      <c r="BM14" s="13" t="str">
        <f>IF($G$6=TRUE(),9608.1,"")</f>
        <v/>
      </c>
      <c r="BN14" s="14"/>
      <c r="BO14" s="14"/>
    </row>
    <row r="15" spans="1:67" ht="15" customHeight="1">
      <c r="A15" s="9" t="s">
        <v>186</v>
      </c>
      <c r="B15" s="10" t="str">
        <f>IF($H$6=TRUE(),329.9,"")</f>
        <v/>
      </c>
      <c r="C15" s="10" t="str">
        <f>IF($H$6=TRUE(),338.4,"")</f>
        <v/>
      </c>
      <c r="D15" s="10" t="str">
        <f>IF($H$6=TRUE(),347.1,"")</f>
        <v/>
      </c>
      <c r="E15" s="10" t="str">
        <f>IF($H$6=TRUE(),354.5,"")</f>
        <v/>
      </c>
      <c r="F15" s="10" t="str">
        <f>IF($H$6=TRUE(),392.7,"")</f>
        <v/>
      </c>
      <c r="G15" s="10" t="str">
        <f>IF($H$6=TRUE(),411,"")</f>
        <v/>
      </c>
      <c r="H15" s="10" t="str">
        <f>IF($H$6=TRUE(),439.3,"")</f>
        <v/>
      </c>
      <c r="I15" s="10" t="str">
        <f>IF($H$6=TRUE(),451,"")</f>
        <v/>
      </c>
      <c r="J15" s="10" t="str">
        <f>IF($H$6=TRUE(),507.3,"")</f>
        <v/>
      </c>
      <c r="K15" s="10" t="str">
        <f>IF($H$6=TRUE(),517.1,"")</f>
        <v/>
      </c>
      <c r="L15" s="10" t="str">
        <f>IF($H$6=TRUE(),529.8,"")</f>
        <v/>
      </c>
      <c r="M15" s="10" t="str">
        <f>IF($H$6=TRUE(),541.9,"")</f>
        <v/>
      </c>
      <c r="N15" s="10" t="str">
        <f>IF($H$6=TRUE(),626,"")</f>
        <v/>
      </c>
      <c r="O15" s="10" t="str">
        <f>IF($H$6=TRUE(),637.2,"")</f>
        <v/>
      </c>
      <c r="P15" s="10" t="str">
        <f>IF($H$6=TRUE(),646.2,"")</f>
        <v/>
      </c>
      <c r="Q15" s="10" t="str">
        <f>IF($H$6=TRUE(),655.6,"")</f>
        <v/>
      </c>
      <c r="R15" s="10" t="str">
        <f>IF($H$6=TRUE(),719.9,"")</f>
        <v/>
      </c>
      <c r="S15" s="10" t="str">
        <f>IF($H$6=TRUE(),725.7,"")</f>
        <v/>
      </c>
      <c r="T15" s="10" t="str">
        <f>IF($H$6=TRUE(),730.5,"")</f>
        <v/>
      </c>
      <c r="U15" s="10" t="str">
        <f>IF($H$6=TRUE(),735.3,"")</f>
        <v/>
      </c>
      <c r="V15" s="10" t="str">
        <f>IF($H$6=TRUE(),791.5,"")</f>
        <v/>
      </c>
      <c r="W15" s="10" t="str">
        <f>IF($H$6=TRUE(),798.7,"")</f>
        <v/>
      </c>
      <c r="X15" s="10" t="str">
        <f>IF($H$6=TRUE(),806.2,"")</f>
        <v/>
      </c>
      <c r="Y15" s="10" t="str">
        <f>IF($H$6=TRUE(),813.6,"")</f>
        <v/>
      </c>
      <c r="Z15" s="10" t="str">
        <f>IF($H$6=TRUE(),884.3,"")</f>
        <v/>
      </c>
      <c r="AA15" s="10" t="str">
        <f>IF($H$6=TRUE(),887.7,"")</f>
        <v/>
      </c>
      <c r="AB15" s="10" t="str">
        <f>IF($H$6=TRUE(),903.1,"")</f>
        <v/>
      </c>
      <c r="AC15" s="10" t="str">
        <f>IF($H$6=TRUE(),911.7,"")</f>
        <v/>
      </c>
      <c r="AD15" s="10" t="str">
        <f>IF($H$6=TRUE(),1043.2,"")</f>
        <v/>
      </c>
      <c r="AE15" s="10" t="str">
        <f>IF($H$6=TRUE(),1099.1,"")</f>
        <v/>
      </c>
      <c r="AF15" s="10" t="str">
        <f>IF($H$6=TRUE(),1115.3,"")</f>
        <v/>
      </c>
      <c r="AG15" s="10" t="str">
        <f>IF($H$6=TRUE(),1129.9,"")</f>
        <v/>
      </c>
      <c r="AH15" s="10" t="str">
        <f>IF($H$6=TRUE(),1147.7,"")</f>
        <v/>
      </c>
      <c r="AI15" s="10" t="str">
        <f>IF($H$6=TRUE(),1184.2,"")</f>
        <v/>
      </c>
      <c r="AJ15" s="10" t="str">
        <f>IF($H$6=TRUE(),1435.7,"")</f>
        <v/>
      </c>
      <c r="AK15" s="10" t="str">
        <f>IF($H$6=TRUE(),1503.2,"")</f>
        <v/>
      </c>
      <c r="AL15" s="10" t="str">
        <f>IF($H$6=TRUE(),1540,"")</f>
        <v/>
      </c>
      <c r="AM15" s="10" t="str">
        <f>IF($H$6=TRUE(),1588.1,"")</f>
        <v/>
      </c>
      <c r="AN15" s="10" t="str">
        <f>IF($H$6=TRUE(),1939.9,"")</f>
        <v/>
      </c>
      <c r="AO15" s="10" t="str">
        <f>IF($H$6=TRUE(),2146.6,"")</f>
        <v/>
      </c>
      <c r="AP15" s="10" t="str">
        <f>IF($H$6=TRUE(),2174.2,"")</f>
        <v/>
      </c>
      <c r="AQ15" s="10" t="str">
        <f>IF($H$6=TRUE(),2230.3,"")</f>
        <v/>
      </c>
      <c r="AR15" s="10" t="str">
        <f>IF($H$6=TRUE(),2456.1,"")</f>
        <v/>
      </c>
      <c r="AS15" s="10" t="str">
        <f>IF($H$6=TRUE(),2587,"")</f>
        <v/>
      </c>
      <c r="AT15" s="10" t="str">
        <f>IF($H$6=TRUE(),3385,"")</f>
        <v/>
      </c>
      <c r="AU15" s="10" t="str">
        <f>IF($H$6=TRUE(),3563.1,"")</f>
        <v/>
      </c>
      <c r="AV15" s="10" t="str">
        <f>IF($H$6=TRUE(),3573.4,"")</f>
        <v/>
      </c>
      <c r="AW15" s="10" t="str">
        <f>IF($H$6=TRUE(),3614,"")</f>
        <v/>
      </c>
      <c r="AX15" s="10" t="str">
        <f>IF($H$6=TRUE(),4612.8,"")</f>
        <v/>
      </c>
      <c r="AY15" s="10" t="str">
        <f>IF($H$6=TRUE(),4707.1,"")</f>
        <v/>
      </c>
      <c r="AZ15" s="10" t="str">
        <f>IF($H$6=TRUE(),5040.6,"")</f>
        <v/>
      </c>
      <c r="BA15" s="10" t="str">
        <f>IF($H$6=TRUE(),5287.2,"")</f>
        <v/>
      </c>
      <c r="BB15" s="10" t="str">
        <f>IF($H$6=TRUE(),5288.4,"")</f>
        <v/>
      </c>
      <c r="BC15" s="10" t="str">
        <f>IF($H$6=TRUE(),5296.8,"")</f>
        <v/>
      </c>
      <c r="BD15" s="10" t="str">
        <f>IF($H$6=TRUE(),6488.9,"")</f>
        <v/>
      </c>
      <c r="BE15" s="10" t="str">
        <f>IF($H$6=TRUE(),6720.3,"")</f>
        <v/>
      </c>
      <c r="BF15" s="10" t="str">
        <f>IF($H$6=TRUE(),6863.7,"")</f>
        <v/>
      </c>
      <c r="BG15" s="10" t="str">
        <f>IF($H$6=TRUE(),7050.9,"")</f>
        <v/>
      </c>
      <c r="BH15" s="10" t="str">
        <f>IF($H$6=TRUE(),8717.1,"")</f>
        <v/>
      </c>
      <c r="BI15" s="10" t="str">
        <f>IF($H$6=TRUE(),9072.1,"")</f>
        <v/>
      </c>
      <c r="BJ15" s="10" t="str">
        <f>IF($H$6=TRUE(),9088.9,"")</f>
        <v/>
      </c>
      <c r="BK15" s="10" t="str">
        <f>IF($H$6=TRUE(),9527.9,"")</f>
        <v/>
      </c>
      <c r="BL15" s="10" t="str">
        <f>IF($H$6=TRUE(),9626.1,"")</f>
        <v/>
      </c>
      <c r="BM15" s="10" t="str">
        <f>IF($H$6=TRUE(),9738.6,"")</f>
        <v/>
      </c>
      <c r="BN15" s="11"/>
      <c r="BO15" s="11"/>
    </row>
    <row r="16" spans="1:67" ht="15" customHeight="1">
      <c r="A16" s="12" t="s">
        <v>176</v>
      </c>
      <c r="B16" s="13" t="str">
        <f>IF($I$6=TRUE(),336.7,"")</f>
        <v/>
      </c>
      <c r="C16" s="13" t="str">
        <f>IF($I$6=TRUE(),345,"")</f>
        <v/>
      </c>
      <c r="D16" s="13" t="str">
        <f>IF($I$6=TRUE(),368.5,"")</f>
        <v/>
      </c>
      <c r="E16" s="13" t="str">
        <f>IF($I$6=TRUE(),382.4,"")</f>
        <v/>
      </c>
      <c r="F16" s="13" t="str">
        <f>IF($I$6=TRUE(),419.9,"")</f>
        <v/>
      </c>
      <c r="G16" s="13" t="str">
        <f>IF($I$6=TRUE(),443.1,"")</f>
        <v/>
      </c>
      <c r="H16" s="13" t="str">
        <f>IF($I$6=TRUE(),475,"")</f>
        <v/>
      </c>
      <c r="I16" s="13" t="str">
        <f>IF($I$6=TRUE(),502.4,"")</f>
        <v/>
      </c>
      <c r="J16" s="13" t="str">
        <f>IF($I$6=TRUE(),548.5,"")</f>
        <v/>
      </c>
      <c r="K16" s="13" t="str">
        <f>IF($I$6=TRUE(),558.1,"")</f>
        <v/>
      </c>
      <c r="L16" s="13" t="str">
        <f>IF($I$6=TRUE(),571.9,"")</f>
        <v/>
      </c>
      <c r="M16" s="13" t="str">
        <f>IF($I$6=TRUE(),581.9,"")</f>
        <v/>
      </c>
      <c r="N16" s="13" t="str">
        <f>IF($I$6=TRUE(),648.2,"")</f>
        <v/>
      </c>
      <c r="O16" s="13" t="str">
        <f>IF($I$6=TRUE(),661.8,"")</f>
        <v/>
      </c>
      <c r="P16" s="13" t="str">
        <f>IF($I$6=TRUE(),664.5,"")</f>
        <v/>
      </c>
      <c r="Q16" s="13" t="str">
        <f>IF($I$6=TRUE(),670.4,"")</f>
        <v/>
      </c>
      <c r="R16" s="13" t="str">
        <f>IF($I$6=TRUE(),718.7,"")</f>
        <v/>
      </c>
      <c r="S16" s="13" t="str">
        <f>IF($I$6=TRUE(),723,"")</f>
        <v/>
      </c>
      <c r="T16" s="13" t="str">
        <f>IF($I$6=TRUE(),718.7,"")</f>
        <v/>
      </c>
      <c r="U16" s="13" t="str">
        <f>IF($I$6=TRUE(),700.9,"")</f>
        <v/>
      </c>
      <c r="V16" s="13" t="str">
        <f>IF($I$6=TRUE(),745.5,"")</f>
        <v/>
      </c>
      <c r="W16" s="13" t="str">
        <f>IF($I$6=TRUE(),757.4,"")</f>
        <v/>
      </c>
      <c r="X16" s="13" t="str">
        <f>IF($I$6=TRUE(),770.8,"")</f>
        <v/>
      </c>
      <c r="Y16" s="13" t="str">
        <f>IF($I$6=TRUE(),785.4,"")</f>
        <v/>
      </c>
      <c r="Z16" s="13" t="str">
        <f>IF($I$6=TRUE(),844.5,"")</f>
        <v/>
      </c>
      <c r="AA16" s="13" t="str">
        <f>IF($I$6=TRUE(),847.3,"")</f>
        <v/>
      </c>
      <c r="AB16" s="13" t="str">
        <f>IF($I$6=TRUE(),865.1,"")</f>
        <v/>
      </c>
      <c r="AC16" s="13" t="str">
        <f>IF($I$6=TRUE(),883.6,"")</f>
        <v/>
      </c>
      <c r="AD16" s="13" t="str">
        <f>IF($I$6=TRUE(),997.3,"")</f>
        <v/>
      </c>
      <c r="AE16" s="13" t="str">
        <f>IF($I$6=TRUE(),1072.6,"")</f>
        <v/>
      </c>
      <c r="AF16" s="13" t="str">
        <f>IF($I$6=TRUE(),1108.3,"")</f>
        <v/>
      </c>
      <c r="AG16" s="13" t="str">
        <f>IF($I$6=TRUE(),1193.9,"")</f>
        <v/>
      </c>
      <c r="AH16" s="13" t="str">
        <f>IF($I$6=TRUE(),1193.4,"")</f>
        <v/>
      </c>
      <c r="AI16" s="13" t="str">
        <f>IF($I$6=TRUE(),1220,"")</f>
        <v/>
      </c>
      <c r="AJ16" s="13" t="str">
        <f>IF($I$6=TRUE(),1439.9,"")</f>
        <v/>
      </c>
      <c r="AK16" s="13" t="str">
        <f>IF($I$6=TRUE(),1508.4,"")</f>
        <v/>
      </c>
      <c r="AL16" s="13" t="str">
        <f>IF($I$6=TRUE(),1550.5,"")</f>
        <v/>
      </c>
      <c r="AM16" s="13" t="str">
        <f>IF($I$6=TRUE(),1601.8,"")</f>
        <v/>
      </c>
      <c r="AN16" s="13" t="str">
        <f>IF($I$6=TRUE(),1925.9,"")</f>
        <v/>
      </c>
      <c r="AO16" s="13" t="str">
        <f>IF($I$6=TRUE(),2162,"")</f>
        <v/>
      </c>
      <c r="AP16" s="13" t="str">
        <f>IF($I$6=TRUE(),2203.7,"")</f>
        <v/>
      </c>
      <c r="AQ16" s="13" t="str">
        <f>IF($I$6=TRUE(),2306.6,"")</f>
        <v/>
      </c>
      <c r="AR16" s="13" t="str">
        <f>IF($I$6=TRUE(),2554.4,"")</f>
        <v/>
      </c>
      <c r="AS16" s="13" t="str">
        <f>IF($I$6=TRUE(),2686.2,"")</f>
        <v/>
      </c>
      <c r="AT16" s="13" t="str">
        <f>IF($I$6=TRUE(),3456.8,"")</f>
        <v/>
      </c>
      <c r="AU16" s="13" t="str">
        <f>IF($I$6=TRUE(),3688.9,"")</f>
        <v/>
      </c>
      <c r="AV16" s="13" t="str">
        <f>IF($I$6=TRUE(),3763.1,"")</f>
        <v/>
      </c>
      <c r="AW16" s="13" t="str">
        <f>IF($I$6=TRUE(),3837.3,"")</f>
        <v/>
      </c>
      <c r="AX16" s="13" t="str">
        <f>IF($I$6=TRUE(),4772.2,"")</f>
        <v/>
      </c>
      <c r="AY16" s="13" t="str">
        <f>IF($I$6=TRUE(),4870.3,"")</f>
        <v/>
      </c>
      <c r="AZ16" s="13" t="str">
        <f>IF($I$6=TRUE(),5191.9,"")</f>
        <v/>
      </c>
      <c r="BA16" s="13" t="str">
        <f>IF($I$6=TRUE(),5503.1,"")</f>
        <v/>
      </c>
      <c r="BB16" s="13" t="str">
        <f>IF($I$6=TRUE(),5541,"")</f>
        <v/>
      </c>
      <c r="BC16" s="13" t="str">
        <f>IF($I$6=TRUE(),5667.5,"")</f>
        <v/>
      </c>
      <c r="BD16" s="13" t="str">
        <f>IF($I$6=TRUE(),6754.8,"")</f>
        <v/>
      </c>
      <c r="BE16" s="13" t="str">
        <f>IF($I$6=TRUE(),6978,"")</f>
        <v/>
      </c>
      <c r="BF16" s="13" t="str">
        <f>IF($I$6=TRUE(),7147.2,"")</f>
        <v/>
      </c>
      <c r="BG16" s="13" t="str">
        <f>IF($I$6=TRUE(),7354.1,"")</f>
        <v/>
      </c>
      <c r="BH16" s="13" t="str">
        <f>IF($I$6=TRUE(),8980.6,"")</f>
        <v/>
      </c>
      <c r="BI16" s="13" t="str">
        <f>IF($I$6=TRUE(),9361.3,"")</f>
        <v/>
      </c>
      <c r="BJ16" s="13" t="str">
        <f>IF($I$6=TRUE(),9414,"")</f>
        <v/>
      </c>
      <c r="BK16" s="13" t="str">
        <f>IF($I$6=TRUE(),9954.6,"")</f>
        <v/>
      </c>
      <c r="BL16" s="13" t="str">
        <f>IF($I$6=TRUE(),10192.6,"")</f>
        <v/>
      </c>
      <c r="BM16" s="13" t="str">
        <f>IF($I$6=TRUE(),10345.1,"")</f>
        <v/>
      </c>
      <c r="BN16" s="14"/>
      <c r="BO16" s="14"/>
    </row>
    <row r="17" spans="1:67" ht="15" customHeight="1">
      <c r="A17" s="9" t="s">
        <v>177</v>
      </c>
      <c r="B17" s="10" t="str">
        <f>IF($J$6=TRUE(),281.6,"")</f>
        <v/>
      </c>
      <c r="C17" s="10" t="str">
        <f>IF($J$6=TRUE(),297.1,"")</f>
        <v/>
      </c>
      <c r="D17" s="10" t="str">
        <f>IF($J$6=TRUE(),311.8,"")</f>
        <v/>
      </c>
      <c r="E17" s="10" t="str">
        <f>IF($J$6=TRUE(),362.5,"")</f>
        <v/>
      </c>
      <c r="F17" s="10" t="str">
        <f>IF($J$6=TRUE(),414.7,"")</f>
        <v/>
      </c>
      <c r="G17" s="10" t="str">
        <f>IF($J$6=TRUE(),511.8,"")</f>
        <v/>
      </c>
      <c r="H17" s="10" t="str">
        <f>IF($J$6=TRUE(),593.1,"")</f>
        <v/>
      </c>
      <c r="I17" s="10" t="str">
        <f>IF($J$6=TRUE(),595.7,"")</f>
        <v/>
      </c>
      <c r="J17" s="10" t="str">
        <f>IF($J$6=TRUE(),600.8,"")</f>
        <v/>
      </c>
      <c r="K17" s="10" t="str">
        <f>IF($J$6=TRUE(),601,"")</f>
        <v/>
      </c>
      <c r="L17" s="10" t="str">
        <f>IF($J$6=TRUE(),591.9,"")</f>
        <v/>
      </c>
      <c r="M17" s="10" t="str">
        <f>IF($J$6=TRUE(),558,"")</f>
        <v/>
      </c>
      <c r="N17" s="10" t="str">
        <f>IF($J$6=TRUE(),607.5,"")</f>
        <v/>
      </c>
      <c r="O17" s="10" t="str">
        <f>IF($J$6=TRUE(),593,"")</f>
        <v/>
      </c>
      <c r="P17" s="10" t="str">
        <f>IF($J$6=TRUE(),591.3,"")</f>
        <v/>
      </c>
      <c r="Q17" s="10" t="str">
        <f>IF($J$6=TRUE(),550.5,"")</f>
        <v/>
      </c>
      <c r="R17" s="10" t="str">
        <f>IF($J$6=TRUE(),523.6,"")</f>
        <v/>
      </c>
      <c r="S17" s="10" t="str">
        <f>IF($J$6=TRUE(),510.4,"")</f>
        <v/>
      </c>
      <c r="T17" s="10" t="str">
        <f>IF($J$6=TRUE(),479.7,"")</f>
        <v/>
      </c>
      <c r="U17" s="10" t="str">
        <f>IF($J$6=TRUE(),446.6,"")</f>
        <v/>
      </c>
      <c r="V17" s="10" t="str">
        <f>IF($J$6=TRUE(),522.5,"")</f>
        <v/>
      </c>
      <c r="W17" s="10" t="str">
        <f>IF($J$6=TRUE(),523.2,"")</f>
        <v/>
      </c>
      <c r="X17" s="10" t="str">
        <f>IF($J$6=TRUE(),549.8,"")</f>
        <v/>
      </c>
      <c r="Y17" s="10" t="str">
        <f>IF($J$6=TRUE(),541.2,"")</f>
        <v/>
      </c>
      <c r="Z17" s="10" t="str">
        <f>IF($J$6=TRUE(),557.3,"")</f>
        <v/>
      </c>
      <c r="AA17" s="10" t="str">
        <f>IF($J$6=TRUE(),674.7,"")</f>
        <v/>
      </c>
      <c r="AB17" s="10" t="str">
        <f>IF($J$6=TRUE(),700.3,"")</f>
        <v/>
      </c>
      <c r="AC17" s="10" t="str">
        <f>IF($J$6=TRUE(),737.7,"")</f>
        <v/>
      </c>
      <c r="AD17" s="10" t="str">
        <f>IF($J$6=TRUE(),908.7,"")</f>
        <v/>
      </c>
      <c r="AE17" s="10" t="str">
        <f>IF($J$6=TRUE(),1025.9,"")</f>
        <v/>
      </c>
      <c r="AF17" s="10" t="str">
        <f>IF($J$6=TRUE(),1316.8,"")</f>
        <v/>
      </c>
      <c r="AG17" s="10" t="str">
        <f>IF($J$6=TRUE(),1380.3,"")</f>
        <v/>
      </c>
      <c r="AH17" s="10" t="str">
        <f>IF($J$6=TRUE(),1280.8,"")</f>
        <v/>
      </c>
      <c r="AI17" s="10" t="str">
        <f>IF($J$6=TRUE(),1275.6,"")</f>
        <v/>
      </c>
      <c r="AJ17" s="10" t="str">
        <f>IF($J$6=TRUE(),1497.8,"")</f>
        <v/>
      </c>
      <c r="AK17" s="10" t="str">
        <f>IF($J$6=TRUE(),1341.3,"")</f>
        <v/>
      </c>
      <c r="AL17" s="10" t="str">
        <f>IF($J$6=TRUE(),1390.9,"")</f>
        <v/>
      </c>
      <c r="AM17" s="10" t="str">
        <f>IF($J$6=TRUE(),1723.3,"")</f>
        <v/>
      </c>
      <c r="AN17" s="10" t="str">
        <f>IF($J$6=TRUE(),1956,"")</f>
        <v/>
      </c>
      <c r="AO17" s="10" t="str">
        <f>IF($J$6=TRUE(),2928.6,"")</f>
        <v/>
      </c>
      <c r="AP17" s="10" t="str">
        <f>IF($J$6=TRUE(),3218.5,"")</f>
        <v/>
      </c>
      <c r="AQ17" s="10" t="str">
        <f>IF($J$6=TRUE(),3350.4,"")</f>
        <v/>
      </c>
      <c r="AR17" s="10" t="str">
        <f>IF($J$6=TRUE(),3545.1,"")</f>
        <v/>
      </c>
      <c r="AS17" s="10" t="str">
        <f>IF($J$6=TRUE(),3761.4,"")</f>
        <v/>
      </c>
      <c r="AT17" s="10" t="str">
        <f>IF($J$6=TRUE(),4151.5,"")</f>
        <v/>
      </c>
      <c r="AU17" s="10" t="str">
        <f>IF($J$6=TRUE(),4808.5,"")</f>
        <v/>
      </c>
      <c r="AV17" s="10" t="str">
        <f>IF($J$6=TRUE(),4685.2,"")</f>
        <v/>
      </c>
      <c r="AW17" s="10" t="str">
        <f>IF($J$6=TRUE(),4615.8,"")</f>
        <v/>
      </c>
      <c r="AX17" s="10" t="str">
        <f>IF($J$6=TRUE(),5361.8,"")</f>
        <v/>
      </c>
      <c r="AY17" s="10" t="str">
        <f>IF($J$6=TRUE(),4940,"")</f>
        <v/>
      </c>
      <c r="AZ17" s="10" t="str">
        <f>IF($J$6=TRUE(),4931.1,"")</f>
        <v/>
      </c>
      <c r="BA17" s="10" t="str">
        <f>IF($J$6=TRUE(),5804.3,"")</f>
        <v/>
      </c>
      <c r="BB17" s="10" t="str">
        <f>IF($J$6=TRUE(),6515,"")</f>
        <v/>
      </c>
      <c r="BC17" s="10" t="str">
        <f>IF($J$6=TRUE(),7691.1,"")</f>
        <v/>
      </c>
      <c r="BD17" s="10" t="str">
        <f>IF($J$6=TRUE(),7751.9,"")</f>
        <v/>
      </c>
      <c r="BE17" s="10" t="str">
        <f>IF($J$6=TRUE(),7344.3,"")</f>
        <v/>
      </c>
      <c r="BF17" s="10" t="str">
        <f>IF($J$6=TRUE(),7041.4,"")</f>
        <v/>
      </c>
      <c r="BG17" s="10" t="str">
        <f>IF($J$6=TRUE(),7403.7,"")</f>
        <v/>
      </c>
      <c r="BH17" s="10" t="str">
        <f>IF($J$6=TRUE(),8210.4,"")</f>
        <v/>
      </c>
      <c r="BI17" s="10" t="str">
        <f>IF($J$6=TRUE(),8618.4,"")</f>
        <v/>
      </c>
      <c r="BJ17" s="10" t="str">
        <f>IF($J$6=TRUE(),8943.3,"")</f>
        <v/>
      </c>
      <c r="BK17" s="10" t="str">
        <f>IF($J$6=TRUE(),9434.4,"")</f>
        <v/>
      </c>
      <c r="BL17" s="10" t="str">
        <f>IF($J$6=TRUE(),9942.3,"")</f>
        <v/>
      </c>
      <c r="BM17" s="10" t="str">
        <f>IF($J$6=TRUE(),10826.5,"")</f>
        <v/>
      </c>
      <c r="BN17" s="11"/>
      <c r="BO17" s="11"/>
    </row>
    <row r="18" spans="1:67" ht="15" customHeight="1">
      <c r="A18" s="12" t="s">
        <v>178</v>
      </c>
      <c r="B18" s="13" t="str">
        <f>IF($K$6=TRUE(),288.3,"")</f>
        <v/>
      </c>
      <c r="C18" s="13" t="str">
        <f>IF($K$6=TRUE(),301.6,"")</f>
        <v/>
      </c>
      <c r="D18" s="13" t="str">
        <f>IF($K$6=TRUE(),308,"")</f>
        <v/>
      </c>
      <c r="E18" s="13" t="str">
        <f>IF($K$6=TRUE(),324.8,"")</f>
        <v/>
      </c>
      <c r="F18" s="13" t="str">
        <f>IF($K$6=TRUE(),343.5,"")</f>
        <v/>
      </c>
      <c r="G18" s="13" t="str">
        <f>IF($K$6=TRUE(),363.6,"")</f>
        <v/>
      </c>
      <c r="H18" s="13" t="str">
        <f>IF($K$6=TRUE(),398.7,"")</f>
        <v/>
      </c>
      <c r="I18" s="13" t="str">
        <f>IF($K$6=TRUE(),407.4,"")</f>
        <v/>
      </c>
      <c r="J18" s="13" t="str">
        <f>IF($K$6=TRUE(),438.3,"")</f>
        <v/>
      </c>
      <c r="K18" s="13" t="str">
        <f>IF($K$6=TRUE(),450.7,"")</f>
        <v/>
      </c>
      <c r="L18" s="13" t="str">
        <f>IF($K$6=TRUE(),465.7,"")</f>
        <v/>
      </c>
      <c r="M18" s="13" t="str">
        <f>IF($K$6=TRUE(),470.8,"")</f>
        <v/>
      </c>
      <c r="N18" s="13" t="str">
        <f>IF($K$6=TRUE(),508,"")</f>
        <v/>
      </c>
      <c r="O18" s="13" t="str">
        <f>IF($K$6=TRUE(),540.1,"")</f>
        <v/>
      </c>
      <c r="P18" s="13" t="str">
        <f>IF($K$6=TRUE(),542.4,"")</f>
        <v/>
      </c>
      <c r="Q18" s="13" t="str">
        <f>IF($K$6=TRUE(),541.4,"")</f>
        <v/>
      </c>
      <c r="R18" s="13" t="str">
        <f>IF($K$6=TRUE(),559,"")</f>
        <v/>
      </c>
      <c r="S18" s="13" t="str">
        <f>IF($K$6=TRUE(),561.1,"")</f>
        <v/>
      </c>
      <c r="T18" s="13" t="str">
        <f>IF($K$6=TRUE(),558.2,"")</f>
        <v/>
      </c>
      <c r="U18" s="13" t="str">
        <f>IF($K$6=TRUE(),557.5,"")</f>
        <v/>
      </c>
      <c r="V18" s="13" t="str">
        <f>IF($K$6=TRUE(),585.3,"")</f>
        <v/>
      </c>
      <c r="W18" s="13" t="str">
        <f>IF($K$6=TRUE(),590.7,"")</f>
        <v/>
      </c>
      <c r="X18" s="13" t="str">
        <f>IF($K$6=TRUE(),611.1,"")</f>
        <v/>
      </c>
      <c r="Y18" s="13" t="str">
        <f>IF($K$6=TRUE(),617.5,"")</f>
        <v/>
      </c>
      <c r="Z18" s="13" t="str">
        <f>IF($K$6=TRUE(),661.7,"")</f>
        <v/>
      </c>
      <c r="AA18" s="13" t="str">
        <f>IF($K$6=TRUE(),677.4,"")</f>
        <v/>
      </c>
      <c r="AB18" s="13" t="str">
        <f>IF($K$6=TRUE(),688.5,"")</f>
        <v/>
      </c>
      <c r="AC18" s="13" t="str">
        <f>IF($K$6=TRUE(),697.9,"")</f>
        <v/>
      </c>
      <c r="AD18" s="13" t="str">
        <f>IF($K$6=TRUE(),782.4,"")</f>
        <v/>
      </c>
      <c r="AE18" s="13" t="str">
        <f>IF($K$6=TRUE(),839.8,"")</f>
        <v/>
      </c>
      <c r="AF18" s="13" t="str">
        <f>IF($K$6=TRUE(),900.5,"")</f>
        <v/>
      </c>
      <c r="AG18" s="13" t="str">
        <f>IF($K$6=TRUE(),918.3,"")</f>
        <v/>
      </c>
      <c r="AH18" s="13" t="str">
        <f>IF($K$6=TRUE(),957,"")</f>
        <v/>
      </c>
      <c r="AI18" s="13" t="str">
        <f>IF($K$6=TRUE(),971.2,"")</f>
        <v/>
      </c>
      <c r="AJ18" s="13" t="str">
        <f>IF($K$6=TRUE(),1100.9,"")</f>
        <v/>
      </c>
      <c r="AK18" s="13" t="str">
        <f>IF($K$6=TRUE(),1184.9,"")</f>
        <v/>
      </c>
      <c r="AL18" s="13" t="str">
        <f>IF($K$6=TRUE(),1227.5,"")</f>
        <v/>
      </c>
      <c r="AM18" s="13" t="str">
        <f>IF($K$6=TRUE(),1300.8,"")</f>
        <v/>
      </c>
      <c r="AN18" s="13" t="str">
        <f>IF($K$6=TRUE(),1553.7,"")</f>
        <v/>
      </c>
      <c r="AO18" s="13" t="str">
        <f>IF($K$6=TRUE(),1818.2,"")</f>
        <v/>
      </c>
      <c r="AP18" s="13" t="str">
        <f>IF($K$6=TRUE(),1905.7,"")</f>
        <v/>
      </c>
      <c r="AQ18" s="13" t="str">
        <f>IF($K$6=TRUE(),2014,"")</f>
        <v/>
      </c>
      <c r="AR18" s="13" t="str">
        <f>IF($K$6=TRUE(),2254.3,"")</f>
        <v/>
      </c>
      <c r="AS18" s="13" t="str">
        <f>IF($K$6=TRUE(),2343.1,"")</f>
        <v/>
      </c>
      <c r="AT18" s="13" t="str">
        <f>IF($K$6=TRUE(),2926.9,"")</f>
        <v/>
      </c>
      <c r="AU18" s="13" t="str">
        <f>IF($K$6=TRUE(),3319.9,"")</f>
        <v/>
      </c>
      <c r="AV18" s="13" t="str">
        <f>IF($K$6=TRUE(),3407.3,"")</f>
        <v/>
      </c>
      <c r="AW18" s="13" t="str">
        <f>IF($K$6=TRUE(),3458.3,"")</f>
        <v/>
      </c>
      <c r="AX18" s="13" t="str">
        <f>IF($K$6=TRUE(),4094.3,"")</f>
        <v/>
      </c>
      <c r="AY18" s="13" t="str">
        <f>IF($K$6=TRUE(),4231.1,"")</f>
        <v/>
      </c>
      <c r="AZ18" s="13" t="str">
        <f>IF($K$6=TRUE(),4530.4,"")</f>
        <v/>
      </c>
      <c r="BA18" s="13" t="str">
        <f>IF($K$6=TRUE(),4939.2,"")</f>
        <v/>
      </c>
      <c r="BB18" s="13" t="str">
        <f>IF($K$6=TRUE(),5004.5,"")</f>
        <v/>
      </c>
      <c r="BC18" s="13" t="str">
        <f>IF($K$6=TRUE(),5319.1,"")</f>
        <v/>
      </c>
      <c r="BD18" s="13" t="str">
        <f>IF($K$6=TRUE(),5992.3,"")</f>
        <v/>
      </c>
      <c r="BE18" s="13" t="str">
        <f>IF($K$6=TRUE(),6113.4,"")</f>
        <v/>
      </c>
      <c r="BF18" s="13" t="str">
        <f>IF($K$6=TRUE(),6342.5,"")</f>
        <v/>
      </c>
      <c r="BG18" s="13" t="str">
        <f>IF($K$6=TRUE(),6447.1,"")</f>
        <v/>
      </c>
      <c r="BH18" s="13" t="str">
        <f>IF($K$6=TRUE(),7455.6,"")</f>
        <v/>
      </c>
      <c r="BI18" s="13" t="str">
        <f>IF($K$6=TRUE(),7948.7,"")</f>
        <v/>
      </c>
      <c r="BJ18" s="13" t="str">
        <f>IF($K$6=TRUE(),8106.4,"")</f>
        <v/>
      </c>
      <c r="BK18" s="13" t="str">
        <f>IF($K$6=TRUE(),8541.7,"")</f>
        <v/>
      </c>
      <c r="BL18" s="13" t="str">
        <f>IF($K$6=TRUE(),8865.8,"")</f>
        <v/>
      </c>
      <c r="BM18" s="13" t="str">
        <f>IF($K$6=TRUE(),9363.3,"")</f>
        <v/>
      </c>
      <c r="BN18" s="14"/>
      <c r="BO18" s="14"/>
    </row>
    <row r="19" spans="1:67" ht="15" customHeight="1">
      <c r="A19" s="9" t="s">
        <v>95</v>
      </c>
      <c r="B19" s="10" t="str">
        <f>IF($L$6=TRUE(),297.6,"")</f>
        <v/>
      </c>
      <c r="C19" s="10" t="str">
        <f>IF($L$6=TRUE(),306.3,"")</f>
        <v/>
      </c>
      <c r="D19" s="10" t="str">
        <f>IF($L$6=TRUE(),323.9,"")</f>
        <v/>
      </c>
      <c r="E19" s="10" t="str">
        <f>IF($L$6=TRUE(),344.3,"")</f>
        <v/>
      </c>
      <c r="F19" s="10" t="str">
        <f>IF($L$6=TRUE(),378.6,"")</f>
        <v/>
      </c>
      <c r="G19" s="10" t="str">
        <f>IF($L$6=TRUE(),395.9,"")</f>
        <v/>
      </c>
      <c r="H19" s="10" t="str">
        <f>IF($L$6=TRUE(),413.1,"")</f>
        <v/>
      </c>
      <c r="I19" s="10" t="str">
        <f>IF($L$6=TRUE(),430.3,"")</f>
        <v/>
      </c>
      <c r="J19" s="10" t="str">
        <f>IF($L$6=TRUE(),495.2,"")</f>
        <v/>
      </c>
      <c r="K19" s="10" t="str">
        <f>IF($L$6=TRUE(),521.5,"")</f>
        <v/>
      </c>
      <c r="L19" s="10" t="str">
        <f>IF($L$6=TRUE(),522.8,"")</f>
        <v/>
      </c>
      <c r="M19" s="10" t="str">
        <f>IF($L$6=TRUE(),522.8,"")</f>
        <v/>
      </c>
      <c r="N19" s="10" t="str">
        <f>IF($L$6=TRUE(),567.2,"")</f>
        <v/>
      </c>
      <c r="O19" s="10" t="str">
        <f>IF($L$6=TRUE(),580.3,"")</f>
        <v/>
      </c>
      <c r="P19" s="10" t="str">
        <f>IF($L$6=TRUE(),582,"")</f>
        <v/>
      </c>
      <c r="Q19" s="10" t="str">
        <f>IF($L$6=TRUE(),582.6,"")</f>
        <v/>
      </c>
      <c r="R19" s="10" t="str">
        <f>IF($L$6=TRUE(),600,"")</f>
        <v/>
      </c>
      <c r="S19" s="10" t="str">
        <f>IF($L$6=TRUE(),614.6,"")</f>
        <v/>
      </c>
      <c r="T19" s="10" t="str">
        <f>IF($L$6=TRUE(),626.9,"")</f>
        <v/>
      </c>
      <c r="U19" s="10" t="str">
        <f>IF($L$6=TRUE(),626.9,"")</f>
        <v/>
      </c>
      <c r="V19" s="10" t="str">
        <f>IF($L$6=TRUE(),626.9,"")</f>
        <v/>
      </c>
      <c r="W19" s="10" t="str">
        <f>IF($L$6=TRUE(),661.6,"")</f>
        <v/>
      </c>
      <c r="X19" s="10" t="str">
        <f>IF($L$6=TRUE(),684.5,"")</f>
        <v/>
      </c>
      <c r="Y19" s="10" t="str">
        <f>IF($L$6=TRUE(),690.8,"")</f>
        <v/>
      </c>
      <c r="Z19" s="10" t="str">
        <f>IF($L$6=TRUE(),725.3,"")</f>
        <v/>
      </c>
      <c r="AA19" s="10" t="str">
        <f>IF($L$6=TRUE(),746.1,"")</f>
        <v/>
      </c>
      <c r="AB19" s="10" t="str">
        <f>IF($L$6=TRUE(),753,"")</f>
        <v/>
      </c>
      <c r="AC19" s="10" t="str">
        <f>IF($L$6=TRUE(),759.9,"")</f>
        <v/>
      </c>
      <c r="AD19" s="10" t="str">
        <f>IF($L$6=TRUE(),843.4,"")</f>
        <v/>
      </c>
      <c r="AE19" s="10" t="str">
        <f>IF($L$6=TRUE(),927.1,"")</f>
        <v/>
      </c>
      <c r="AF19" s="10" t="str">
        <f>IF($L$6=TRUE(),1025.9,"")</f>
        <v/>
      </c>
      <c r="AG19" s="10" t="str">
        <f>IF($L$6=TRUE(),1052.5,"")</f>
        <v/>
      </c>
      <c r="AH19" s="10" t="str">
        <f>IF($L$6=TRUE(),1109.4,"")</f>
        <v/>
      </c>
      <c r="AI19" s="10" t="str">
        <f>IF($L$6=TRUE(),1227.2,"")</f>
        <v/>
      </c>
      <c r="AJ19" s="10" t="str">
        <f>IF($L$6=TRUE(),1405.1,"")</f>
        <v/>
      </c>
      <c r="AK19" s="10" t="str">
        <f>IF($L$6=TRUE(),1509.6,"")</f>
        <v/>
      </c>
      <c r="AL19" s="10" t="str">
        <f>IF($L$6=TRUE(),1772.7,"")</f>
        <v/>
      </c>
      <c r="AM19" s="10" t="str">
        <f>IF($L$6=TRUE(),1877.6,"")</f>
        <v/>
      </c>
      <c r="AN19" s="10" t="str">
        <f>IF($L$6=TRUE(),2371.4,"")</f>
        <v/>
      </c>
      <c r="AO19" s="10" t="str">
        <f>IF($L$6=TRUE(),2891.4,"")</f>
        <v/>
      </c>
      <c r="AP19" s="10" t="str">
        <f>IF($L$6=TRUE(),2966.6,"")</f>
        <v/>
      </c>
      <c r="AQ19" s="10" t="str">
        <f>IF($L$6=TRUE(),3191.9,"")</f>
        <v/>
      </c>
      <c r="AR19" s="10" t="str">
        <f>IF($L$6=TRUE(),3379.6,"")</f>
        <v/>
      </c>
      <c r="AS19" s="10" t="str">
        <f>IF($L$6=TRUE(),3539.2,"")</f>
        <v/>
      </c>
      <c r="AT19" s="10" t="str">
        <f>IF($L$6=TRUE(),4654,"")</f>
        <v/>
      </c>
      <c r="AU19" s="10" t="str">
        <f>IF($L$6=TRUE(),4901.7,"")</f>
        <v/>
      </c>
      <c r="AV19" s="10" t="str">
        <f>IF($L$6=TRUE(),4990.3,"")</f>
        <v/>
      </c>
      <c r="AW19" s="10" t="str">
        <f>IF($L$6=TRUE(),5096.4,"")</f>
        <v/>
      </c>
      <c r="AX19" s="10" t="str">
        <f>IF($L$6=TRUE(),6345,"")</f>
        <v/>
      </c>
      <c r="AY19" s="10" t="str">
        <f>IF($L$6=TRUE(),6564.2,"")</f>
        <v/>
      </c>
      <c r="AZ19" s="10" t="str">
        <f>IF($L$6=TRUE(),7032.9,"")</f>
        <v/>
      </c>
      <c r="BA19" s="10" t="str">
        <f>IF($L$6=TRUE(),7425.4,"")</f>
        <v/>
      </c>
      <c r="BB19" s="10" t="str">
        <f>IF($L$6=TRUE(),7547.7,"")</f>
        <v/>
      </c>
      <c r="BC19" s="10" t="str">
        <f>IF($L$6=TRUE(),7670,"")</f>
        <v/>
      </c>
      <c r="BD19" s="10" t="str">
        <f>IF($L$6=TRUE(),9104.3,"")</f>
        <v/>
      </c>
      <c r="BE19" s="10" t="str">
        <f>IF($L$6=TRUE(),9672,"")</f>
        <v/>
      </c>
      <c r="BF19" s="10" t="str">
        <f>IF($L$6=TRUE(),10216.5,"")</f>
        <v/>
      </c>
      <c r="BG19" s="10" t="str">
        <f>IF($L$6=TRUE(),10392.9,"")</f>
        <v/>
      </c>
      <c r="BH19" s="10" t="str">
        <f>IF($L$6=TRUE(),12804,"")</f>
        <v/>
      </c>
      <c r="BI19" s="10" t="str">
        <f>IF($L$6=TRUE(),13406.7,"")</f>
        <v/>
      </c>
      <c r="BJ19" s="10" t="str">
        <f>IF($L$6=TRUE(),13562.6,"")</f>
        <v/>
      </c>
      <c r="BK19" s="10" t="str">
        <f>IF($L$6=TRUE(),14030,"")</f>
        <v/>
      </c>
      <c r="BL19" s="10" t="str">
        <f>IF($L$6=TRUE(),14279.4,"")</f>
        <v/>
      </c>
      <c r="BM19" s="10" t="str">
        <f>IF($L$6=TRUE(),14550,"")</f>
        <v/>
      </c>
      <c r="BN19" s="11"/>
      <c r="BO19" s="11"/>
    </row>
    <row r="20" spans="1:67" ht="15" customHeight="1">
      <c r="A20" s="12" t="s">
        <v>179</v>
      </c>
      <c r="B20" s="14"/>
      <c r="C20" s="14"/>
      <c r="D20" s="14"/>
      <c r="E20" s="14"/>
      <c r="F20" s="14"/>
      <c r="G20" s="14"/>
      <c r="H20" s="14"/>
      <c r="I20" s="14"/>
      <c r="J20" s="13" t="str">
        <f>IF($M$6=TRUE(),585,"")</f>
        <v/>
      </c>
      <c r="K20" s="13" t="str">
        <f>IF($M$6=TRUE(),590,"")</f>
        <v/>
      </c>
      <c r="L20" s="13" t="str">
        <f>IF($M$6=TRUE(),620,"")</f>
        <v/>
      </c>
      <c r="M20" s="13" t="str">
        <f>IF($M$6=TRUE(),625,"")</f>
        <v/>
      </c>
      <c r="N20" s="13" t="str">
        <f>IF($M$6=TRUE(),700,"")</f>
        <v/>
      </c>
      <c r="O20" s="13" t="str">
        <f>IF($M$6=TRUE(),700,"")</f>
        <v/>
      </c>
      <c r="P20" s="13" t="str">
        <f>IF($M$6=TRUE(),712.5,"")</f>
        <v/>
      </c>
      <c r="Q20" s="13" t="str">
        <f>IF($M$6=TRUE(),712.5,"")</f>
        <v/>
      </c>
      <c r="R20" s="13" t="str">
        <f>IF($M$6=TRUE(),712.5,"")</f>
        <v/>
      </c>
      <c r="S20" s="13" t="str">
        <f>IF($M$6=TRUE(),712.5,"")</f>
        <v/>
      </c>
      <c r="T20" s="13" t="str">
        <f t="shared" ref="T20:Y20" si="0">IF($M$6=TRUE(),719.6,"")</f>
        <v/>
      </c>
      <c r="U20" s="13" t="str">
        <f t="shared" si="0"/>
        <v/>
      </c>
      <c r="V20" s="13" t="str">
        <f t="shared" si="0"/>
        <v/>
      </c>
      <c r="W20" s="13" t="str">
        <f t="shared" si="0"/>
        <v/>
      </c>
      <c r="X20" s="13" t="str">
        <f t="shared" si="0"/>
        <v/>
      </c>
      <c r="Y20" s="13" t="str">
        <f t="shared" si="0"/>
        <v/>
      </c>
      <c r="Z20" s="13" t="str">
        <f>IF($M$6=TRUE(),784.4,"")</f>
        <v/>
      </c>
      <c r="AA20" s="13" t="str">
        <f>IF($M$6=TRUE(),784.4,"")</f>
        <v/>
      </c>
      <c r="AB20" s="13" t="str">
        <f>IF($M$6=TRUE(),849.2,"")</f>
        <v/>
      </c>
      <c r="AC20" s="13" t="str">
        <f>IF($M$6=TRUE(),913.9,"")</f>
        <v/>
      </c>
      <c r="AD20" s="13" t="str">
        <f>IF($M$6=TRUE(),1005.3,"")</f>
        <v/>
      </c>
      <c r="AE20" s="13" t="str">
        <f>IF($M$6=TRUE(),1105.8,"")</f>
        <v/>
      </c>
      <c r="AF20" s="13" t="str">
        <f>IF($M$6=TRUE(),1105.8,"")</f>
        <v/>
      </c>
      <c r="AG20" s="13" t="str">
        <f>IF($M$6=TRUE(),1188.1,"")</f>
        <v/>
      </c>
      <c r="AH20" s="13" t="str">
        <f>IF($M$6=TRUE(),1343.5,"")</f>
        <v/>
      </c>
      <c r="AI20" s="13" t="str">
        <f>IF($M$6=TRUE(),1398.3,"")</f>
        <v/>
      </c>
      <c r="AJ20" s="13" t="str">
        <f>IF($M$6=TRUE(),1608,"")</f>
        <v/>
      </c>
      <c r="AK20" s="13" t="str">
        <f>IF($M$6=TRUE(),1608,"")</f>
        <v/>
      </c>
      <c r="AL20" s="13" t="str">
        <f>IF($M$6=TRUE(),1711.5,"")</f>
        <v/>
      </c>
      <c r="AM20" s="13" t="str">
        <f>IF($M$6=TRUE(),1711.5,"")</f>
        <v/>
      </c>
      <c r="AN20" s="13" t="str">
        <f>IF($M$6=TRUE(),2139.4,"")</f>
        <v/>
      </c>
      <c r="AO20" s="13" t="str">
        <f>IF($M$6=TRUE(),2772.7,"")</f>
        <v/>
      </c>
      <c r="AP20" s="13" t="str">
        <f>IF($M$6=TRUE(),2772.7,"")</f>
        <v/>
      </c>
      <c r="AQ20" s="13" t="str">
        <f>IF($M$6=TRUE(),2772.7,"")</f>
        <v/>
      </c>
      <c r="AR20" s="13" t="str">
        <f>IF($M$6=TRUE(),2824,"")</f>
        <v/>
      </c>
      <c r="AS20" s="13" t="str">
        <f>IF($M$6=TRUE(),3029.4,"")</f>
        <v/>
      </c>
      <c r="AT20" s="13" t="str">
        <f>IF($M$6=TRUE(),3271.7,"")</f>
        <v/>
      </c>
      <c r="AU20" s="13" t="str">
        <f>IF($M$6=TRUE(),3605,"")</f>
        <v/>
      </c>
      <c r="AV20" s="13" t="str">
        <f>IF($M$6=TRUE(),4453.2,"")</f>
        <v/>
      </c>
      <c r="AW20" s="13" t="str">
        <f>IF($M$6=TRUE(),4665.3,"")</f>
        <v/>
      </c>
      <c r="AX20" s="13" t="str">
        <f>IF($M$6=TRUE(),5131.8,"")</f>
        <v/>
      </c>
      <c r="AY20" s="13" t="str">
        <f>IF($M$6=TRUE(),5318.4,"")</f>
        <v/>
      </c>
      <c r="AZ20" s="13" t="str">
        <f>IF($M$6=TRUE(),6008.9,"")</f>
        <v/>
      </c>
      <c r="BA20" s="13" t="str">
        <f>IF($M$6=TRUE(),6134.8,"")</f>
        <v/>
      </c>
      <c r="BB20" s="13" t="str">
        <f>IF($M$6=TRUE(),6134.8,"")</f>
        <v/>
      </c>
      <c r="BC20" s="13" t="str">
        <f>IF($M$6=TRUE(),6344.8,"")</f>
        <v/>
      </c>
      <c r="BD20" s="13" t="str">
        <f>IF($M$6=TRUE(),6776.2,"")</f>
        <v/>
      </c>
      <c r="BE20" s="13" t="str">
        <f>IF($M$6=TRUE(),7175.9,"")</f>
        <v/>
      </c>
      <c r="BF20" s="13" t="str">
        <f>IF($M$6=TRUE(),7277.4,"")</f>
        <v/>
      </c>
      <c r="BG20" s="13" t="str">
        <f>IF($M$6=TRUE(),7277.4,"")</f>
        <v/>
      </c>
      <c r="BH20" s="13" t="str">
        <f>IF($M$6=TRUE(),8012.4,"")</f>
        <v/>
      </c>
      <c r="BI20" s="13" t="str">
        <f>IF($M$6=TRUE(),8012.4,"")</f>
        <v/>
      </c>
      <c r="BJ20" s="13" t="str">
        <f>IF($M$6=TRUE(),8310.8,"")</f>
        <v/>
      </c>
      <c r="BK20" s="13" t="str">
        <f>IF($M$6=TRUE(),8310.8,"")</f>
        <v/>
      </c>
      <c r="BL20" s="13" t="str">
        <f>IF($M$6=TRUE(),8310.8,"")</f>
        <v/>
      </c>
      <c r="BM20" s="13" t="str">
        <f>IF($M$6=TRUE(),8310.8,"")</f>
        <v/>
      </c>
      <c r="BN20" s="14"/>
      <c r="BO20" s="14"/>
    </row>
    <row r="21" spans="1:67" ht="15" customHeight="1">
      <c r="A21" s="9" t="s">
        <v>182</v>
      </c>
      <c r="B21" s="11"/>
      <c r="C21" s="11"/>
      <c r="D21" s="11"/>
      <c r="E21" s="11"/>
      <c r="F21" s="11"/>
      <c r="G21" s="11"/>
      <c r="H21" s="11"/>
      <c r="I21" s="11"/>
      <c r="J21" s="10" t="str">
        <f>IF($N$6=TRUE(),495,"")</f>
        <v/>
      </c>
      <c r="K21" s="10" t="str">
        <f>IF($N$6=TRUE(),495,"")</f>
        <v/>
      </c>
      <c r="L21" s="10" t="str">
        <f>IF($N$6=TRUE(),504,"")</f>
        <v/>
      </c>
      <c r="M21" s="10" t="str">
        <f>IF($N$6=TRUE(),504,"")</f>
        <v/>
      </c>
      <c r="N21" s="10" t="str">
        <f>IF($N$6=TRUE(),544.3,"")</f>
        <v/>
      </c>
      <c r="O21" s="10" t="str">
        <f>IF($N$6=TRUE(),544.3,"")</f>
        <v/>
      </c>
      <c r="P21" s="10" t="str">
        <f>IF($N$6=TRUE(),559.4,"")</f>
        <v/>
      </c>
      <c r="Q21" s="10" t="str">
        <f>IF($N$6=TRUE(),559.4,"")</f>
        <v/>
      </c>
      <c r="R21" s="10" t="str">
        <f>IF($N$6=TRUE(),559.4,"")</f>
        <v/>
      </c>
      <c r="S21" s="10" t="str">
        <f>IF($N$6=TRUE(),559.4,"")</f>
        <v/>
      </c>
      <c r="T21" s="10" t="str">
        <f>IF($N$6=TRUE(),554.9,"")</f>
        <v/>
      </c>
      <c r="U21" s="10" t="str">
        <f>IF($N$6=TRUE(),554.9,"")</f>
        <v/>
      </c>
      <c r="V21" s="10" t="str">
        <f>IF($N$6=TRUE(),554.9,"")</f>
        <v/>
      </c>
      <c r="W21" s="10" t="str">
        <f>IF($N$6=TRUE(),554.9,"")</f>
        <v/>
      </c>
      <c r="X21" s="10" t="str">
        <f>IF($N$6=TRUE(),543.8,"")</f>
        <v/>
      </c>
      <c r="Y21" s="10" t="str">
        <f>IF($N$6=TRUE(),543.8,"")</f>
        <v/>
      </c>
      <c r="Z21" s="10" t="str">
        <f>IF($N$6=TRUE(),560.1,"")</f>
        <v/>
      </c>
      <c r="AA21" s="10" t="str">
        <f>IF($N$6=TRUE(),560.1,"")</f>
        <v/>
      </c>
      <c r="AB21" s="10" t="str">
        <f>IF($N$6=TRUE(),581.9,"")</f>
        <v/>
      </c>
      <c r="AC21" s="10" t="str">
        <f>IF($N$6=TRUE(),636.3,"")</f>
        <v/>
      </c>
      <c r="AD21" s="10" t="str">
        <f>IF($N$6=TRUE(),763.5,"")</f>
        <v/>
      </c>
      <c r="AE21" s="10" t="str">
        <f>IF($N$6=TRUE(),954.4,"")</f>
        <v/>
      </c>
      <c r="AF21" s="10" t="str">
        <f>IF($N$6=TRUE(),1272.6,"")</f>
        <v/>
      </c>
      <c r="AG21" s="10" t="str">
        <f>IF($N$6=TRUE(),1272.6,"")</f>
        <v/>
      </c>
      <c r="AH21" s="10" t="str">
        <f>IF($N$6=TRUE(),1240.7,"")</f>
        <v/>
      </c>
      <c r="AI21" s="10" t="str">
        <f>IF($N$6=TRUE(),1240.7,"")</f>
        <v/>
      </c>
      <c r="AJ21" s="10" t="str">
        <f>IF($N$6=TRUE(),1550.9,"")</f>
        <v/>
      </c>
      <c r="AK21" s="10" t="str">
        <f>IF($N$6=TRUE(),1526.1,"")</f>
        <v/>
      </c>
      <c r="AL21" s="10" t="str">
        <f>IF($N$6=TRUE(),1550.9,"")</f>
        <v/>
      </c>
      <c r="AM21" s="10" t="str">
        <f>IF($N$6=TRUE(),1650.2,"")</f>
        <v/>
      </c>
      <c r="AN21" s="10" t="str">
        <f>IF($N$6=TRUE(),1980.2,"")</f>
        <v/>
      </c>
      <c r="AO21" s="10" t="str">
        <f>IF($N$6=TRUE(),2722.8,"")</f>
        <v/>
      </c>
      <c r="AP21" s="10" t="str">
        <f>IF($N$6=TRUE(),2722.8,"")</f>
        <v/>
      </c>
      <c r="AQ21" s="10" t="str">
        <f>IF($N$6=TRUE(),2805.3,"")</f>
        <v/>
      </c>
      <c r="AR21" s="10" t="str">
        <f>IF($N$6=TRUE(),3019.8,"")</f>
        <v/>
      </c>
      <c r="AS21" s="10" t="str">
        <f>IF($N$6=TRUE(),3019.8,"")</f>
        <v/>
      </c>
      <c r="AT21" s="10" t="str">
        <f>IF($N$6=TRUE(),3835.2,"")</f>
        <v/>
      </c>
      <c r="AU21" s="10" t="str">
        <f>IF($N$6=TRUE(),3835.2,"")</f>
        <v/>
      </c>
      <c r="AV21" s="10" t="str">
        <f>IF($N$6=TRUE(),3925.8,"")</f>
        <v/>
      </c>
      <c r="AW21" s="10" t="str">
        <f>IF($N$6=TRUE(),4137.2,"")</f>
        <v/>
      </c>
      <c r="AX21" s="10" t="str">
        <f>IF($N$6=TRUE(),4509.6,"")</f>
        <v/>
      </c>
      <c r="AY21" s="10" t="str">
        <f>IF($N$6=TRUE(),5171.5,"")</f>
        <v/>
      </c>
      <c r="AZ21" s="10" t="str">
        <f>IF($N$6=TRUE(),5378.3,"")</f>
        <v/>
      </c>
      <c r="BA21" s="10" t="str">
        <f>IF($N$6=TRUE(),5841.7,"")</f>
        <v/>
      </c>
      <c r="BB21" s="10" t="str">
        <f>IF($N$6=TRUE(),6921.5,"")</f>
        <v/>
      </c>
      <c r="BC21" s="10" t="str">
        <f>IF($N$6=TRUE(),7351.8,"")</f>
        <v/>
      </c>
      <c r="BD21" s="10" t="str">
        <f>IF($N$6=TRUE(),6984.9,"")</f>
        <v/>
      </c>
      <c r="BE21" s="10" t="str">
        <f>IF($N$6=TRUE(),7013.6,"")</f>
        <v/>
      </c>
      <c r="BF21" s="10" t="str">
        <f>IF($N$6=TRUE(),7013.6,"")</f>
        <v/>
      </c>
      <c r="BG21" s="10" t="str">
        <f>IF($N$6=TRUE(),7190,"")</f>
        <v/>
      </c>
      <c r="BH21" s="10" t="str">
        <f>IF($N$6=TRUE(),8592.1,"")</f>
        <v/>
      </c>
      <c r="BI21" s="10" t="str">
        <f>IF($N$6=TRUE(),9641.8,"")</f>
        <v/>
      </c>
      <c r="BJ21" s="10" t="str">
        <f>IF($N$6=TRUE(),8175,"")</f>
        <v/>
      </c>
      <c r="BK21" s="10" t="str">
        <f>IF($N$6=TRUE(),10547.7,"")</f>
        <v/>
      </c>
      <c r="BL21" s="10" t="str">
        <f>IF($N$6=TRUE(),10547.7,"")</f>
        <v/>
      </c>
      <c r="BM21" s="10" t="str">
        <f>IF($N$6=TRUE(),10547.7,"")</f>
        <v/>
      </c>
      <c r="BN21" s="11"/>
      <c r="BO21" s="11"/>
    </row>
    <row r="22" spans="1:67" ht="15" customHeight="1">
      <c r="A22" s="12" t="s">
        <v>187</v>
      </c>
      <c r="B22" s="14"/>
      <c r="C22" s="14"/>
      <c r="D22" s="14"/>
      <c r="E22" s="14"/>
      <c r="F22" s="14"/>
      <c r="G22" s="14"/>
      <c r="H22" s="14"/>
      <c r="I22" s="14"/>
      <c r="J22" s="13" t="str">
        <f>IF($O$6=TRUE(),477,"")</f>
        <v/>
      </c>
      <c r="K22" s="13" t="str">
        <f>IF($O$6=TRUE(),477,"")</f>
        <v/>
      </c>
      <c r="L22" s="13" t="str">
        <f>IF($O$6=TRUE(),480,"")</f>
        <v/>
      </c>
      <c r="M22" s="13" t="str">
        <f>IF($O$6=TRUE(),493.5,"")</f>
        <v/>
      </c>
      <c r="N22" s="13" t="str">
        <f>IF($O$6=TRUE(),559.6,"")</f>
        <v/>
      </c>
      <c r="O22" s="13" t="str">
        <f>IF($O$6=TRUE(),563.6,"")</f>
        <v/>
      </c>
      <c r="P22" s="13" t="str">
        <f>IF($O$6=TRUE(),574.4,"")</f>
        <v/>
      </c>
      <c r="Q22" s="13" t="str">
        <f>IF($O$6=TRUE(),574.4,"")</f>
        <v/>
      </c>
      <c r="R22" s="13" t="str">
        <f>IF($O$6=TRUE(),580.8,"")</f>
        <v/>
      </c>
      <c r="S22" s="13" t="str">
        <f>IF($O$6=TRUE(),600.1,"")</f>
        <v/>
      </c>
      <c r="T22" s="13" t="str">
        <f>IF($O$6=TRUE(),557.9,"")</f>
        <v/>
      </c>
      <c r="U22" s="13" t="str">
        <f>IF($O$6=TRUE(),547.7,"")</f>
        <v/>
      </c>
      <c r="V22" s="13" t="str">
        <f>IF($O$6=TRUE(),556.6,"")</f>
        <v/>
      </c>
      <c r="W22" s="13" t="str">
        <f>IF($O$6=TRUE(),569.8,"")</f>
        <v/>
      </c>
      <c r="X22" s="13" t="str">
        <f>IF($O$6=TRUE(),588.5,"")</f>
        <v/>
      </c>
      <c r="Y22" s="13" t="str">
        <f>IF($O$6=TRUE(),609.1,"")</f>
        <v/>
      </c>
      <c r="Z22" s="13" t="str">
        <f>IF($O$6=TRUE(),614.9,"")</f>
        <v/>
      </c>
      <c r="AA22" s="13" t="str">
        <f>IF($O$6=TRUE(),623.5,"")</f>
        <v/>
      </c>
      <c r="AB22" s="13" t="str">
        <f>IF($O$6=TRUE(),690.7,"")</f>
        <v/>
      </c>
      <c r="AC22" s="13" t="str">
        <f>IF($O$6=TRUE(),755.3,"")</f>
        <v/>
      </c>
      <c r="AD22" s="13" t="str">
        <f>IF($O$6=TRUE(),835.3,"")</f>
        <v/>
      </c>
      <c r="AE22" s="13" t="str">
        <f>IF($O$6=TRUE(),1012.1,"")</f>
        <v/>
      </c>
      <c r="AF22" s="13" t="str">
        <f>IF($O$6=TRUE(),1197.9,"")</f>
        <v/>
      </c>
      <c r="AG22" s="13" t="str">
        <f>IF($O$6=TRUE(),1451.6,"")</f>
        <v/>
      </c>
      <c r="AH22" s="13" t="str">
        <f>IF($O$6=TRUE(),1264.3,"")</f>
        <v/>
      </c>
      <c r="AI22" s="13" t="str">
        <f>IF($O$6=TRUE(),1228.1,"")</f>
        <v/>
      </c>
      <c r="AJ22" s="13" t="str">
        <f>IF($O$6=TRUE(),1395.8,"")</f>
        <v/>
      </c>
      <c r="AK22" s="13" t="str">
        <f>IF($O$6=TRUE(),1349.9,"")</f>
        <v/>
      </c>
      <c r="AL22" s="13" t="str">
        <f>IF($O$6=TRUE(),1342.5,"")</f>
        <v/>
      </c>
      <c r="AM22" s="13" t="str">
        <f>IF($O$6=TRUE(),1379.9,"")</f>
        <v/>
      </c>
      <c r="AN22" s="13" t="str">
        <f>IF($O$6=TRUE(),1782.8,"")</f>
        <v/>
      </c>
      <c r="AO22" s="13" t="str">
        <f>IF($O$6=TRUE(),1876.6,"")</f>
        <v/>
      </c>
      <c r="AP22" s="13" t="str">
        <f>IF($O$6=TRUE(),2069.8,"")</f>
        <v/>
      </c>
      <c r="AQ22" s="13" t="str">
        <f>IF($O$6=TRUE(),2367.9,"")</f>
        <v/>
      </c>
      <c r="AR22" s="13" t="str">
        <f>IF($O$6=TRUE(),2875.7,"")</f>
        <v/>
      </c>
      <c r="AS22" s="13" t="str">
        <f>IF($O$6=TRUE(),2986,"")</f>
        <v/>
      </c>
      <c r="AT22" s="13" t="str">
        <f>IF($O$6=TRUE(),3290.6,"")</f>
        <v/>
      </c>
      <c r="AU22" s="13" t="str">
        <f>IF($O$6=TRUE(),3362.3,"")</f>
        <v/>
      </c>
      <c r="AV22" s="13" t="str">
        <f>IF($O$6=TRUE(),3434,"")</f>
        <v/>
      </c>
      <c r="AW22" s="13" t="str">
        <f>IF($O$6=TRUE(),3463.8,"")</f>
        <v/>
      </c>
      <c r="AX22" s="13" t="str">
        <f>IF($O$6=TRUE(),4149.6,"")</f>
        <v/>
      </c>
      <c r="AY22" s="13" t="str">
        <f>IF($O$6=TRUE(),4083.6,"")</f>
        <v/>
      </c>
      <c r="AZ22" s="13" t="str">
        <f>IF($O$6=TRUE(),4110.9,"")</f>
        <v/>
      </c>
      <c r="BA22" s="13" t="str">
        <f>IF($O$6=TRUE(),4052.7,"")</f>
        <v/>
      </c>
      <c r="BB22" s="13" t="str">
        <f>IF($O$6=TRUE(),4401.8,"")</f>
        <v/>
      </c>
      <c r="BC22" s="13" t="str">
        <f>IF($O$6=TRUE(),4758.6,"")</f>
        <v/>
      </c>
      <c r="BD22" s="13" t="str">
        <f>IF($O$6=TRUE(),4868,"")</f>
        <v/>
      </c>
      <c r="BE22" s="13" t="str">
        <f>IF($O$6=TRUE(),4708.1,"")</f>
        <v/>
      </c>
      <c r="BF22" s="13" t="str">
        <f>IF($O$6=TRUE(),5019.4,"")</f>
        <v/>
      </c>
      <c r="BG22" s="13" t="str">
        <f>IF($O$6=TRUE(),5042.2,"")</f>
        <v/>
      </c>
      <c r="BH22" s="13" t="str">
        <f>IF($O$6=TRUE(),5181.4,"")</f>
        <v/>
      </c>
      <c r="BI22" s="13" t="str">
        <f>IF($O$6=TRUE(),5257,"")</f>
        <v/>
      </c>
      <c r="BJ22" s="13" t="str">
        <f>IF($O$6=TRUE(),5820.7,"")</f>
        <v/>
      </c>
      <c r="BK22" s="13" t="str">
        <f>IF($O$6=TRUE(),6573,"")</f>
        <v/>
      </c>
      <c r="BL22" s="13" t="str">
        <f>IF($O$6=TRUE(),6921.9,"")</f>
        <v/>
      </c>
      <c r="BM22" s="13" t="str">
        <f>IF($O$6=TRUE(),7070.2,"")</f>
        <v/>
      </c>
      <c r="BN22" s="14"/>
      <c r="BO22" s="14"/>
    </row>
  </sheetData>
  <mergeCells count="1">
    <mergeCell ref="A1:BO1"/>
  </mergeCells>
  <dataValidations count="1">
    <dataValidation type="list" sqref="B6:O6" xr:uid="{00000000-0002-0000-06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23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BO1"/>
    </sheetView>
  </sheetViews>
  <sheetFormatPr defaultColWidth="8.6640625" defaultRowHeight="14.25"/>
  <cols>
    <col min="1" max="1" width="25" customWidth="1"/>
    <col min="2" max="16" width="8" customWidth="1"/>
  </cols>
  <sheetData>
    <row r="1" spans="1:67" ht="30" customHeight="1">
      <c r="A1" s="85" t="s">
        <v>357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177</v>
      </c>
      <c r="G5" s="4" t="s">
        <v>193</v>
      </c>
      <c r="H5" s="4" t="s">
        <v>194</v>
      </c>
      <c r="I5" s="4" t="s">
        <v>71</v>
      </c>
      <c r="J5" s="4" t="s">
        <v>195</v>
      </c>
      <c r="K5" s="4" t="s">
        <v>196</v>
      </c>
      <c r="L5" s="4" t="s">
        <v>197</v>
      </c>
      <c r="M5" s="4" t="s">
        <v>198</v>
      </c>
      <c r="N5" s="4" t="s">
        <v>199</v>
      </c>
      <c r="O5" s="4" t="s">
        <v>200</v>
      </c>
      <c r="P5" s="4" t="s">
        <v>201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189</v>
      </c>
      <c r="B9" s="10">
        <f>IF($B$6=TRUE(),352.9,"")</f>
        <v>352.9</v>
      </c>
      <c r="C9" s="10">
        <f>IF($B$6=TRUE(),367,"")</f>
        <v>367</v>
      </c>
      <c r="D9" s="10">
        <f>IF($B$6=TRUE(),387.3,"")</f>
        <v>387.3</v>
      </c>
      <c r="E9" s="10">
        <f>IF($B$6=TRUE(),404.1,"")</f>
        <v>404.1</v>
      </c>
      <c r="F9" s="10">
        <f>IF($B$6=TRUE(),440.8,"")</f>
        <v>440.8</v>
      </c>
      <c r="G9" s="10">
        <f>IF($B$6=TRUE(),465.9,"")</f>
        <v>465.9</v>
      </c>
      <c r="H9" s="10">
        <f>IF($B$6=TRUE(),528.2,"")</f>
        <v>528.20000000000005</v>
      </c>
      <c r="I9" s="10">
        <f>IF($B$6=TRUE(),550.1,"")</f>
        <v>550.1</v>
      </c>
      <c r="J9" s="10">
        <f>IF($B$6=TRUE(),596.6,"")</f>
        <v>596.6</v>
      </c>
      <c r="K9" s="10">
        <f>IF($B$6=TRUE(),610.6,"")</f>
        <v>610.6</v>
      </c>
      <c r="L9" s="10">
        <f>IF($B$6=TRUE(),628,"")</f>
        <v>628</v>
      </c>
      <c r="M9" s="10">
        <f>IF($B$6=TRUE(),639,"")</f>
        <v>639</v>
      </c>
      <c r="N9" s="10">
        <f>IF($B$6=TRUE(),705.9,"")</f>
        <v>705.9</v>
      </c>
      <c r="O9" s="10">
        <f>IF($B$6=TRUE(),723.3,"")</f>
        <v>723.3</v>
      </c>
      <c r="P9" s="10">
        <f>IF($B$6=TRUE(),732.3,"")</f>
        <v>732.3</v>
      </c>
      <c r="Q9" s="10">
        <f>IF($B$6=TRUE(),739.5,"")</f>
        <v>739.5</v>
      </c>
      <c r="R9" s="10">
        <f>IF($B$6=TRUE(),790.8,"")</f>
        <v>790.8</v>
      </c>
      <c r="S9" s="10">
        <f>IF($B$6=TRUE(),795,"")</f>
        <v>795</v>
      </c>
      <c r="T9" s="10">
        <f>IF($B$6=TRUE(),796.3,"")</f>
        <v>796.3</v>
      </c>
      <c r="U9" s="10">
        <f>IF($B$6=TRUE(),797.9,"")</f>
        <v>797.9</v>
      </c>
      <c r="V9" s="10">
        <f>IF($B$6=TRUE(),841.5,"")</f>
        <v>841.5</v>
      </c>
      <c r="W9" s="10">
        <f>IF($B$6=TRUE(),848.8,"")</f>
        <v>848.8</v>
      </c>
      <c r="X9" s="10">
        <f>IF($B$6=TRUE(),856.2,"")</f>
        <v>856.2</v>
      </c>
      <c r="Y9" s="10">
        <f>IF($B$6=TRUE(),863.6,"")</f>
        <v>863.6</v>
      </c>
      <c r="Z9" s="10">
        <f>IF($B$6=TRUE(),918.2,"")</f>
        <v>918.2</v>
      </c>
      <c r="AA9" s="10">
        <f>IF($B$6=TRUE(),919.8,"")</f>
        <v>919.8</v>
      </c>
      <c r="AB9" s="10">
        <f>IF($B$6=TRUE(),942.9,"")</f>
        <v>942.9</v>
      </c>
      <c r="AC9" s="10">
        <f>IF($B$6=TRUE(),951,"")</f>
        <v>951</v>
      </c>
      <c r="AD9" s="10">
        <f>IF($B$6=TRUE(),1057.6,"")</f>
        <v>1057.5999999999999</v>
      </c>
      <c r="AE9" s="10">
        <f>IF($B$6=TRUE(),1171.1,"")</f>
        <v>1171.0999999999999</v>
      </c>
      <c r="AF9" s="10">
        <f>IF($B$6=TRUE(),1218.8,"")</f>
        <v>1218.8</v>
      </c>
      <c r="AG9" s="10">
        <f>IF($B$6=TRUE(),1265,"")</f>
        <v>1265</v>
      </c>
      <c r="AH9" s="10">
        <f>IF($B$6=TRUE(),1295,"")</f>
        <v>1295</v>
      </c>
      <c r="AI9" s="10">
        <f>IF($B$6=TRUE(),1356.4,"")</f>
        <v>1356.4</v>
      </c>
      <c r="AJ9" s="10">
        <f>IF($B$6=TRUE(),1574.2,"")</f>
        <v>1574.2</v>
      </c>
      <c r="AK9" s="10">
        <f>IF($B$6=TRUE(),1666.2,"")</f>
        <v>1666.2</v>
      </c>
      <c r="AL9" s="10">
        <f>IF($B$6=TRUE(),1740.2,"")</f>
        <v>1740.2</v>
      </c>
      <c r="AM9" s="10">
        <f>IF($B$6=TRUE(),1825.5,"")</f>
        <v>1825.5</v>
      </c>
      <c r="AN9" s="10">
        <f>IF($B$6=TRUE(),2179.3,"")</f>
        <v>2179.3000000000002</v>
      </c>
      <c r="AO9" s="10">
        <f>IF($B$6=TRUE(),2489.7,"")</f>
        <v>2489.6999999999998</v>
      </c>
      <c r="AP9" s="10">
        <f>IF($B$6=TRUE(),2575.9,"")</f>
        <v>2575.9</v>
      </c>
      <c r="AQ9" s="10">
        <f>IF($B$6=TRUE(),2757,"")</f>
        <v>2757</v>
      </c>
      <c r="AR9" s="10">
        <f>IF($B$6=TRUE(),3025.5,"")</f>
        <v>3025.5</v>
      </c>
      <c r="AS9" s="10">
        <f>IF($B$6=TRUE(),3226.5,"")</f>
        <v>3226.5</v>
      </c>
      <c r="AT9" s="10">
        <f>IF($B$6=TRUE(),4162.3,"")</f>
        <v>4162.3</v>
      </c>
      <c r="AU9" s="10">
        <f>IF($B$6=TRUE(),4511,"")</f>
        <v>4511</v>
      </c>
      <c r="AV9" s="10">
        <f>IF($B$6=TRUE(),4572.7,"")</f>
        <v>4572.7</v>
      </c>
      <c r="AW9" s="10">
        <f>IF($B$6=TRUE(),4729.9,"")</f>
        <v>4729.8999999999996</v>
      </c>
      <c r="AX9" s="10">
        <f>IF($B$6=TRUE(),5875.5,"")</f>
        <v>5875.5</v>
      </c>
      <c r="AY9" s="10">
        <f>IF($B$6=TRUE(),6040.7,"")</f>
        <v>6040.7</v>
      </c>
      <c r="AZ9" s="10">
        <f>IF($B$6=TRUE(),6527.3,"")</f>
        <v>6527.3</v>
      </c>
      <c r="BA9" s="10">
        <f>IF($B$6=TRUE(),6904.4,"")</f>
        <v>6904.4</v>
      </c>
      <c r="BB9" s="10">
        <f>IF($B$6=TRUE(),6904.4,"")</f>
        <v>6904.4</v>
      </c>
      <c r="BC9" s="10">
        <f>IF($B$6=TRUE(),6905.1,"")</f>
        <v>6905.1</v>
      </c>
      <c r="BD9" s="10">
        <f>IF($B$6=TRUE(),8288.8,"")</f>
        <v>8288.7999999999993</v>
      </c>
      <c r="BE9" s="10">
        <f>IF($B$6=TRUE(),8680.1,"")</f>
        <v>8680.1</v>
      </c>
      <c r="BF9" s="10">
        <f>IF($B$6=TRUE(),8809.7,"")</f>
        <v>8809.7000000000007</v>
      </c>
      <c r="BG9" s="10">
        <f>IF($B$6=TRUE(),9083.5,"")</f>
        <v>9083.5</v>
      </c>
      <c r="BH9" s="10">
        <f>IF($B$6=TRUE(),10846.5,"")</f>
        <v>10846.5</v>
      </c>
      <c r="BI9" s="10">
        <f>IF($B$6=TRUE(),11358.5,"")</f>
        <v>11358.5</v>
      </c>
      <c r="BJ9" s="10">
        <f>IF($B$6=TRUE(),11562.8,"")</f>
        <v>11562.8</v>
      </c>
      <c r="BK9" s="10">
        <f>IF($B$6=TRUE(),12326.6,"")</f>
        <v>12326.6</v>
      </c>
      <c r="BL9" s="10">
        <f>IF($B$6=TRUE(),12469.2,"")</f>
        <v>12469.2</v>
      </c>
      <c r="BM9" s="10">
        <f>IF($B$6=TRUE(),12648.7,"")</f>
        <v>12648.7</v>
      </c>
      <c r="BN9" s="11"/>
      <c r="BO9" s="11"/>
    </row>
    <row r="10" spans="1:67" ht="15" customHeight="1">
      <c r="A10" s="12" t="s">
        <v>190</v>
      </c>
      <c r="B10" s="13">
        <f>IF($C$6=TRUE(),323.1,"")</f>
        <v>323.10000000000002</v>
      </c>
      <c r="C10" s="13">
        <f>IF($C$6=TRUE(),332.1,"")</f>
        <v>332.1</v>
      </c>
      <c r="D10" s="13">
        <f>IF($C$6=TRUE(),354.5,"")</f>
        <v>354.5</v>
      </c>
      <c r="E10" s="13">
        <f>IF($C$6=TRUE(),365.7,"")</f>
        <v>365.7</v>
      </c>
      <c r="F10" s="13">
        <f>IF($C$6=TRUE(),405.3,"")</f>
        <v>405.3</v>
      </c>
      <c r="G10" s="13">
        <f>IF($C$6=TRUE(),421.7,"")</f>
        <v>421.7</v>
      </c>
      <c r="H10" s="13">
        <f>IF($C$6=TRUE(),509.9,"")</f>
        <v>509.9</v>
      </c>
      <c r="I10" s="13">
        <f>IF($C$6=TRUE(),524.5,"")</f>
        <v>524.5</v>
      </c>
      <c r="J10" s="13">
        <f>IF($C$6=TRUE(),553.3,"")</f>
        <v>553.29999999999995</v>
      </c>
      <c r="K10" s="13">
        <f>IF($C$6=TRUE(),562.5,"")</f>
        <v>562.5</v>
      </c>
      <c r="L10" s="13">
        <f>IF($C$6=TRUE(),587.5,"")</f>
        <v>587.5</v>
      </c>
      <c r="M10" s="13">
        <f>IF($C$6=TRUE(),594.3,"")</f>
        <v>594.29999999999995</v>
      </c>
      <c r="N10" s="13">
        <f>IF($C$6=TRUE(),636.1,"")</f>
        <v>636.1</v>
      </c>
      <c r="O10" s="13">
        <f>IF($C$6=TRUE(),658.6,"")</f>
        <v>658.6</v>
      </c>
      <c r="P10" s="13">
        <f>IF($C$6=TRUE(),671.3,"")</f>
        <v>671.3</v>
      </c>
      <c r="Q10" s="13">
        <f>IF($C$6=TRUE(),675.7,"")</f>
        <v>675.7</v>
      </c>
      <c r="R10" s="13">
        <f>IF($C$6=TRUE(),707.4,"")</f>
        <v>707.4</v>
      </c>
      <c r="S10" s="13">
        <f>IF($C$6=TRUE(),709.9,"")</f>
        <v>709.9</v>
      </c>
      <c r="T10" s="13">
        <f>IF($C$6=TRUE(),710.3,"")</f>
        <v>710.3</v>
      </c>
      <c r="U10" s="13">
        <f>IF($C$6=TRUE(),711,"")</f>
        <v>711</v>
      </c>
      <c r="V10" s="13">
        <f>IF($C$6=TRUE(),737.3,"")</f>
        <v>737.3</v>
      </c>
      <c r="W10" s="13">
        <f>IF($C$6=TRUE(),741.9,"")</f>
        <v>741.9</v>
      </c>
      <c r="X10" s="13">
        <f>IF($C$6=TRUE(),746.6,"")</f>
        <v>746.6</v>
      </c>
      <c r="Y10" s="13">
        <f>IF($C$6=TRUE(),751.2,"")</f>
        <v>751.2</v>
      </c>
      <c r="Z10" s="13">
        <f>IF($C$6=TRUE(),784.9,"")</f>
        <v>784.9</v>
      </c>
      <c r="AA10" s="13">
        <f>IF($C$6=TRUE(),785.4,"")</f>
        <v>785.4</v>
      </c>
      <c r="AB10" s="13">
        <f>IF($C$6=TRUE(),814.3,"")</f>
        <v>814.3</v>
      </c>
      <c r="AC10" s="13">
        <f>IF($C$6=TRUE(),819.3,"")</f>
        <v>819.3</v>
      </c>
      <c r="AD10" s="13">
        <f>IF($C$6=TRUE(),884.7,"")</f>
        <v>884.7</v>
      </c>
      <c r="AE10" s="13">
        <f>IF($C$6=TRUE(),982.2,"")</f>
        <v>982.2</v>
      </c>
      <c r="AF10" s="13">
        <f>IF($C$6=TRUE(),1014.8,"")</f>
        <v>1014.8</v>
      </c>
      <c r="AG10" s="13">
        <f>IF($C$6=TRUE(),1046.4,"")</f>
        <v>1046.4000000000001</v>
      </c>
      <c r="AH10" s="13">
        <f>IF($C$6=TRUE(),1094.1,"")</f>
        <v>1094.0999999999999</v>
      </c>
      <c r="AI10" s="13">
        <f>IF($C$6=TRUE(),1101.1,"")</f>
        <v>1101.0999999999999</v>
      </c>
      <c r="AJ10" s="13">
        <f>IF($C$6=TRUE(),1261.3,"")</f>
        <v>1261.3</v>
      </c>
      <c r="AK10" s="13">
        <f>IF($C$6=TRUE(),1318.7,"")</f>
        <v>1318.7</v>
      </c>
      <c r="AL10" s="13">
        <f>IF($C$6=TRUE(),1365.7,"")</f>
        <v>1365.7</v>
      </c>
      <c r="AM10" s="13">
        <f>IF($C$6=TRUE(),1420,"")</f>
        <v>1420</v>
      </c>
      <c r="AN10" s="13">
        <f>IF($C$6=TRUE(),1739.9,"")</f>
        <v>1739.9</v>
      </c>
      <c r="AO10" s="13">
        <f>IF($C$6=TRUE(),1951.4,"")</f>
        <v>1951.4</v>
      </c>
      <c r="AP10" s="13">
        <f>IF($C$6=TRUE(),2006.8,"")</f>
        <v>2006.8</v>
      </c>
      <c r="AQ10" s="13">
        <f>IF($C$6=TRUE(),2123,"")</f>
        <v>2123</v>
      </c>
      <c r="AR10" s="13">
        <f>IF($C$6=TRUE(),2292.4,"")</f>
        <v>2292.4</v>
      </c>
      <c r="AS10" s="13">
        <f>IF($C$6=TRUE(),2652.7,"")</f>
        <v>2652.7</v>
      </c>
      <c r="AT10" s="13">
        <f>IF($C$6=TRUE(),3418.9,"")</f>
        <v>3418.9</v>
      </c>
      <c r="AU10" s="13">
        <f>IF($C$6=TRUE(),3789.5,"")</f>
        <v>3789.5</v>
      </c>
      <c r="AV10" s="13">
        <f>IF($C$6=TRUE(),3852.8,"")</f>
        <v>3852.8</v>
      </c>
      <c r="AW10" s="13">
        <f>IF($C$6=TRUE(),4092,"")</f>
        <v>4092</v>
      </c>
      <c r="AX10" s="13">
        <f>IF($C$6=TRUE(),4846.4,"")</f>
        <v>4846.3999999999996</v>
      </c>
      <c r="AY10" s="13">
        <f>IF($C$6=TRUE(),4948.6,"")</f>
        <v>4948.6000000000004</v>
      </c>
      <c r="AZ10" s="13">
        <f>IF($C$6=TRUE(),5507.3,"")</f>
        <v>5507.3</v>
      </c>
      <c r="BA10" s="13">
        <f>IF($C$6=TRUE(),5736.8,"")</f>
        <v>5736.8</v>
      </c>
      <c r="BB10" s="13">
        <f>IF($C$6=TRUE(),5736.8,"")</f>
        <v>5736.8</v>
      </c>
      <c r="BC10" s="13">
        <f>IF($C$6=TRUE(),5736.8,"")</f>
        <v>5736.8</v>
      </c>
      <c r="BD10" s="13">
        <f>IF($C$6=TRUE(),6710.9,"")</f>
        <v>6710.9</v>
      </c>
      <c r="BE10" s="13">
        <f>IF($C$6=TRUE(),6940.1,"")</f>
        <v>6940.1</v>
      </c>
      <c r="BF10" s="13">
        <f>IF($C$6=TRUE(),7430,"")</f>
        <v>7430</v>
      </c>
      <c r="BG10" s="13">
        <f>IF($C$6=TRUE(),7595.4,"")</f>
        <v>7595.4</v>
      </c>
      <c r="BH10" s="13">
        <f>IF($C$6=TRUE(),8914.8,"")</f>
        <v>8914.7999999999993</v>
      </c>
      <c r="BI10" s="13">
        <f>IF($C$6=TRUE(),9348.4,"")</f>
        <v>9348.4</v>
      </c>
      <c r="BJ10" s="13">
        <f>IF($C$6=TRUE(),10131.7,"")</f>
        <v>10131.700000000001</v>
      </c>
      <c r="BK10" s="13">
        <f>IF($C$6=TRUE(),10592.5,"")</f>
        <v>10592.5</v>
      </c>
      <c r="BL10" s="13">
        <f>IF($C$6=TRUE(),10682.1,"")</f>
        <v>10682.1</v>
      </c>
      <c r="BM10" s="13">
        <f>IF($C$6=TRUE(),10795.2,"")</f>
        <v>10795.2</v>
      </c>
      <c r="BN10" s="14"/>
      <c r="BO10" s="14"/>
    </row>
    <row r="11" spans="1:67" ht="15" customHeight="1">
      <c r="A11" s="9" t="s">
        <v>191</v>
      </c>
      <c r="B11" s="10">
        <f>IF($D$6=TRUE(),297.4,"")</f>
        <v>297.39999999999998</v>
      </c>
      <c r="C11" s="10">
        <f>IF($D$6=TRUE(),313,"")</f>
        <v>313</v>
      </c>
      <c r="D11" s="10">
        <f>IF($D$6=TRUE(),326.7,"")</f>
        <v>326.7</v>
      </c>
      <c r="E11" s="10">
        <f>IF($D$6=TRUE(),339.8,"")</f>
        <v>339.8</v>
      </c>
      <c r="F11" s="10">
        <f>IF($D$6=TRUE(),367,"")</f>
        <v>367</v>
      </c>
      <c r="G11" s="10">
        <f>IF($D$6=TRUE(),387.9,"")</f>
        <v>387.9</v>
      </c>
      <c r="H11" s="10">
        <f>IF($D$6=TRUE(),433.8,"")</f>
        <v>433.8</v>
      </c>
      <c r="I11" s="10">
        <f>IF($D$6=TRUE(),450.4,"")</f>
        <v>450.4</v>
      </c>
      <c r="J11" s="10">
        <f>IF($D$6=TRUE(),492.1,"")</f>
        <v>492.1</v>
      </c>
      <c r="K11" s="10">
        <f>IF($D$6=TRUE(),508.2,"")</f>
        <v>508.2</v>
      </c>
      <c r="L11" s="10">
        <f>IF($D$6=TRUE(),516.3,"")</f>
        <v>516.29999999999995</v>
      </c>
      <c r="M11" s="10">
        <f>IF($D$6=TRUE(),524.2,"")</f>
        <v>524.20000000000005</v>
      </c>
      <c r="N11" s="10">
        <f>IF($D$6=TRUE(),579.6,"")</f>
        <v>579.6</v>
      </c>
      <c r="O11" s="10">
        <f>IF($D$6=TRUE(),599.7,"")</f>
        <v>599.70000000000005</v>
      </c>
      <c r="P11" s="10">
        <f>IF($D$6=TRUE(),600.3,"")</f>
        <v>600.29999999999995</v>
      </c>
      <c r="Q11" s="10">
        <f>IF($D$6=TRUE(),605.3,"")</f>
        <v>605.29999999999995</v>
      </c>
      <c r="R11" s="10">
        <f>IF($D$6=TRUE(),646.1,"")</f>
        <v>646.1</v>
      </c>
      <c r="S11" s="10">
        <f>IF($D$6=TRUE(),649.2,"")</f>
        <v>649.20000000000005</v>
      </c>
      <c r="T11" s="10">
        <f>IF($D$6=TRUE(),647,"")</f>
        <v>647</v>
      </c>
      <c r="U11" s="10">
        <f>IF($D$6=TRUE(),648.2,"")</f>
        <v>648.20000000000005</v>
      </c>
      <c r="V11" s="10">
        <f>IF($D$6=TRUE(),684.4,"")</f>
        <v>684.4</v>
      </c>
      <c r="W11" s="10">
        <f>IF($D$6=TRUE(),691.6,"")</f>
        <v>691.6</v>
      </c>
      <c r="X11" s="10">
        <f>IF($D$6=TRUE(),703.8,"")</f>
        <v>703.8</v>
      </c>
      <c r="Y11" s="10">
        <f>IF($D$6=TRUE(),711.3,"")</f>
        <v>711.3</v>
      </c>
      <c r="Z11" s="10">
        <f>IF($D$6=TRUE(),761,"")</f>
        <v>761</v>
      </c>
      <c r="AA11" s="10">
        <f>IF($D$6=TRUE(),763.9,"")</f>
        <v>763.9</v>
      </c>
      <c r="AB11" s="10">
        <f>IF($D$6=TRUE(),780.3,"")</f>
        <v>780.3</v>
      </c>
      <c r="AC11" s="10">
        <f>IF($D$6=TRUE(),787.2,"")</f>
        <v>787.2</v>
      </c>
      <c r="AD11" s="10">
        <f>IF($D$6=TRUE(),884.7,"")</f>
        <v>884.7</v>
      </c>
      <c r="AE11" s="10">
        <f>IF($D$6=TRUE(),969.3,"")</f>
        <v>969.3</v>
      </c>
      <c r="AF11" s="10">
        <f>IF($D$6=TRUE(),1018.4,"")</f>
        <v>1018.4</v>
      </c>
      <c r="AG11" s="10">
        <f>IF($D$6=TRUE(),1053.2,"")</f>
        <v>1053.2</v>
      </c>
      <c r="AH11" s="10">
        <f>IF($D$6=TRUE(),1074.5,"")</f>
        <v>1074.5</v>
      </c>
      <c r="AI11" s="10">
        <f>IF($D$6=TRUE(),1122.3,"")</f>
        <v>1122.3</v>
      </c>
      <c r="AJ11" s="10">
        <f>IF($D$6=TRUE(),1296.3,"")</f>
        <v>1296.3</v>
      </c>
      <c r="AK11" s="10">
        <f>IF($D$6=TRUE(),1395.1,"")</f>
        <v>1395.1</v>
      </c>
      <c r="AL11" s="10">
        <f>IF($D$6=TRUE(),1461,"")</f>
        <v>1461</v>
      </c>
      <c r="AM11" s="10">
        <f>IF($D$6=TRUE(),1532,"")</f>
        <v>1532</v>
      </c>
      <c r="AN11" s="10">
        <f>IF($D$6=TRUE(),1805.1,"")</f>
        <v>1805.1</v>
      </c>
      <c r="AO11" s="10">
        <f>IF($D$6=TRUE(),2075.6,"")</f>
        <v>2075.6</v>
      </c>
      <c r="AP11" s="10">
        <f>IF($D$6=TRUE(),2139.4,"")</f>
        <v>2139.4</v>
      </c>
      <c r="AQ11" s="10">
        <f>IF($D$6=TRUE(),2280.3,"")</f>
        <v>2280.3000000000002</v>
      </c>
      <c r="AR11" s="10">
        <f>IF($D$6=TRUE(),2531.7,"")</f>
        <v>2531.6999999999998</v>
      </c>
      <c r="AS11" s="10">
        <f>IF($D$6=TRUE(),2661.8,"")</f>
        <v>2661.8</v>
      </c>
      <c r="AT11" s="10">
        <f>IF($D$6=TRUE(),3440.1,"")</f>
        <v>3440.1</v>
      </c>
      <c r="AU11" s="10">
        <f>IF($D$6=TRUE(),3807.3,"")</f>
        <v>3807.3</v>
      </c>
      <c r="AV11" s="10">
        <f>IF($D$6=TRUE(),3783.8,"")</f>
        <v>3783.8</v>
      </c>
      <c r="AW11" s="10">
        <f>IF($D$6=TRUE(),3903,"")</f>
        <v>3903</v>
      </c>
      <c r="AX11" s="10">
        <f>IF($D$6=TRUE(),4832.1,"")</f>
        <v>4832.1000000000004</v>
      </c>
      <c r="AY11" s="10">
        <f>IF($D$6=TRUE(),5014.4,"")</f>
        <v>5014.3999999999996</v>
      </c>
      <c r="AZ11" s="10">
        <f>IF($D$6=TRUE(),5332.3,"")</f>
        <v>5332.3</v>
      </c>
      <c r="BA11" s="10">
        <f>IF($D$6=TRUE(),5640.1,"")</f>
        <v>5640.1</v>
      </c>
      <c r="BB11" s="10">
        <f>IF($D$6=TRUE(),5656.8,"")</f>
        <v>5656.8</v>
      </c>
      <c r="BC11" s="10">
        <f>IF($D$6=TRUE(),5790.3,"")</f>
        <v>5790.3</v>
      </c>
      <c r="BD11" s="10">
        <f>IF($D$6=TRUE(),6856.6,"")</f>
        <v>6856.6</v>
      </c>
      <c r="BE11" s="10">
        <f>IF($D$6=TRUE(),7221.9,"")</f>
        <v>7221.9</v>
      </c>
      <c r="BF11" s="10">
        <f>IF($D$6=TRUE(),7346.4,"")</f>
        <v>7346.4</v>
      </c>
      <c r="BG11" s="10">
        <f>IF($D$6=TRUE(),7555.3,"")</f>
        <v>7555.3</v>
      </c>
      <c r="BH11" s="10">
        <f>IF($D$6=TRUE(),9047.9,"")</f>
        <v>9047.9</v>
      </c>
      <c r="BI11" s="10">
        <f>IF($D$6=TRUE(),9681.3,"")</f>
        <v>9681.2999999999993</v>
      </c>
      <c r="BJ11" s="10">
        <f>IF($D$6=TRUE(),9720.1,"")</f>
        <v>9720.1</v>
      </c>
      <c r="BK11" s="10">
        <f>IF($D$6=TRUE(),10361.3,"")</f>
        <v>10361.299999999999</v>
      </c>
      <c r="BL11" s="10">
        <f>IF($D$6=TRUE(),10507.8,"")</f>
        <v>10507.8</v>
      </c>
      <c r="BM11" s="10">
        <f>IF($D$6=TRUE(),10713.6,"")</f>
        <v>10713.6</v>
      </c>
      <c r="BN11" s="11"/>
      <c r="BO11" s="11"/>
    </row>
    <row r="12" spans="1:67" ht="15" customHeight="1">
      <c r="A12" s="12" t="s">
        <v>192</v>
      </c>
      <c r="B12" s="13">
        <f>IF($E$6=TRUE(),315.8,"")</f>
        <v>315.8</v>
      </c>
      <c r="C12" s="13">
        <f>IF($E$6=TRUE(),328.6,"")</f>
        <v>328.6</v>
      </c>
      <c r="D12" s="13">
        <f>IF($E$6=TRUE(),346.5,"")</f>
        <v>346.5</v>
      </c>
      <c r="E12" s="13">
        <f>IF($E$6=TRUE(),362.4,"")</f>
        <v>362.4</v>
      </c>
      <c r="F12" s="13">
        <f>IF($E$6=TRUE(),393.5,"")</f>
        <v>393.5</v>
      </c>
      <c r="G12" s="13">
        <f>IF($E$6=TRUE(),418.1,"")</f>
        <v>418.1</v>
      </c>
      <c r="H12" s="13">
        <f>IF($E$6=TRUE(),464.1,"")</f>
        <v>464.1</v>
      </c>
      <c r="I12" s="13">
        <f>IF($E$6=TRUE(),486.7,"")</f>
        <v>486.7</v>
      </c>
      <c r="J12" s="13">
        <f>IF($E$6=TRUE(),530.4,"")</f>
        <v>530.4</v>
      </c>
      <c r="K12" s="13">
        <f>IF($E$6=TRUE(),543.6,"")</f>
        <v>543.6</v>
      </c>
      <c r="L12" s="13">
        <f>IF($E$6=TRUE(),553.6,"")</f>
        <v>553.6</v>
      </c>
      <c r="M12" s="13">
        <f>IF($E$6=TRUE(),564,"")</f>
        <v>564</v>
      </c>
      <c r="N12" s="13">
        <f>IF($E$6=TRUE(),627.2,"")</f>
        <v>627.20000000000005</v>
      </c>
      <c r="O12" s="13">
        <f>IF($E$6=TRUE(),640.1,"")</f>
        <v>640.1</v>
      </c>
      <c r="P12" s="13">
        <f>IF($E$6=TRUE(),645.4,"")</f>
        <v>645.4</v>
      </c>
      <c r="Q12" s="13">
        <f>IF($E$6=TRUE(),652.1,"")</f>
        <v>652.1</v>
      </c>
      <c r="R12" s="13">
        <f>IF($E$6=TRUE(),699.9,"")</f>
        <v>699.9</v>
      </c>
      <c r="S12" s="13">
        <f>IF($E$6=TRUE(),703.7,"")</f>
        <v>703.7</v>
      </c>
      <c r="T12" s="13">
        <f>IF($E$6=TRUE(),704.6,"")</f>
        <v>704.6</v>
      </c>
      <c r="U12" s="13">
        <f>IF($E$6=TRUE(),705.8,"")</f>
        <v>705.8</v>
      </c>
      <c r="V12" s="13">
        <f>IF($E$6=TRUE(),746.7,"")</f>
        <v>746.7</v>
      </c>
      <c r="W12" s="13">
        <f>IF($E$6=TRUE(),753.7,"")</f>
        <v>753.7</v>
      </c>
      <c r="X12" s="13">
        <f>IF($E$6=TRUE(),761.7,"")</f>
        <v>761.7</v>
      </c>
      <c r="Y12" s="13">
        <f>IF($E$6=TRUE(),768.9,"")</f>
        <v>768.9</v>
      </c>
      <c r="Z12" s="13">
        <f>IF($E$6=TRUE(),820.5,"")</f>
        <v>820.5</v>
      </c>
      <c r="AA12" s="13">
        <f>IF($E$6=TRUE(),822.6,"")</f>
        <v>822.6</v>
      </c>
      <c r="AB12" s="13">
        <f>IF($E$6=TRUE(),842.9,"")</f>
        <v>842.9</v>
      </c>
      <c r="AC12" s="13">
        <f>IF($E$6=TRUE(),850.7,"")</f>
        <v>850.7</v>
      </c>
      <c r="AD12" s="13">
        <f>IF($E$6=TRUE(),951.5,"")</f>
        <v>951.5</v>
      </c>
      <c r="AE12" s="13">
        <f>IF($E$6=TRUE(),1055.5,"")</f>
        <v>1055.5</v>
      </c>
      <c r="AF12" s="13">
        <f>IF($E$6=TRUE(),1102.3,"")</f>
        <v>1102.3</v>
      </c>
      <c r="AG12" s="13">
        <f>IF($E$6=TRUE(),1148.1,"")</f>
        <v>1148.0999999999999</v>
      </c>
      <c r="AH12" s="13">
        <f>IF($E$6=TRUE(),1166.4,"")</f>
        <v>1166.4000000000001</v>
      </c>
      <c r="AI12" s="13">
        <f>IF($E$6=TRUE(),1209.1,"")</f>
        <v>1209.0999999999999</v>
      </c>
      <c r="AJ12" s="13">
        <f>IF($E$6=TRUE(),1410.8,"")</f>
        <v>1410.8</v>
      </c>
      <c r="AK12" s="13">
        <f>IF($E$6=TRUE(),1495,"")</f>
        <v>1495</v>
      </c>
      <c r="AL12" s="13">
        <f>IF($E$6=TRUE(),1563.5,"")</f>
        <v>1563.5</v>
      </c>
      <c r="AM12" s="13">
        <f>IF($E$6=TRUE(),1648,"")</f>
        <v>1648</v>
      </c>
      <c r="AN12" s="13">
        <f>IF($E$6=TRUE(),1958.7,"")</f>
        <v>1958.7</v>
      </c>
      <c r="AO12" s="13">
        <f>IF($E$6=TRUE(),2258,"")</f>
        <v>2258</v>
      </c>
      <c r="AP12" s="13">
        <f>IF($E$6=TRUE(),2344.7,"")</f>
        <v>2344.6999999999998</v>
      </c>
      <c r="AQ12" s="13">
        <f>IF($E$6=TRUE(),2522.1,"")</f>
        <v>2522.1</v>
      </c>
      <c r="AR12" s="13">
        <f>IF($E$6=TRUE(),2784.3,"")</f>
        <v>2784.3</v>
      </c>
      <c r="AS12" s="13">
        <f>IF($E$6=TRUE(),2940.2,"")</f>
        <v>2940.2</v>
      </c>
      <c r="AT12" s="13">
        <f>IF($E$6=TRUE(),3664.7,"")</f>
        <v>3664.7</v>
      </c>
      <c r="AU12" s="13">
        <f>IF($E$6=TRUE(),3951,"")</f>
        <v>3951</v>
      </c>
      <c r="AV12" s="13">
        <f>IF($E$6=TRUE(),4124.4,"")</f>
        <v>4124.3999999999996</v>
      </c>
      <c r="AW12" s="13">
        <f>IF($E$6=TRUE(),4242.7,"")</f>
        <v>4242.7</v>
      </c>
      <c r="AX12" s="13">
        <f>IF($E$6=TRUE(),5308.9,"")</f>
        <v>5308.9</v>
      </c>
      <c r="AY12" s="13">
        <f>IF($E$6=TRUE(),5462,"")</f>
        <v>5462</v>
      </c>
      <c r="AZ12" s="13">
        <f>IF($E$6=TRUE(),5797.7,"")</f>
        <v>5797.7</v>
      </c>
      <c r="BA12" s="13">
        <f>IF($E$6=TRUE(),6159.1,"")</f>
        <v>6159.1</v>
      </c>
      <c r="BB12" s="13">
        <f>IF($E$6=TRUE(),6160.3,"")</f>
        <v>6160.3</v>
      </c>
      <c r="BC12" s="13">
        <f>IF($E$6=TRUE(),6169,"")</f>
        <v>6169</v>
      </c>
      <c r="BD12" s="13">
        <f>IF($E$6=TRUE(),7431.8,"")</f>
        <v>7431.8</v>
      </c>
      <c r="BE12" s="13">
        <f>IF($E$6=TRUE(),7772.2,"")</f>
        <v>7772.2</v>
      </c>
      <c r="BF12" s="13">
        <f>IF($E$6=TRUE(),7879.1,"")</f>
        <v>7879.1</v>
      </c>
      <c r="BG12" s="13">
        <f>IF($E$6=TRUE(),8134.6,"")</f>
        <v>8134.6</v>
      </c>
      <c r="BH12" s="13">
        <f>IF($E$6=TRUE(),9816.3,"")</f>
        <v>9816.2999999999993</v>
      </c>
      <c r="BI12" s="13">
        <f>IF($E$6=TRUE(),10299.9,"")</f>
        <v>10299.9</v>
      </c>
      <c r="BJ12" s="13">
        <f>IF($E$6=TRUE(),10309.7,"")</f>
        <v>10309.700000000001</v>
      </c>
      <c r="BK12" s="13">
        <f>IF($E$6=TRUE(),10995,"")</f>
        <v>10995</v>
      </c>
      <c r="BL12" s="13">
        <f>IF($E$6=TRUE(),11132.3,"")</f>
        <v>11132.3</v>
      </c>
      <c r="BM12" s="13">
        <f>IF($E$6=TRUE(),11304.9,"")</f>
        <v>11304.9</v>
      </c>
      <c r="BN12" s="14"/>
      <c r="BO12" s="14"/>
    </row>
    <row r="13" spans="1:67" ht="15" customHeight="1">
      <c r="A13" s="9" t="s">
        <v>177</v>
      </c>
      <c r="B13" s="10">
        <f>IF($F$6=TRUE(),306.4,"")</f>
        <v>306.39999999999998</v>
      </c>
      <c r="C13" s="10">
        <f>IF($F$6=TRUE(),323.9,"")</f>
        <v>323.89999999999998</v>
      </c>
      <c r="D13" s="10">
        <f>IF($F$6=TRUE(),337,"")</f>
        <v>337</v>
      </c>
      <c r="E13" s="10">
        <f>IF($F$6=TRUE(),392.5,"")</f>
        <v>392.5</v>
      </c>
      <c r="F13" s="10">
        <f>IF($F$6=TRUE(),452.7,"")</f>
        <v>452.7</v>
      </c>
      <c r="G13" s="10">
        <f>IF($F$6=TRUE(),559.8,"")</f>
        <v>559.79999999999995</v>
      </c>
      <c r="H13" s="10">
        <f>IF($F$6=TRUE(),645.4,"")</f>
        <v>645.4</v>
      </c>
      <c r="I13" s="10">
        <f>IF($F$6=TRUE(),645.8,"")</f>
        <v>645.79999999999995</v>
      </c>
      <c r="J13" s="10">
        <f>IF($F$6=TRUE(),650.1,"")</f>
        <v>650.1</v>
      </c>
      <c r="K13" s="10">
        <f>IF($F$6=TRUE(),650.7,"")</f>
        <v>650.70000000000005</v>
      </c>
      <c r="L13" s="10">
        <f>IF($F$6=TRUE(),644.3,"")</f>
        <v>644.29999999999995</v>
      </c>
      <c r="M13" s="10">
        <f>IF($F$6=TRUE(),606.1,"")</f>
        <v>606.1</v>
      </c>
      <c r="N13" s="10">
        <f>IF($F$6=TRUE(),657.8,"")</f>
        <v>657.8</v>
      </c>
      <c r="O13" s="10">
        <f>IF($F$6=TRUE(),640.6,"")</f>
        <v>640.6</v>
      </c>
      <c r="P13" s="10">
        <f>IF($F$6=TRUE(),638.4,"")</f>
        <v>638.4</v>
      </c>
      <c r="Q13" s="10">
        <f>IF($F$6=TRUE(),594.7,"")</f>
        <v>594.70000000000005</v>
      </c>
      <c r="R13" s="10">
        <f>IF($F$6=TRUE(),561.5,"")</f>
        <v>561.5</v>
      </c>
      <c r="S13" s="10">
        <f>IF($F$6=TRUE(),543.8,"")</f>
        <v>543.79999999999995</v>
      </c>
      <c r="T13" s="10">
        <f>IF($F$6=TRUE(),521.3,"")</f>
        <v>521.29999999999995</v>
      </c>
      <c r="U13" s="10">
        <f>IF($F$6=TRUE(),484.1,"")</f>
        <v>484.1</v>
      </c>
      <c r="V13" s="10">
        <f>IF($F$6=TRUE(),572.2,"")</f>
        <v>572.20000000000005</v>
      </c>
      <c r="W13" s="10">
        <f>IF($F$6=TRUE(),574.5,"")</f>
        <v>574.5</v>
      </c>
      <c r="X13" s="10">
        <f>IF($F$6=TRUE(),611.2,"")</f>
        <v>611.20000000000005</v>
      </c>
      <c r="Y13" s="10">
        <f>IF($F$6=TRUE(),600.6,"")</f>
        <v>600.6</v>
      </c>
      <c r="Z13" s="10">
        <f>IF($F$6=TRUE(),608,"")</f>
        <v>608</v>
      </c>
      <c r="AA13" s="10">
        <f>IF($F$6=TRUE(),740.6,"")</f>
        <v>740.6</v>
      </c>
      <c r="AB13" s="10">
        <f>IF($F$6=TRUE(),773.7,"")</f>
        <v>773.7</v>
      </c>
      <c r="AC13" s="10">
        <f>IF($F$6=TRUE(),823.2,"")</f>
        <v>823.2</v>
      </c>
      <c r="AD13" s="10">
        <f>IF($F$6=TRUE(),986.3,"")</f>
        <v>986.3</v>
      </c>
      <c r="AE13" s="10">
        <f>IF($F$6=TRUE(),1169.5,"")</f>
        <v>1169.5</v>
      </c>
      <c r="AF13" s="10">
        <f>IF($F$6=TRUE(),1450.1,"")</f>
        <v>1450.1</v>
      </c>
      <c r="AG13" s="10">
        <f>IF($F$6=TRUE(),1504,"")</f>
        <v>1504</v>
      </c>
      <c r="AH13" s="10">
        <f>IF($F$6=TRUE(),1405.2,"")</f>
        <v>1405.2</v>
      </c>
      <c r="AI13" s="10">
        <f>IF($F$6=TRUE(),1386.8,"")</f>
        <v>1386.8</v>
      </c>
      <c r="AJ13" s="10">
        <f>IF($F$6=TRUE(),1637.8,"")</f>
        <v>1637.8</v>
      </c>
      <c r="AK13" s="10">
        <f>IF($F$6=TRUE(),1457.2,"")</f>
        <v>1457.2</v>
      </c>
      <c r="AL13" s="10">
        <f>IF($F$6=TRUE(),1514.8,"")</f>
        <v>1514.8</v>
      </c>
      <c r="AM13" s="10">
        <f>IF($F$6=TRUE(),1894.9,"")</f>
        <v>1894.9</v>
      </c>
      <c r="AN13" s="10">
        <f>IF($F$6=TRUE(),2128.3,"")</f>
        <v>2128.3000000000002</v>
      </c>
      <c r="AO13" s="10">
        <f>IF($F$6=TRUE(),3205.2,"")</f>
        <v>3205.2</v>
      </c>
      <c r="AP13" s="10">
        <f>IF($F$6=TRUE(),3429.2,"")</f>
        <v>3429.2</v>
      </c>
      <c r="AQ13" s="10">
        <f>IF($F$6=TRUE(),3674.4,"")</f>
        <v>3674.4</v>
      </c>
      <c r="AR13" s="10">
        <f>IF($F$6=TRUE(),3888.7,"")</f>
        <v>3888.7</v>
      </c>
      <c r="AS13" s="10">
        <f>IF($F$6=TRUE(),4141.8,"")</f>
        <v>4141.8</v>
      </c>
      <c r="AT13" s="10">
        <f>IF($F$6=TRUE(),4629.7,"")</f>
        <v>4629.7</v>
      </c>
      <c r="AU13" s="10">
        <f>IF($F$6=TRUE(),5356.2,"")</f>
        <v>5356.2</v>
      </c>
      <c r="AV13" s="10">
        <f>IF($F$6=TRUE(),5193.8,"")</f>
        <v>5193.8</v>
      </c>
      <c r="AW13" s="10">
        <f>IF($F$6=TRUE(),5110.9,"")</f>
        <v>5110.8999999999996</v>
      </c>
      <c r="AX13" s="10">
        <f>IF($F$6=TRUE(),5957.4,"")</f>
        <v>5957.4</v>
      </c>
      <c r="AY13" s="10">
        <f>IF($F$6=TRUE(),5485.4,"")</f>
        <v>5485.4</v>
      </c>
      <c r="AZ13" s="10">
        <f>IF($F$6=TRUE(),5530.9,"")</f>
        <v>5530.9</v>
      </c>
      <c r="BA13" s="10">
        <f>IF($F$6=TRUE(),6547.7,"")</f>
        <v>6547.7</v>
      </c>
      <c r="BB13" s="10">
        <f>IF($F$6=TRUE(),7263.3,"")</f>
        <v>7263.3</v>
      </c>
      <c r="BC13" s="10">
        <f>IF($F$6=TRUE(),8408.7,"")</f>
        <v>8408.7000000000007</v>
      </c>
      <c r="BD13" s="10">
        <f>IF($F$6=TRUE(),8565.4,"")</f>
        <v>8565.4</v>
      </c>
      <c r="BE13" s="10">
        <f>IF($F$6=TRUE(),8162.4,"")</f>
        <v>8162.4</v>
      </c>
      <c r="BF13" s="10">
        <f>IF($F$6=TRUE(),79007,"")</f>
        <v>79007</v>
      </c>
      <c r="BG13" s="10">
        <f>IF($F$6=TRUE(),8239.6,"")</f>
        <v>8239.6</v>
      </c>
      <c r="BH13" s="10">
        <f>IF($F$6=TRUE(),9255.4,"")</f>
        <v>9255.4</v>
      </c>
      <c r="BI13" s="10">
        <f>IF($F$6=TRUE(),9698.5,"")</f>
        <v>9698.5</v>
      </c>
      <c r="BJ13" s="10">
        <f>IF($F$6=TRUE(),9991.7,"")</f>
        <v>9991.7000000000007</v>
      </c>
      <c r="BK13" s="10">
        <f>IF($F$6=TRUE(),10497.1,"")</f>
        <v>10497.1</v>
      </c>
      <c r="BL13" s="10">
        <f>IF($F$6=TRUE(),11133.2,"")</f>
        <v>11133.2</v>
      </c>
      <c r="BM13" s="10">
        <f>IF($F$6=TRUE(),12127.4,"")</f>
        <v>12127.4</v>
      </c>
      <c r="BN13" s="11"/>
      <c r="BO13" s="11"/>
    </row>
    <row r="14" spans="1:67" ht="15" customHeight="1">
      <c r="A14" s="12" t="s">
        <v>193</v>
      </c>
      <c r="B14" s="13" t="str">
        <f>IF($G$6=TRUE(),236.6,"")</f>
        <v/>
      </c>
      <c r="C14" s="13" t="str">
        <f>IF($G$6=TRUE(),240.5,"")</f>
        <v/>
      </c>
      <c r="D14" s="13" t="str">
        <f>IF($G$6=TRUE(),246.2,"")</f>
        <v/>
      </c>
      <c r="E14" s="13" t="str">
        <f>IF($G$6=TRUE(),250.7,"")</f>
        <v/>
      </c>
      <c r="F14" s="13" t="str">
        <f>IF($G$6=TRUE(),272.4,"")</f>
        <v/>
      </c>
      <c r="G14" s="13" t="str">
        <f>IF($G$6=TRUE(),293.5,"")</f>
        <v/>
      </c>
      <c r="H14" s="13" t="str">
        <f>IF($G$6=TRUE(),310.9,"")</f>
        <v/>
      </c>
      <c r="I14" s="13" t="str">
        <f>IF($G$6=TRUE(),317.9,"")</f>
        <v/>
      </c>
      <c r="J14" s="13" t="str">
        <f>IF($G$6=TRUE(),343.8,"")</f>
        <v/>
      </c>
      <c r="K14" s="13" t="str">
        <f>IF($G$6=TRUE(),349.2,"")</f>
        <v/>
      </c>
      <c r="L14" s="13" t="str">
        <f>IF($G$6=TRUE(),356.3,"")</f>
        <v/>
      </c>
      <c r="M14" s="13" t="str">
        <f>IF($G$6=TRUE(),362.2,"")</f>
        <v/>
      </c>
      <c r="N14" s="13" t="str">
        <f>IF($G$6=TRUE(),410.5,"")</f>
        <v/>
      </c>
      <c r="O14" s="13" t="str">
        <f>IF($G$6=TRUE(),416.1,"")</f>
        <v/>
      </c>
      <c r="P14" s="13" t="str">
        <f>IF($G$6=TRUE(),420.6,"")</f>
        <v/>
      </c>
      <c r="Q14" s="13" t="str">
        <f>IF($G$6=TRUE(),424.7,"")</f>
        <v/>
      </c>
      <c r="R14" s="13" t="str">
        <f>IF($G$6=TRUE(),455.6,"")</f>
        <v/>
      </c>
      <c r="S14" s="13" t="str">
        <f>IF($G$6=TRUE(),458.4,"")</f>
        <v/>
      </c>
      <c r="T14" s="13" t="str">
        <f>IF($G$6=TRUE(),451.3,"")</f>
        <v/>
      </c>
      <c r="U14" s="13" t="str">
        <f>IF($G$6=TRUE(),453.4,"")</f>
        <v/>
      </c>
      <c r="V14" s="13" t="str">
        <f>IF($G$6=TRUE(),498.5,"")</f>
        <v/>
      </c>
      <c r="W14" s="13" t="str">
        <f>IF($G$6=TRUE(),504.6,"")</f>
        <v/>
      </c>
      <c r="X14" s="13" t="str">
        <f>IF($G$6=TRUE(),511,"")</f>
        <v/>
      </c>
      <c r="Y14" s="13" t="str">
        <f>IF($G$6=TRUE(),517.4,"")</f>
        <v/>
      </c>
      <c r="Z14" s="13" t="str">
        <f>IF($G$6=TRUE(),550.3,"")</f>
        <v/>
      </c>
      <c r="AA14" s="13" t="str">
        <f>IF($G$6=TRUE(),569.7,"")</f>
        <v/>
      </c>
      <c r="AB14" s="13" t="str">
        <f>IF($G$6=TRUE(),577.5,"")</f>
        <v/>
      </c>
      <c r="AC14" s="13" t="str">
        <f>IF($G$6=TRUE(),581.7,"")</f>
        <v/>
      </c>
      <c r="AD14" s="13" t="str">
        <f>IF($G$6=TRUE(),662.5,"")</f>
        <v/>
      </c>
      <c r="AE14" s="13" t="str">
        <f>IF($G$6=TRUE(),710.8,"")</f>
        <v/>
      </c>
      <c r="AF14" s="13" t="str">
        <f>IF($G$6=TRUE(),730.8,"")</f>
        <v/>
      </c>
      <c r="AG14" s="13" t="str">
        <f>IF($G$6=TRUE(),741.3,"")</f>
        <v/>
      </c>
      <c r="AH14" s="13" t="str">
        <f>IF($G$6=TRUE(),783.4,"")</f>
        <v/>
      </c>
      <c r="AI14" s="13" t="str">
        <f>IF($G$6=TRUE(),832,"")</f>
        <v/>
      </c>
      <c r="AJ14" s="13" t="str">
        <f>IF($G$6=TRUE(),971.2,"")</f>
        <v/>
      </c>
      <c r="AK14" s="13" t="str">
        <f>IF($G$6=TRUE(),1004.9,"")</f>
        <v/>
      </c>
      <c r="AL14" s="13" t="str">
        <f>IF($G$6=TRUE(),1067.7,"")</f>
        <v/>
      </c>
      <c r="AM14" s="13" t="str">
        <f>IF($G$6=TRUE(),1146.7,"")</f>
        <v/>
      </c>
      <c r="AN14" s="13" t="str">
        <f>IF($G$6=TRUE(),1464.7,"")</f>
        <v/>
      </c>
      <c r="AO14" s="13" t="str">
        <f>IF($G$6=TRUE(),1677.8,"")</f>
        <v/>
      </c>
      <c r="AP14" s="13" t="str">
        <f>IF($G$6=TRUE(),1716.9,"")</f>
        <v/>
      </c>
      <c r="AQ14" s="13" t="str">
        <f>IF($G$6=TRUE(),1790.2,"")</f>
        <v/>
      </c>
      <c r="AR14" s="13" t="str">
        <f>IF($G$6=TRUE(),1978.1,"")</f>
        <v/>
      </c>
      <c r="AS14" s="13" t="str">
        <f>IF($G$6=TRUE(),2035.4,"")</f>
        <v/>
      </c>
      <c r="AT14" s="13" t="str">
        <f>IF($G$6=TRUE(),2492,"")</f>
        <v/>
      </c>
      <c r="AU14" s="13" t="str">
        <f>IF($G$6=TRUE(),2679.2,"")</f>
        <v/>
      </c>
      <c r="AV14" s="13" t="str">
        <f>IF($G$6=TRUE(),2748.6,"")</f>
        <v/>
      </c>
      <c r="AW14" s="13" t="str">
        <f>IF($G$6=TRUE(),2770.1,"")</f>
        <v/>
      </c>
      <c r="AX14" s="13" t="str">
        <f>IF($G$6=TRUE(),3386,"")</f>
        <v/>
      </c>
      <c r="AY14" s="13" t="str">
        <f>IF($G$6=TRUE(),3428.3,"")</f>
        <v/>
      </c>
      <c r="AZ14" s="13" t="str">
        <f>IF($G$6=TRUE(),3590.4,"")</f>
        <v/>
      </c>
      <c r="BA14" s="13" t="str">
        <f>IF($G$6=TRUE(),3840.9,"")</f>
        <v/>
      </c>
      <c r="BB14" s="13" t="str">
        <f>IF($G$6=TRUE(),3906.1,"")</f>
        <v/>
      </c>
      <c r="BC14" s="13" t="str">
        <f>IF($G$6=TRUE(),4124.4,"")</f>
        <v/>
      </c>
      <c r="BD14" s="13" t="str">
        <f>IF($G$6=TRUE(),4701,"")</f>
        <v/>
      </c>
      <c r="BE14" s="13" t="str">
        <f>IF($G$6=TRUE(),4818.8,"")</f>
        <v/>
      </c>
      <c r="BF14" s="13" t="str">
        <f>IF($G$6=TRUE(),5083.1,"")</f>
        <v/>
      </c>
      <c r="BG14" s="13" t="str">
        <f>IF($G$6=TRUE(),5332.9,"")</f>
        <v/>
      </c>
      <c r="BH14" s="13" t="str">
        <f>IF($G$6=TRUE(),6223.2,"")</f>
        <v/>
      </c>
      <c r="BI14" s="13" t="str">
        <f>IF($G$6=TRUE(),6571.2,"")</f>
        <v/>
      </c>
      <c r="BJ14" s="13" t="str">
        <f>IF($G$6=TRUE(),6574.5,"")</f>
        <v/>
      </c>
      <c r="BK14" s="13" t="str">
        <f>IF($G$6=TRUE(),6809.5,"")</f>
        <v/>
      </c>
      <c r="BL14" s="13" t="str">
        <f>IF($G$6=TRUE(),6870.8,"")</f>
        <v/>
      </c>
      <c r="BM14" s="13" t="str">
        <f>IF($G$6=TRUE(),6951.5,"")</f>
        <v/>
      </c>
      <c r="BN14" s="14"/>
      <c r="BO14" s="14"/>
    </row>
    <row r="15" spans="1:67" ht="15" customHeight="1">
      <c r="A15" s="9" t="s">
        <v>194</v>
      </c>
      <c r="B15" s="10" t="str">
        <f>IF($H$6=TRUE(),291.5,"")</f>
        <v/>
      </c>
      <c r="C15" s="10" t="str">
        <f>IF($H$6=TRUE(),314.8,"")</f>
        <v/>
      </c>
      <c r="D15" s="10" t="str">
        <f>IF($H$6=TRUE(),327.4,"")</f>
        <v/>
      </c>
      <c r="E15" s="10" t="str">
        <f>IF($H$6=TRUE(),340.4,"")</f>
        <v/>
      </c>
      <c r="F15" s="10" t="str">
        <f>IF($H$6=TRUE(),359.8,"")</f>
        <v/>
      </c>
      <c r="G15" s="10" t="str">
        <f>IF($H$6=TRUE(),376.6,"")</f>
        <v/>
      </c>
      <c r="H15" s="10" t="str">
        <f>IF($H$6=TRUE(),432.3,"")</f>
        <v/>
      </c>
      <c r="I15" s="10" t="str">
        <f>IF($H$6=TRUE(),449.1,"")</f>
        <v/>
      </c>
      <c r="J15" s="10" t="str">
        <f>IF($H$6=TRUE(),485.2,"")</f>
        <v/>
      </c>
      <c r="K15" s="10" t="str">
        <f>IF($H$6=TRUE(),508.9,"")</f>
        <v/>
      </c>
      <c r="L15" s="10" t="str">
        <f>IF($H$6=TRUE(),516.6,"")</f>
        <v/>
      </c>
      <c r="M15" s="10" t="str">
        <f>IF($H$6=TRUE(),522.9,"")</f>
        <v/>
      </c>
      <c r="N15" s="10" t="str">
        <f>IF($H$6=TRUE(),561,"")</f>
        <v/>
      </c>
      <c r="O15" s="10" t="str">
        <f>IF($H$6=TRUE(),598.5,"")</f>
        <v/>
      </c>
      <c r="P15" s="10" t="str">
        <f>IF($H$6=TRUE(),583.7,"")</f>
        <v/>
      </c>
      <c r="Q15" s="10" t="str">
        <f>IF($H$6=TRUE(),587.4,"")</f>
        <v/>
      </c>
      <c r="R15" s="10" t="str">
        <f>IF($H$6=TRUE(),614.7,"")</f>
        <v/>
      </c>
      <c r="S15" s="10" t="str">
        <f>IF($H$6=TRUE(),616.7,"")</f>
        <v/>
      </c>
      <c r="T15" s="10" t="str">
        <f>IF($H$6=TRUE(),607.1,"")</f>
        <v/>
      </c>
      <c r="U15" s="10" t="str">
        <f>IF($H$6=TRUE(),607.3,"")</f>
        <v/>
      </c>
      <c r="V15" s="10" t="str">
        <f>IF($H$6=TRUE(),630.3,"")</f>
        <v/>
      </c>
      <c r="W15" s="10" t="str">
        <f>IF($H$6=TRUE(),639.3,"")</f>
        <v/>
      </c>
      <c r="X15" s="10" t="str">
        <f>IF($H$6=TRUE(),661.4,"")</f>
        <v/>
      </c>
      <c r="Y15" s="10" t="str">
        <f>IF($H$6=TRUE(),671.4,"")</f>
        <v/>
      </c>
      <c r="Z15" s="10" t="str">
        <f>IF($H$6=TRUE(),713.2,"")</f>
        <v/>
      </c>
      <c r="AA15" s="10" t="str">
        <f>IF($H$6=TRUE(),714.3,"")</f>
        <v/>
      </c>
      <c r="AB15" s="10" t="str">
        <f>IF($H$6=TRUE(),729.2,"")</f>
        <v/>
      </c>
      <c r="AC15" s="10" t="str">
        <f>IF($H$6=TRUE(),734.6,"")</f>
        <v/>
      </c>
      <c r="AD15" s="10" t="str">
        <f>IF($H$6=TRUE(),824.9,"")</f>
        <v/>
      </c>
      <c r="AE15" s="10" t="str">
        <f>IF($H$6=TRUE(),901.6,"")</f>
        <v/>
      </c>
      <c r="AF15" s="10" t="str">
        <f>IF($H$6=TRUE(),963.5,"")</f>
        <v/>
      </c>
      <c r="AG15" s="10" t="str">
        <f>IF($H$6=TRUE(),998.1,"")</f>
        <v/>
      </c>
      <c r="AH15" s="10" t="str">
        <f>IF($H$6=TRUE(),1006.5,"")</f>
        <v/>
      </c>
      <c r="AI15" s="10" t="str">
        <f>IF($H$6=TRUE(),1044.8,"")</f>
        <v/>
      </c>
      <c r="AJ15" s="10" t="str">
        <f>IF($H$6=TRUE(),1166.7,"")</f>
        <v/>
      </c>
      <c r="AK15" s="10" t="str">
        <f>IF($H$6=TRUE(),1310.2,"")</f>
        <v/>
      </c>
      <c r="AL15" s="10" t="str">
        <f>IF($H$6=TRUE(),1363.6,"")</f>
        <v/>
      </c>
      <c r="AM15" s="10" t="str">
        <f>IF($H$6=TRUE(),1426.1,"")</f>
        <v/>
      </c>
      <c r="AN15" s="10" t="str">
        <f>IF($H$6=TRUE(),1626.7,"")</f>
        <v/>
      </c>
      <c r="AO15" s="10" t="str">
        <f>IF($H$6=TRUE(),1901.6,"")</f>
        <v/>
      </c>
      <c r="AP15" s="10" t="str">
        <f>IF($H$6=TRUE(),1967.1,"")</f>
        <v/>
      </c>
      <c r="AQ15" s="10" t="str">
        <f>IF($H$6=TRUE(),2103.9,"")</f>
        <v/>
      </c>
      <c r="AR15" s="10" t="str">
        <f>IF($H$6=TRUE(),2295.7,"")</f>
        <v/>
      </c>
      <c r="AS15" s="10" t="str">
        <f>IF($H$6=TRUE(),2404.1,"")</f>
        <v/>
      </c>
      <c r="AT15" s="10" t="str">
        <f>IF($H$6=TRUE(),3101.3,"")</f>
        <v/>
      </c>
      <c r="AU15" s="10" t="str">
        <f>IF($H$6=TRUE(),3565.1,"")</f>
        <v/>
      </c>
      <c r="AV15" s="10" t="str">
        <f>IF($H$6=TRUE(),3516,"")</f>
        <v/>
      </c>
      <c r="AW15" s="10" t="str">
        <f>IF($H$6=TRUE(),3679.3,"")</f>
        <v/>
      </c>
      <c r="AX15" s="10" t="str">
        <f>IF($H$6=TRUE(),4542.3,"")</f>
        <v/>
      </c>
      <c r="AY15" s="10" t="str">
        <f>IF($H$6=TRUE(),4856.2,"")</f>
        <v/>
      </c>
      <c r="AZ15" s="10" t="str">
        <f>IF($H$6=TRUE(),5072.6,"")</f>
        <v/>
      </c>
      <c r="BA15" s="10" t="str">
        <f>IF($H$6=TRUE(),5326.2,"")</f>
        <v/>
      </c>
      <c r="BB15" s="10" t="str">
        <f>IF($H$6=TRUE(),5378.9,"")</f>
        <v/>
      </c>
      <c r="BC15" s="10" t="str">
        <f>IF($H$6=TRUE(),5597.5,"")</f>
        <v/>
      </c>
      <c r="BD15" s="10" t="str">
        <f>IF($H$6=TRUE(),6397.4,"")</f>
        <v/>
      </c>
      <c r="BE15" s="10" t="str">
        <f>IF($H$6=TRUE(),6896.4,"")</f>
        <v/>
      </c>
      <c r="BF15" s="10" t="str">
        <f>IF($H$6=TRUE(),6970.2,"")</f>
        <v/>
      </c>
      <c r="BG15" s="10" t="str">
        <f>IF($H$6=TRUE(),7219.6,"")</f>
        <v/>
      </c>
      <c r="BH15" s="10" t="str">
        <f>IF($H$6=TRUE(),8333,"")</f>
        <v/>
      </c>
      <c r="BI15" s="10" t="str">
        <f>IF($H$6=TRUE(),9235.5,"")</f>
        <v/>
      </c>
      <c r="BJ15" s="10" t="str">
        <f>IF($H$6=TRUE(),9358.2,"")</f>
        <v/>
      </c>
      <c r="BK15" s="10" t="str">
        <f>IF($H$6=TRUE(),10104.8,"")</f>
        <v/>
      </c>
      <c r="BL15" s="10" t="str">
        <f>IF($H$6=TRUE(),10271.8,"")</f>
        <v/>
      </c>
      <c r="BM15" s="10" t="str">
        <f>IF($H$6=TRUE(),10631,"")</f>
        <v/>
      </c>
      <c r="BN15" s="11"/>
      <c r="BO15" s="11"/>
    </row>
    <row r="16" spans="1:67" ht="15" customHeight="1">
      <c r="A16" s="12" t="s">
        <v>71</v>
      </c>
      <c r="B16" s="13" t="str">
        <f>IF($I$6=TRUE(),314,"")</f>
        <v/>
      </c>
      <c r="C16" s="13" t="str">
        <f>IF($I$6=TRUE(),316.8,"")</f>
        <v/>
      </c>
      <c r="D16" s="13" t="str">
        <f>IF($I$6=TRUE(),342.1,"")</f>
        <v/>
      </c>
      <c r="E16" s="13" t="str">
        <f>IF($I$6=TRUE(),346.5,"")</f>
        <v/>
      </c>
      <c r="F16" s="13" t="str">
        <f>IF($I$6=TRUE(),384.9,"")</f>
        <v/>
      </c>
      <c r="G16" s="13" t="str">
        <f>IF($I$6=TRUE(),422.1,"")</f>
        <v/>
      </c>
      <c r="H16" s="13" t="str">
        <f>IF($I$6=TRUE(),436.6,"")</f>
        <v/>
      </c>
      <c r="I16" s="13" t="str">
        <f>IF($I$6=TRUE(),452,"")</f>
        <v/>
      </c>
      <c r="J16" s="13" t="str">
        <f>IF($I$6=TRUE(),486,"")</f>
        <v/>
      </c>
      <c r="K16" s="13" t="str">
        <f>IF($I$6=TRUE(),496.5,"")</f>
        <v/>
      </c>
      <c r="L16" s="13" t="str">
        <f>IF($I$6=TRUE(),522,"")</f>
        <v/>
      </c>
      <c r="M16" s="13" t="str">
        <f>IF($I$6=TRUE(),525.5,"")</f>
        <v/>
      </c>
      <c r="N16" s="13" t="str">
        <f>IF($I$6=TRUE(),580.9,"")</f>
        <v/>
      </c>
      <c r="O16" s="13" t="str">
        <f>IF($I$6=TRUE(),590.1,"")</f>
        <v/>
      </c>
      <c r="P16" s="13" t="str">
        <f>IF($I$6=TRUE(),587.6,"")</f>
        <v/>
      </c>
      <c r="Q16" s="13" t="str">
        <f>IF($I$6=TRUE(),591.3,"")</f>
        <v/>
      </c>
      <c r="R16" s="13" t="str">
        <f>IF($I$6=TRUE(),623,"")</f>
        <v/>
      </c>
      <c r="S16" s="13" t="str">
        <f>IF($I$6=TRUE(),619.5,"")</f>
        <v/>
      </c>
      <c r="T16" s="13" t="str">
        <f>IF($I$6=TRUE(),624.3,"")</f>
        <v/>
      </c>
      <c r="U16" s="13" t="str">
        <f>IF($I$6=TRUE(),626.3,"")</f>
        <v/>
      </c>
      <c r="V16" s="13" t="str">
        <f>IF($I$6=TRUE(),681.5,"")</f>
        <v/>
      </c>
      <c r="W16" s="13" t="str">
        <f>IF($I$6=TRUE(),686.4,"")</f>
        <v/>
      </c>
      <c r="X16" s="13" t="str">
        <f>IF($I$6=TRUE(),693.1,"")</f>
        <v/>
      </c>
      <c r="Y16" s="13" t="str">
        <f>IF($I$6=TRUE(),696.9,"")</f>
        <v/>
      </c>
      <c r="Z16" s="13" t="str">
        <f>IF($I$6=TRUE(),746.1,"")</f>
        <v/>
      </c>
      <c r="AA16" s="13" t="str">
        <f>IF($I$6=TRUE(),754.1,"")</f>
        <v/>
      </c>
      <c r="AB16" s="13" t="str">
        <f>IF($I$6=TRUE(),768.4,"")</f>
        <v/>
      </c>
      <c r="AC16" s="13" t="str">
        <f>IF($I$6=TRUE(),778.3,"")</f>
        <v/>
      </c>
      <c r="AD16" s="13" t="str">
        <f>IF($I$6=TRUE(),874.5,"")</f>
        <v/>
      </c>
      <c r="AE16" s="13" t="str">
        <f>IF($I$6=TRUE(),911.9,"")</f>
        <v/>
      </c>
      <c r="AF16" s="13" t="str">
        <f>IF($I$6=TRUE(),949.3,"")</f>
        <v/>
      </c>
      <c r="AG16" s="13" t="str">
        <f>IF($I$6=TRUE(),983,"")</f>
        <v/>
      </c>
      <c r="AH16" s="13" t="str">
        <f>IF($I$6=TRUE(),1061.9,"")</f>
        <v/>
      </c>
      <c r="AI16" s="13" t="str">
        <f>IF($I$6=TRUE(),1078.3,"")</f>
        <v/>
      </c>
      <c r="AJ16" s="13" t="str">
        <f>IF($I$6=TRUE(),1267.7,"")</f>
        <v/>
      </c>
      <c r="AK16" s="13" t="str">
        <f>IF($I$6=TRUE(),1310.4,"")</f>
        <v/>
      </c>
      <c r="AL16" s="13" t="str">
        <f>IF($I$6=TRUE(),1334.6,"")</f>
        <v/>
      </c>
      <c r="AM16" s="13" t="str">
        <f>IF($I$6=TRUE(),1416,"")</f>
        <v/>
      </c>
      <c r="AN16" s="13" t="str">
        <f>IF($I$6=TRUE(),1776.5,"")</f>
        <v/>
      </c>
      <c r="AO16" s="13" t="str">
        <f>IF($I$6=TRUE(),1975.3,"")</f>
        <v/>
      </c>
      <c r="AP16" s="13" t="str">
        <f>IF($I$6=TRUE(),1986.1,"")</f>
        <v/>
      </c>
      <c r="AQ16" s="13" t="str">
        <f>IF($I$6=TRUE(),2100.5,"")</f>
        <v/>
      </c>
      <c r="AR16" s="13" t="str">
        <f>IF($I$6=TRUE(),2269.4,"")</f>
        <v/>
      </c>
      <c r="AS16" s="13" t="str">
        <f>IF($I$6=TRUE(),2456.5,"")</f>
        <v/>
      </c>
      <c r="AT16" s="13" t="str">
        <f>IF($I$6=TRUE(),3028,"")</f>
        <v/>
      </c>
      <c r="AU16" s="13" t="str">
        <f>IF($I$6=TRUE(),3294.1,"")</f>
        <v/>
      </c>
      <c r="AV16" s="13" t="str">
        <f>IF($I$6=TRUE(),3310.9,"")</f>
        <v/>
      </c>
      <c r="AW16" s="13" t="str">
        <f>IF($I$6=TRUE(),3360.3,"")</f>
        <v/>
      </c>
      <c r="AX16" s="13" t="str">
        <f>IF($I$6=TRUE(),4097.5,"")</f>
        <v/>
      </c>
      <c r="AY16" s="13" t="str">
        <f>IF($I$6=TRUE(),4174.2,"")</f>
        <v/>
      </c>
      <c r="AZ16" s="13" t="str">
        <f>IF($I$6=TRUE(),4469.2,"")</f>
        <v/>
      </c>
      <c r="BA16" s="13" t="str">
        <f>IF($I$6=TRUE(),4785.8,"")</f>
        <v/>
      </c>
      <c r="BB16" s="13" t="str">
        <f>IF($I$6=TRUE(),4823.8,"")</f>
        <v/>
      </c>
      <c r="BC16" s="13" t="str">
        <f>IF($I$6=TRUE(),5142.3,"")</f>
        <v/>
      </c>
      <c r="BD16" s="13" t="str">
        <f>IF($I$6=TRUE(),5885.2,"")</f>
        <v/>
      </c>
      <c r="BE16" s="13" t="str">
        <f>IF($I$6=TRUE(),6034.5,"")</f>
        <v/>
      </c>
      <c r="BF16" s="13" t="str">
        <f>IF($I$6=TRUE(),6293.5,"")</f>
        <v/>
      </c>
      <c r="BG16" s="13" t="str">
        <f>IF($I$6=TRUE(),6389.2,"")</f>
        <v/>
      </c>
      <c r="BH16" s="13" t="str">
        <f>IF($I$6=TRUE(),7562.2,"")</f>
        <v/>
      </c>
      <c r="BI16" s="13" t="str">
        <f>IF($I$6=TRUE(),7828.6,"")</f>
        <v/>
      </c>
      <c r="BJ16" s="13" t="str">
        <f>IF($I$6=TRUE(),8154.4,"")</f>
        <v/>
      </c>
      <c r="BK16" s="13" t="str">
        <f>IF($I$6=TRUE(),8505.2,"")</f>
        <v/>
      </c>
      <c r="BL16" s="13" t="str">
        <f>IF($I$6=TRUE(),8735.1,"")</f>
        <v/>
      </c>
      <c r="BM16" s="13" t="str">
        <f>IF($I$6=TRUE(),8835.6,"")</f>
        <v/>
      </c>
      <c r="BN16" s="14"/>
      <c r="BO16" s="14"/>
    </row>
    <row r="17" spans="1:67" ht="15" customHeight="1">
      <c r="A17" s="9" t="s">
        <v>195</v>
      </c>
      <c r="B17" s="10" t="str">
        <f>IF($J$6=TRUE(),279.1,"")</f>
        <v/>
      </c>
      <c r="C17" s="10" t="str">
        <f>IF($J$6=TRUE(),293.5,"")</f>
        <v/>
      </c>
      <c r="D17" s="10" t="str">
        <f>IF($J$6=TRUE(),311.7,"")</f>
        <v/>
      </c>
      <c r="E17" s="10" t="str">
        <f>IF($J$6=TRUE(),326.4,"")</f>
        <v/>
      </c>
      <c r="F17" s="10" t="str">
        <f>IF($J$6=TRUE(),356,"")</f>
        <v/>
      </c>
      <c r="G17" s="10" t="str">
        <f>IF($J$6=TRUE(),384.3,"")</f>
        <v/>
      </c>
      <c r="H17" s="10" t="str">
        <f>IF($J$6=TRUE(),428.8,"")</f>
        <v/>
      </c>
      <c r="I17" s="10" t="str">
        <f>IF($J$6=TRUE(),478,"")</f>
        <v/>
      </c>
      <c r="J17" s="10" t="str">
        <f>IF($J$6=TRUE(),502.7,"")</f>
        <v/>
      </c>
      <c r="K17" s="10" t="str">
        <f>IF($J$6=TRUE(),505.9,"")</f>
        <v/>
      </c>
      <c r="L17" s="10" t="str">
        <f>IF($J$6=TRUE(),515.6,"")</f>
        <v/>
      </c>
      <c r="M17" s="10" t="str">
        <f>IF($J$6=TRUE(),522.7,"")</f>
        <v/>
      </c>
      <c r="N17" s="10" t="str">
        <f>IF($J$6=TRUE(),578.3,"")</f>
        <v/>
      </c>
      <c r="O17" s="10" t="str">
        <f>IF($J$6=TRUE(),588.8,"")</f>
        <v/>
      </c>
      <c r="P17" s="10" t="str">
        <f>IF($J$6=TRUE(),590,"")</f>
        <v/>
      </c>
      <c r="Q17" s="10" t="str">
        <f>IF($J$6=TRUE(),593.9,"")</f>
        <v/>
      </c>
      <c r="R17" s="10" t="str">
        <f>IF($J$6=TRUE(),621,"")</f>
        <v/>
      </c>
      <c r="S17" s="10" t="str">
        <f>IF($J$6=TRUE(),621.5,"")</f>
        <v/>
      </c>
      <c r="T17" s="10" t="str">
        <f>IF($J$6=TRUE(),618.5,"")</f>
        <v/>
      </c>
      <c r="U17" s="10" t="str">
        <f>IF($J$6=TRUE(),618,"")</f>
        <v/>
      </c>
      <c r="V17" s="10" t="str">
        <f>IF($J$6=TRUE(),649.6,"")</f>
        <v/>
      </c>
      <c r="W17" s="10" t="str">
        <f>IF($J$6=TRUE(),655,"")</f>
        <v/>
      </c>
      <c r="X17" s="10" t="str">
        <f>IF($J$6=TRUE(),681.1,"")</f>
        <v/>
      </c>
      <c r="Y17" s="10" t="str">
        <f>IF($J$6=TRUE(),690.3,"")</f>
        <v/>
      </c>
      <c r="Z17" s="10" t="str">
        <f>IF($J$6=TRUE(),726.7,"")</f>
        <v/>
      </c>
      <c r="AA17" s="10" t="str">
        <f>IF($J$6=TRUE(),744.6,"")</f>
        <v/>
      </c>
      <c r="AB17" s="10" t="str">
        <f>IF($J$6=TRUE(),775,"")</f>
        <v/>
      </c>
      <c r="AC17" s="10" t="str">
        <f>IF($J$6=TRUE(),781,"")</f>
        <v/>
      </c>
      <c r="AD17" s="10" t="str">
        <f>IF($J$6=TRUE(),878.6,"")</f>
        <v/>
      </c>
      <c r="AE17" s="10" t="str">
        <f>IF($J$6=TRUE(),972.5,"")</f>
        <v/>
      </c>
      <c r="AF17" s="10" t="str">
        <f>IF($J$6=TRUE(),1048.2,"")</f>
        <v/>
      </c>
      <c r="AG17" s="10" t="str">
        <f>IF($J$6=TRUE(),1115.7,"")</f>
        <v/>
      </c>
      <c r="AH17" s="10" t="str">
        <f>IF($J$6=TRUE(),1172.6,"")</f>
        <v/>
      </c>
      <c r="AI17" s="10" t="str">
        <f>IF($J$6=TRUE(),1214.5,"")</f>
        <v/>
      </c>
      <c r="AJ17" s="10" t="str">
        <f>IF($J$6=TRUE(),1444.8,"")</f>
        <v/>
      </c>
      <c r="AK17" s="10" t="str">
        <f>IF($J$6=TRUE(),1461,"")</f>
        <v/>
      </c>
      <c r="AL17" s="10" t="str">
        <f>IF($J$6=TRUE(),1500.3,"")</f>
        <v/>
      </c>
      <c r="AM17" s="10" t="str">
        <f>IF($J$6=TRUE(),1639.5,"")</f>
        <v/>
      </c>
      <c r="AN17" s="10" t="str">
        <f>IF($J$6=TRUE(),1968.6,"")</f>
        <v/>
      </c>
      <c r="AO17" s="10" t="str">
        <f>IF($J$6=TRUE(),2389.6,"")</f>
        <v/>
      </c>
      <c r="AP17" s="10" t="str">
        <f>IF($J$6=TRUE(),2486.8,"")</f>
        <v/>
      </c>
      <c r="AQ17" s="10" t="str">
        <f>IF($J$6=TRUE(),2723.7,"")</f>
        <v/>
      </c>
      <c r="AR17" s="10" t="str">
        <f>IF($J$6=TRUE(),3010.2,"")</f>
        <v/>
      </c>
      <c r="AS17" s="10" t="str">
        <f>IF($J$6=TRUE(),3210.8,"")</f>
        <v/>
      </c>
      <c r="AT17" s="10" t="str">
        <f>IF($J$6=TRUE(),3979.1,"")</f>
        <v/>
      </c>
      <c r="AU17" s="10" t="str">
        <f>IF($J$6=TRUE(),4276,"")</f>
        <v/>
      </c>
      <c r="AV17" s="10" t="str">
        <f>IF($J$6=TRUE(),4308.5,"")</f>
        <v/>
      </c>
      <c r="AW17" s="10" t="str">
        <f>IF($J$6=TRUE(),4357.6,"")</f>
        <v/>
      </c>
      <c r="AX17" s="10" t="str">
        <f>IF($J$6=TRUE(),5208.2,"")</f>
        <v/>
      </c>
      <c r="AY17" s="10" t="str">
        <f>IF($J$6=TRUE(),5264.7,"")</f>
        <v/>
      </c>
      <c r="AZ17" s="10" t="str">
        <f>IF($J$6=TRUE(),5637.6,"")</f>
        <v/>
      </c>
      <c r="BA17" s="10" t="str">
        <f>IF($J$6=TRUE(),5938.5,"")</f>
        <v/>
      </c>
      <c r="BB17" s="10" t="str">
        <f>IF($J$6=TRUE(),6057.6,"")</f>
        <v/>
      </c>
      <c r="BC17" s="10" t="str">
        <f>IF($J$6=TRUE(),6210.7,"")</f>
        <v/>
      </c>
      <c r="BD17" s="10" t="str">
        <f>IF($J$6=TRUE(),7233.4,"")</f>
        <v/>
      </c>
      <c r="BE17" s="10" t="str">
        <f>IF($J$6=TRUE(),7452.1,"")</f>
        <v/>
      </c>
      <c r="BF17" s="10" t="str">
        <f>IF($J$6=TRUE(),7535.8,"")</f>
        <v/>
      </c>
      <c r="BG17" s="10" t="str">
        <f>IF($J$6=TRUE(),7855.4,"")</f>
        <v/>
      </c>
      <c r="BH17" s="10" t="str">
        <f>IF($J$6=TRUE(),9216,"")</f>
        <v/>
      </c>
      <c r="BI17" s="10" t="str">
        <f>IF($J$6=TRUE(),9552.4,"")</f>
        <v/>
      </c>
      <c r="BJ17" s="10" t="str">
        <f>IF($J$6=TRUE(),9586.8,"")</f>
        <v/>
      </c>
      <c r="BK17" s="10" t="str">
        <f>IF($J$6=TRUE(),10203,"")</f>
        <v/>
      </c>
      <c r="BL17" s="10" t="str">
        <f>IF($J$6=TRUE(),10400.1,"")</f>
        <v/>
      </c>
      <c r="BM17" s="10" t="str">
        <f>IF($J$6=TRUE(),10623.7,"")</f>
        <v/>
      </c>
      <c r="BN17" s="11"/>
      <c r="BO17" s="11"/>
    </row>
    <row r="18" spans="1:67" ht="15" customHeight="1">
      <c r="A18" s="12" t="s">
        <v>196</v>
      </c>
      <c r="B18" s="13" t="str">
        <f>IF($K$6=TRUE(),304.3,"")</f>
        <v/>
      </c>
      <c r="C18" s="13" t="str">
        <f>IF($K$6=TRUE(),313.2,"")</f>
        <v/>
      </c>
      <c r="D18" s="13" t="str">
        <f>IF($K$6=TRUE(),331.1,"")</f>
        <v/>
      </c>
      <c r="E18" s="13" t="str">
        <f>IF($K$6=TRUE(),352,"")</f>
        <v/>
      </c>
      <c r="F18" s="13" t="str">
        <f>IF($K$6=TRUE(),387.1,"")</f>
        <v/>
      </c>
      <c r="G18" s="13" t="str">
        <f>IF($K$6=TRUE(),404.8,"")</f>
        <v/>
      </c>
      <c r="H18" s="13" t="str">
        <f>IF($K$6=TRUE(),422.4,"")</f>
        <v/>
      </c>
      <c r="I18" s="13" t="str">
        <f>IF($K$6=TRUE(),439.9,"")</f>
        <v/>
      </c>
      <c r="J18" s="13" t="str">
        <f>IF($K$6=TRUE(),506.3,"")</f>
        <v/>
      </c>
      <c r="K18" s="13" t="str">
        <f>IF($K$6=TRUE(),533.1,"")</f>
        <v/>
      </c>
      <c r="L18" s="13" t="str">
        <f>IF($K$6=TRUE(),534.5,"")</f>
        <v/>
      </c>
      <c r="M18" s="13" t="str">
        <f>IF($K$6=TRUE(),534.5,"")</f>
        <v/>
      </c>
      <c r="N18" s="13" t="str">
        <f>IF($K$6=TRUE(),579.9,"")</f>
        <v/>
      </c>
      <c r="O18" s="13" t="str">
        <f>IF($K$6=TRUE(),593.2,"")</f>
        <v/>
      </c>
      <c r="P18" s="13" t="str">
        <f>IF($K$6=TRUE(),595,"")</f>
        <v/>
      </c>
      <c r="Q18" s="13" t="str">
        <f>IF($K$6=TRUE(),595.6,"")</f>
        <v/>
      </c>
      <c r="R18" s="13" t="str">
        <f>IF($K$6=TRUE(),613.4,"")</f>
        <v/>
      </c>
      <c r="S18" s="13" t="str">
        <f>IF($K$6=TRUE(),628.3,"")</f>
        <v/>
      </c>
      <c r="T18" s="13" t="str">
        <f>IF($K$6=TRUE(),640.9,"")</f>
        <v/>
      </c>
      <c r="U18" s="13" t="str">
        <f>IF($K$6=TRUE(),640.9,"")</f>
        <v/>
      </c>
      <c r="V18" s="13" t="str">
        <f>IF($K$6=TRUE(),640.9,"")</f>
        <v/>
      </c>
      <c r="W18" s="13" t="str">
        <f>IF($K$6=TRUE(),676.4,"")</f>
        <v/>
      </c>
      <c r="X18" s="13" t="str">
        <f>IF($K$6=TRUE(),699.8,"")</f>
        <v/>
      </c>
      <c r="Y18" s="13" t="str">
        <f>IF($K$6=TRUE(),706.3,"")</f>
        <v/>
      </c>
      <c r="Z18" s="13" t="str">
        <f>IF($K$6=TRUE(),741.5,"")</f>
        <v/>
      </c>
      <c r="AA18" s="13" t="str">
        <f>IF($K$6=TRUE(),762.7,"")</f>
        <v/>
      </c>
      <c r="AB18" s="13" t="str">
        <f>IF($K$6=TRUE(),769.8,"")</f>
        <v/>
      </c>
      <c r="AC18" s="13" t="str">
        <f>IF($K$6=TRUE(),776.9,"")</f>
        <v/>
      </c>
      <c r="AD18" s="13" t="str">
        <f>IF($K$6=TRUE(),862.3,"")</f>
        <v/>
      </c>
      <c r="AE18" s="13" t="str">
        <f>IF($K$6=TRUE(),947.8,"")</f>
        <v/>
      </c>
      <c r="AF18" s="13" t="str">
        <f>IF($K$6=TRUE(),1048.8,"")</f>
        <v/>
      </c>
      <c r="AG18" s="13" t="str">
        <f>IF($K$6=TRUE(),1076,"")</f>
        <v/>
      </c>
      <c r="AH18" s="13" t="str">
        <f>IF($K$6=TRUE(),1134.2,"")</f>
        <v/>
      </c>
      <c r="AI18" s="13" t="str">
        <f>IF($K$6=TRUE(),1254.6,"")</f>
        <v/>
      </c>
      <c r="AJ18" s="13" t="str">
        <f>IF($K$6=TRUE(),1436.5,"")</f>
        <v/>
      </c>
      <c r="AK18" s="13" t="str">
        <f>IF($K$6=TRUE(),1543.3,"")</f>
        <v/>
      </c>
      <c r="AL18" s="13" t="str">
        <f>IF($K$6=TRUE(),1812.3,"")</f>
        <v/>
      </c>
      <c r="AM18" s="13" t="str">
        <f>IF($K$6=TRUE(),1919.5,"")</f>
        <v/>
      </c>
      <c r="AN18" s="13" t="str">
        <f>IF($K$6=TRUE(),2424.4,"")</f>
        <v/>
      </c>
      <c r="AO18" s="13" t="str">
        <f>IF($K$6=TRUE(),2956.1,"")</f>
        <v/>
      </c>
      <c r="AP18" s="13" t="str">
        <f>IF($K$6=TRUE(),3032.9,"")</f>
        <v/>
      </c>
      <c r="AQ18" s="13" t="str">
        <f>IF($K$6=TRUE(),3263.3,"")</f>
        <v/>
      </c>
      <c r="AR18" s="13" t="str">
        <f>IF($K$6=TRUE(),3455.2,"")</f>
        <v/>
      </c>
      <c r="AS18" s="13" t="str">
        <f>IF($K$6=TRUE(),3618.3,"")</f>
        <v/>
      </c>
      <c r="AT18" s="13" t="str">
        <f>IF($K$6=TRUE(),4758,"")</f>
        <v/>
      </c>
      <c r="AU18" s="13" t="str">
        <f>IF($K$6=TRUE(),5011.3,"")</f>
        <v/>
      </c>
      <c r="AV18" s="13" t="str">
        <f>IF($K$6=TRUE(),5101.8,"")</f>
        <v/>
      </c>
      <c r="AW18" s="13" t="str">
        <f>IF($K$6=TRUE(),5210.3,"")</f>
        <v/>
      </c>
      <c r="AX18" s="13" t="str">
        <f>IF($K$6=TRUE(),6486.7,"")</f>
        <v/>
      </c>
      <c r="AY18" s="13" t="str">
        <f>IF($K$6=TRUE(),6710.9,"")</f>
        <v/>
      </c>
      <c r="AZ18" s="13" t="str">
        <f>IF($K$6=TRUE(),7190.1,"")</f>
        <v/>
      </c>
      <c r="BA18" s="13" t="str">
        <f>IF($K$6=TRUE(),7591.3,"")</f>
        <v/>
      </c>
      <c r="BB18" s="13" t="str">
        <f>IF($K$6=TRUE(),7716.4,"")</f>
        <v/>
      </c>
      <c r="BC18" s="13" t="str">
        <f>IF($K$6=TRUE(),7841.4,"")</f>
        <v/>
      </c>
      <c r="BD18" s="13" t="str">
        <f>IF($K$6=TRUE(),9307.7,"")</f>
        <v/>
      </c>
      <c r="BE18" s="13" t="str">
        <f>IF($K$6=TRUE(),9888.1,"")</f>
        <v/>
      </c>
      <c r="BF18" s="13" t="str">
        <f>IF($K$6=TRUE(),10444.8,"")</f>
        <v/>
      </c>
      <c r="BG18" s="13" t="str">
        <f>IF($K$6=TRUE(),10625.1,"")</f>
        <v/>
      </c>
      <c r="BH18" s="13" t="str">
        <f>IF($K$6=TRUE(),12388.9,"")</f>
        <v/>
      </c>
      <c r="BI18" s="13" t="str">
        <f>IF($K$6=TRUE(),12909.5,"")</f>
        <v/>
      </c>
      <c r="BJ18" s="13" t="str">
        <f>IF($K$6=TRUE(),13281.4,"")</f>
        <v/>
      </c>
      <c r="BK18" s="13" t="str">
        <f>IF($K$6=TRUE(),14397,"")</f>
        <v/>
      </c>
      <c r="BL18" s="13" t="str">
        <f>IF($K$6=TRUE(),14588.3,"")</f>
        <v/>
      </c>
      <c r="BM18" s="13" t="str">
        <f>IF($K$6=TRUE(),14843.3,"")</f>
        <v/>
      </c>
      <c r="BN18" s="14"/>
      <c r="BO18" s="14"/>
    </row>
    <row r="19" spans="1:67" ht="15" customHeight="1">
      <c r="A19" s="9" t="s">
        <v>197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0" t="str">
        <f>IF($L$6=TRUE(),7000,"")</f>
        <v/>
      </c>
      <c r="BH19" s="10" t="str">
        <f>IF($L$6=TRUE(),8659,"")</f>
        <v/>
      </c>
      <c r="BI19" s="10" t="str">
        <f>IF($L$6=TRUE(),8673,"")</f>
        <v/>
      </c>
      <c r="BJ19" s="10" t="str">
        <f>IF($L$6=TRUE(),8820.2,"")</f>
        <v/>
      </c>
      <c r="BK19" s="10" t="str">
        <f>IF($L$6=TRUE(),9590.3,"")</f>
        <v/>
      </c>
      <c r="BL19" s="10" t="str">
        <f>IF($L$6=TRUE(),9730.5,"")</f>
        <v/>
      </c>
      <c r="BM19" s="10" t="str">
        <f>IF($L$6=TRUE(),9940.1,"")</f>
        <v/>
      </c>
      <c r="BN19" s="11"/>
      <c r="BO19" s="11"/>
    </row>
    <row r="20" spans="1:67" ht="15" customHeight="1">
      <c r="A20" s="12" t="s">
        <v>198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3" t="str">
        <f>IF($M$6=TRUE(),7000,"")</f>
        <v/>
      </c>
      <c r="BH20" s="13" t="str">
        <f>IF($M$6=TRUE(),8680,"")</f>
        <v/>
      </c>
      <c r="BI20" s="13" t="str">
        <f>IF($M$6=TRUE(),8988,"")</f>
        <v/>
      </c>
      <c r="BJ20" s="13" t="str">
        <f>IF($M$6=TRUE(),9650.2,"")</f>
        <v/>
      </c>
      <c r="BK20" s="13" t="str">
        <f>IF($M$6=TRUE(),9740.9,"")</f>
        <v/>
      </c>
      <c r="BL20" s="13" t="str">
        <f>IF($M$6=TRUE(),9870,"")</f>
        <v/>
      </c>
      <c r="BM20" s="13" t="str">
        <f>IF($M$6=TRUE(),10330.6,"")</f>
        <v/>
      </c>
      <c r="BN20" s="14"/>
      <c r="BO20" s="14"/>
    </row>
    <row r="21" spans="1:67" ht="15" customHeight="1">
      <c r="A21" s="9" t="s">
        <v>199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0" t="str">
        <f>IF($N$6=TRUE(),7000,"")</f>
        <v/>
      </c>
      <c r="BH21" s="10" t="str">
        <f>IF($N$6=TRUE(),7707,"")</f>
        <v/>
      </c>
      <c r="BI21" s="10" t="str">
        <f>IF($N$6=TRUE(),7504,"")</f>
        <v/>
      </c>
      <c r="BJ21" s="10" t="str">
        <f>IF($N$6=TRUE(),8477.1,"")</f>
        <v/>
      </c>
      <c r="BK21" s="10" t="str">
        <f>IF($N$6=TRUE(),9940.5,"")</f>
        <v/>
      </c>
      <c r="BL21" s="10" t="str">
        <f>IF($N$6=TRUE(),10500,"")</f>
        <v/>
      </c>
      <c r="BM21" s="10" t="str">
        <f>IF($N$6=TRUE(),10920.2,"")</f>
        <v/>
      </c>
      <c r="BN21" s="11"/>
      <c r="BO21" s="11"/>
    </row>
    <row r="22" spans="1:67" ht="15" customHeight="1">
      <c r="A22" s="12" t="s">
        <v>200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3" t="str">
        <f>IF($O$6=TRUE(),7000,"")</f>
        <v/>
      </c>
      <c r="BH22" s="13" t="str">
        <f>IF($O$6=TRUE(),8365,"")</f>
        <v/>
      </c>
      <c r="BI22" s="13" t="str">
        <f>IF($O$6=TRUE(),8680,"")</f>
        <v/>
      </c>
      <c r="BJ22" s="13" t="str">
        <f>IF($O$6=TRUE(),9870.1,"")</f>
        <v/>
      </c>
      <c r="BK22" s="13" t="str">
        <f>IF($O$6=TRUE(),9940.3,"")</f>
        <v/>
      </c>
      <c r="BL22" s="13" t="str">
        <f>IF($O$6=TRUE(),10360.7,"")</f>
        <v/>
      </c>
      <c r="BM22" s="13" t="str">
        <f>IF($O$6=TRUE(),10640.8,"")</f>
        <v/>
      </c>
      <c r="BN22" s="14"/>
      <c r="BO22" s="14"/>
    </row>
    <row r="23" spans="1:67" ht="15" customHeight="1">
      <c r="A23" s="9" t="s">
        <v>201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0" t="str">
        <f>IF($P$6=TRUE(),7000,"")</f>
        <v/>
      </c>
      <c r="BH23" s="10" t="str">
        <f>IF($P$6=TRUE(),7892,"")</f>
        <v/>
      </c>
      <c r="BI23" s="10" t="str">
        <f>IF($P$6=TRUE(),9114,"")</f>
        <v/>
      </c>
      <c r="BJ23" s="10" t="str">
        <f>IF($P$6=TRUE(),9128.1,"")</f>
        <v/>
      </c>
      <c r="BK23" s="10" t="str">
        <f>IF($P$6=TRUE(),9464.2,"")</f>
        <v/>
      </c>
      <c r="BL23" s="10" t="str">
        <f>IF($P$6=TRUE(),9534.2,"")</f>
        <v/>
      </c>
      <c r="BM23" s="10" t="str">
        <f>IF($P$6=TRUE(),9618.5,"")</f>
        <v/>
      </c>
      <c r="BN23" s="11"/>
      <c r="BO23" s="11"/>
    </row>
  </sheetData>
  <mergeCells count="1">
    <mergeCell ref="A1:BO1"/>
  </mergeCells>
  <dataValidations count="1">
    <dataValidation type="list" sqref="B6:P6" xr:uid="{00000000-0002-0000-07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26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6" sqref="B6"/>
    </sheetView>
  </sheetViews>
  <sheetFormatPr defaultColWidth="8.6640625" defaultRowHeight="14.25"/>
  <cols>
    <col min="1" max="1" width="25" customWidth="1"/>
    <col min="2" max="19" width="8" customWidth="1"/>
  </cols>
  <sheetData>
    <row r="1" spans="1:67" ht="30" customHeight="1">
      <c r="A1" s="85" t="s">
        <v>358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203</v>
      </c>
      <c r="C5" s="4" t="s">
        <v>204</v>
      </c>
      <c r="D5" s="4" t="s">
        <v>205</v>
      </c>
      <c r="E5" s="4" t="s">
        <v>206</v>
      </c>
      <c r="F5" s="4" t="s">
        <v>207</v>
      </c>
      <c r="G5" s="4" t="s">
        <v>172</v>
      </c>
      <c r="H5" s="4" t="s">
        <v>208</v>
      </c>
      <c r="I5" s="4" t="s">
        <v>176</v>
      </c>
      <c r="J5" s="4" t="s">
        <v>177</v>
      </c>
      <c r="K5" s="4" t="s">
        <v>209</v>
      </c>
      <c r="L5" s="4" t="s">
        <v>178</v>
      </c>
      <c r="M5" s="4" t="s">
        <v>210</v>
      </c>
      <c r="N5" s="4" t="s">
        <v>211</v>
      </c>
      <c r="O5" s="4" t="s">
        <v>212</v>
      </c>
      <c r="P5" s="4" t="s">
        <v>213</v>
      </c>
      <c r="Q5" s="4" t="s">
        <v>214</v>
      </c>
      <c r="R5" s="4" t="s">
        <v>215</v>
      </c>
      <c r="S5" s="4" t="s">
        <v>216</v>
      </c>
    </row>
    <row r="6" spans="1:67" ht="19.5" customHeight="1">
      <c r="A6" s="5" t="s">
        <v>344</v>
      </c>
      <c r="B6" s="6" t="b">
        <v>0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203</v>
      </c>
      <c r="B9" s="10" t="str">
        <f>IF($B$6=TRUE(),332.4,"")</f>
        <v/>
      </c>
      <c r="C9" s="10" t="str">
        <f>IF($B$6=TRUE(),344.7,"")</f>
        <v/>
      </c>
      <c r="D9" s="10" t="str">
        <f>IF($B$6=TRUE(),359.7,"")</f>
        <v/>
      </c>
      <c r="E9" s="10" t="str">
        <f>IF($B$6=TRUE(),374,"")</f>
        <v/>
      </c>
      <c r="F9" s="10" t="str">
        <f>IF($B$6=TRUE(),409.5,"")</f>
        <v/>
      </c>
      <c r="G9" s="10" t="str">
        <f>IF($B$6=TRUE(),432.3,"")</f>
        <v/>
      </c>
      <c r="H9" s="10" t="str">
        <f>IF($B$6=TRUE(),473,"")</f>
        <v/>
      </c>
      <c r="I9" s="10" t="str">
        <f>IF($B$6=TRUE(),492.1,"")</f>
        <v/>
      </c>
      <c r="J9" s="10" t="str">
        <f>IF($B$6=TRUE(),542.5,"")</f>
        <v/>
      </c>
      <c r="K9" s="10" t="str">
        <f>IF($B$6=TRUE(),555.6,"")</f>
        <v/>
      </c>
      <c r="L9" s="10" t="str">
        <f>IF($B$6=TRUE(),566.7,"")</f>
        <v/>
      </c>
      <c r="M9" s="10" t="str">
        <f>IF($B$6=TRUE(),578,"")</f>
        <v/>
      </c>
      <c r="N9" s="10" t="str">
        <f>IF($B$6=TRUE(),651.6,"")</f>
        <v/>
      </c>
      <c r="O9" s="10" t="str">
        <f>IF($B$6=TRUE(),664.4,"")</f>
        <v/>
      </c>
      <c r="P9" s="10" t="str">
        <f>IF($B$6=TRUE(),671.9,"")</f>
        <v/>
      </c>
      <c r="Q9" s="10" t="str">
        <f>IF($B$6=TRUE(),679.2,"")</f>
        <v/>
      </c>
      <c r="R9" s="10" t="str">
        <f>IF($B$6=TRUE(),680,"")</f>
        <v/>
      </c>
      <c r="S9" s="10" t="str">
        <f>IF($B$6=TRUE(),681,"")</f>
        <v/>
      </c>
      <c r="T9" s="10" t="str">
        <f>IF($B$6=TRUE(),682,"")</f>
        <v/>
      </c>
      <c r="U9" s="10" t="str">
        <f>IF($B$6=TRUE(),683,"")</f>
        <v/>
      </c>
      <c r="V9" s="10" t="str">
        <f>IF($B$6=TRUE(),684,"")</f>
        <v/>
      </c>
      <c r="W9" s="10" t="str">
        <f>IF($B$6=TRUE(),685,"")</f>
        <v/>
      </c>
      <c r="X9" s="10" t="str">
        <f>IF($B$6=TRUE(),686,"")</f>
        <v/>
      </c>
      <c r="Y9" s="10" t="str">
        <f>IF($B$6=TRUE(),687,"")</f>
        <v/>
      </c>
      <c r="Z9" s="10" t="str">
        <f>IF($B$6=TRUE(),688,"")</f>
        <v/>
      </c>
      <c r="AA9" s="10" t="str">
        <f>IF($B$6=TRUE(),689,"")</f>
        <v/>
      </c>
      <c r="AB9" s="10" t="str">
        <f>IF($B$6=TRUE(),690,"")</f>
        <v/>
      </c>
      <c r="AC9" s="10" t="str">
        <f>IF($B$6=TRUE(),691,"")</f>
        <v/>
      </c>
      <c r="AD9" s="10" t="str">
        <f>IF($B$6=TRUE(),692,"")</f>
        <v/>
      </c>
      <c r="AE9" s="10" t="str">
        <f>IF($B$6=TRUE(),693,"")</f>
        <v/>
      </c>
      <c r="AF9" s="10" t="str">
        <f>IF($B$6=TRUE(),694,"")</f>
        <v/>
      </c>
      <c r="AG9" s="10" t="str">
        <f>IF($B$6=TRUE(),695,"")</f>
        <v/>
      </c>
      <c r="AH9" s="10" t="str">
        <f>IF($B$6=TRUE(),695,"")</f>
        <v/>
      </c>
      <c r="AI9" s="10" t="str">
        <f>IF($B$6=TRUE(),696,"")</f>
        <v/>
      </c>
      <c r="AJ9" s="10" t="str">
        <f>IF($B$6=TRUE(),697,"")</f>
        <v/>
      </c>
      <c r="AK9" s="10" t="str">
        <f>IF($B$6=TRUE(),698,"")</f>
        <v/>
      </c>
      <c r="AL9" s="10" t="str">
        <f>IF($B$6=TRUE(),699,"")</f>
        <v/>
      </c>
      <c r="AM9" s="10" t="str">
        <f>IF($B$6=TRUE(),700,"")</f>
        <v/>
      </c>
      <c r="AN9" s="10" t="str">
        <f>IF($B$6=TRUE(),701,"")</f>
        <v/>
      </c>
      <c r="AO9" s="10" t="str">
        <f>IF($B$6=TRUE(),702,"")</f>
        <v/>
      </c>
      <c r="AP9" s="10" t="str">
        <f>IF($B$6=TRUE(),703,"")</f>
        <v/>
      </c>
      <c r="AQ9" s="10" t="str">
        <f>IF($B$6=TRUE(),704,"")</f>
        <v/>
      </c>
      <c r="AR9" s="10" t="str">
        <f>IF($B$6=TRUE(),705,"")</f>
        <v/>
      </c>
      <c r="AS9" s="10" t="str">
        <f>IF($B$6=TRUE(),706,"")</f>
        <v/>
      </c>
      <c r="AT9" s="10" t="str">
        <f>IF($B$6=TRUE(),707,"")</f>
        <v/>
      </c>
      <c r="AU9" s="10" t="str">
        <f>IF($B$6=TRUE(),708,"")</f>
        <v/>
      </c>
      <c r="AV9" s="10" t="str">
        <f>IF($B$6=TRUE(),709,"")</f>
        <v/>
      </c>
      <c r="AW9" s="10" t="str">
        <f>IF($B$6=TRUE(),710,"")</f>
        <v/>
      </c>
      <c r="AX9" s="10" t="str">
        <f>IF($B$6=TRUE(),711,"")</f>
        <v/>
      </c>
      <c r="AY9" s="10" t="str">
        <f>IF($B$6=TRUE(),712,"")</f>
        <v/>
      </c>
      <c r="AZ9" s="10" t="str">
        <f>IF($B$6=TRUE(),713,"")</f>
        <v/>
      </c>
      <c r="BA9" s="10" t="str">
        <f>IF($B$6=TRUE(),714,"")</f>
        <v/>
      </c>
      <c r="BB9" s="10" t="str">
        <f>IF($B$6=TRUE(),714,"")</f>
        <v/>
      </c>
      <c r="BC9" s="10" t="str">
        <f>IF($B$6=TRUE(),714,"")</f>
        <v/>
      </c>
      <c r="BD9" s="10" t="str">
        <f>IF($B$6=TRUE(),715,"")</f>
        <v/>
      </c>
      <c r="BE9" s="10" t="str">
        <f>IF($B$6=TRUE(),716,"")</f>
        <v/>
      </c>
      <c r="BF9" s="10" t="str">
        <f>IF($B$6=TRUE(),717,"")</f>
        <v/>
      </c>
      <c r="BG9" s="10" t="str">
        <f>IF($B$6=TRUE(),718,"")</f>
        <v/>
      </c>
      <c r="BH9" s="10" t="str">
        <f>IF($B$6=TRUE(),719,"")</f>
        <v/>
      </c>
      <c r="BI9" s="10" t="str">
        <f>IF($B$6=TRUE(),720,"")</f>
        <v/>
      </c>
      <c r="BJ9" s="10" t="str">
        <f>IF($B$6=TRUE(),721,"")</f>
        <v/>
      </c>
      <c r="BK9" s="10" t="str">
        <f>IF($B$6=TRUE(),722,"")</f>
        <v/>
      </c>
      <c r="BL9" s="10" t="str">
        <f>IF($B$6=TRUE(),722,"")</f>
        <v/>
      </c>
      <c r="BM9" s="10" t="str">
        <f>IF($B$6=TRUE(),722,"")</f>
        <v/>
      </c>
      <c r="BN9" s="11"/>
      <c r="BO9" s="11"/>
    </row>
    <row r="10" spans="1:67" ht="15" customHeight="1">
      <c r="A10" s="12" t="s">
        <v>204</v>
      </c>
      <c r="B10" s="13">
        <f>IF($C$6=TRUE(),328.3,"")</f>
        <v>328.3</v>
      </c>
      <c r="C10" s="13">
        <f>IF($C$6=TRUE(),340.8,"")</f>
        <v>340.8</v>
      </c>
      <c r="D10" s="13">
        <f>IF($C$6=TRUE(),355.3,"")</f>
        <v>355.3</v>
      </c>
      <c r="E10" s="13">
        <f>IF($C$6=TRUE(),370.5,"")</f>
        <v>370.5</v>
      </c>
      <c r="F10" s="13">
        <f>IF($C$6=TRUE(),406,"")</f>
        <v>406</v>
      </c>
      <c r="G10" s="13">
        <f>IF($C$6=TRUE(),428,"")</f>
        <v>428</v>
      </c>
      <c r="H10" s="13">
        <f>IF($C$6=TRUE(),467.8,"")</f>
        <v>467.8</v>
      </c>
      <c r="I10" s="13">
        <f>IF($C$6=TRUE(),487.3,"")</f>
        <v>487.3</v>
      </c>
      <c r="J10" s="13">
        <f>IF($C$6=TRUE(),536.9,"")</f>
        <v>536.9</v>
      </c>
      <c r="K10" s="13">
        <f>IF($C$6=TRUE(),550.1,"")</f>
        <v>550.1</v>
      </c>
      <c r="L10" s="13">
        <f>IF($C$6=TRUE(),561.3,"")</f>
        <v>561.29999999999995</v>
      </c>
      <c r="M10" s="13">
        <f>IF($C$6=TRUE(),572.3,"")</f>
        <v>572.29999999999995</v>
      </c>
      <c r="N10" s="13">
        <f>IF($C$6=TRUE(),643.4,"")</f>
        <v>643.4</v>
      </c>
      <c r="O10" s="13">
        <f>IF($C$6=TRUE(),656.5,"")</f>
        <v>656.5</v>
      </c>
      <c r="P10" s="13">
        <f>IF($C$6=TRUE(),664.8,"")</f>
        <v>664.8</v>
      </c>
      <c r="Q10" s="13">
        <f>IF($C$6=TRUE(),670.9,"")</f>
        <v>670.9</v>
      </c>
      <c r="R10" s="13">
        <f>IF($C$6=TRUE(),720,"")</f>
        <v>720</v>
      </c>
      <c r="S10" s="13">
        <f>IF($C$6=TRUE(),725.8,"")</f>
        <v>725.8</v>
      </c>
      <c r="T10" s="13">
        <f>IF($C$6=TRUE(),730.8,"")</f>
        <v>730.8</v>
      </c>
      <c r="U10" s="13">
        <f>IF($C$6=TRUE(),732.9,"")</f>
        <v>732.9</v>
      </c>
      <c r="V10" s="13">
        <f>IF($C$6=TRUE(),776,"")</f>
        <v>776</v>
      </c>
      <c r="W10" s="13">
        <f>IF($C$6=TRUE(),784.1,"")</f>
        <v>784.1</v>
      </c>
      <c r="X10" s="13">
        <f>IF($C$6=TRUE(),790.6,"")</f>
        <v>790.6</v>
      </c>
      <c r="Y10" s="13">
        <f>IF($C$6=TRUE(),797.1,"")</f>
        <v>797.1</v>
      </c>
      <c r="Z10" s="13">
        <f>IF($C$6=TRUE(),852.4,"")</f>
        <v>852.4</v>
      </c>
      <c r="AA10" s="13">
        <f>IF($C$6=TRUE(),857,"")</f>
        <v>857</v>
      </c>
      <c r="AB10" s="13">
        <f>IF($C$6=TRUE(),875.3,"")</f>
        <v>875.3</v>
      </c>
      <c r="AC10" s="13">
        <f>IF($C$6=TRUE(),883.3,"")</f>
        <v>883.3</v>
      </c>
      <c r="AD10" s="13">
        <f>IF($C$6=TRUE(),995.4,"")</f>
        <v>995.4</v>
      </c>
      <c r="AE10" s="13">
        <f>IF($C$6=TRUE(),1089.3,"")</f>
        <v>1089.3</v>
      </c>
      <c r="AF10" s="13">
        <f>IF($C$6=TRUE(),1136,"")</f>
        <v>1136</v>
      </c>
      <c r="AG10" s="13">
        <f>IF($C$6=TRUE(),1171.6,"")</f>
        <v>1171.5999999999999</v>
      </c>
      <c r="AH10" s="13">
        <f>IF($C$6=TRUE(),1193.3,"")</f>
        <v>1193.3</v>
      </c>
      <c r="AI10" s="13">
        <f>IF($C$6=TRUE(),1254.1,"")</f>
        <v>1254.0999999999999</v>
      </c>
      <c r="AJ10" s="13">
        <f>IF($C$6=TRUE(),1474,"")</f>
        <v>1474</v>
      </c>
      <c r="AK10" s="13">
        <f>IF($C$6=TRUE(),1558.1,"")</f>
        <v>1558.1</v>
      </c>
      <c r="AL10" s="13">
        <f>IF($C$6=TRUE(),1641.3,"")</f>
        <v>1641.3</v>
      </c>
      <c r="AM10" s="13">
        <f>IF($C$6=TRUE(),1715.7,"")</f>
        <v>1715.7</v>
      </c>
      <c r="AN10" s="13">
        <f>IF($C$6=TRUE(),2068.4,"")</f>
        <v>2068.4</v>
      </c>
      <c r="AO10" s="13">
        <f>IF($C$6=TRUE(),2376.5,"")</f>
        <v>2376.5</v>
      </c>
      <c r="AP10" s="13">
        <f>IF($C$6=TRUE(),2449.1,"")</f>
        <v>2449.1</v>
      </c>
      <c r="AQ10" s="13">
        <f>IF($C$6=TRUE(),2608.3,"")</f>
        <v>2608.3000000000002</v>
      </c>
      <c r="AR10" s="13">
        <f>IF($C$6=TRUE(),2860.3,"")</f>
        <v>2860.3</v>
      </c>
      <c r="AS10" s="13">
        <f>IF($C$6=TRUE(),3010.6,"")</f>
        <v>3010.6</v>
      </c>
      <c r="AT10" s="13">
        <f>IF($C$6=TRUE(),3882.2,"")</f>
        <v>3882.2</v>
      </c>
      <c r="AU10" s="13">
        <f>IF($C$6=TRUE(),4190.3,"")</f>
        <v>4190.3</v>
      </c>
      <c r="AV10" s="13">
        <f>IF($C$6=TRUE(),4238,"")</f>
        <v>4238</v>
      </c>
      <c r="AW10" s="13">
        <f>IF($C$6=TRUE(),4365.3,"")</f>
        <v>4365.3</v>
      </c>
      <c r="AX10" s="13">
        <f>IF($C$6=TRUE(),5465.6,"")</f>
        <v>5465.6</v>
      </c>
      <c r="AY10" s="13">
        <f>IF($C$6=TRUE(),5630.3,"")</f>
        <v>5630.3</v>
      </c>
      <c r="AZ10" s="13">
        <f>IF($C$6=TRUE(),6033.9,"")</f>
        <v>6033.9</v>
      </c>
      <c r="BA10" s="13">
        <f>IF($C$6=TRUE(),6367.9,"")</f>
        <v>6367.9</v>
      </c>
      <c r="BB10" s="13">
        <f>IF($C$6=TRUE(),6371.8,"")</f>
        <v>6371.8</v>
      </c>
      <c r="BC10" s="13">
        <f>IF($C$6=TRUE(),6375.1,"")</f>
        <v>6375.1</v>
      </c>
      <c r="BD10" s="13">
        <f>IF($C$6=TRUE(),7704.4,"")</f>
        <v>7704.4</v>
      </c>
      <c r="BE10" s="13">
        <f>IF($C$6=TRUE(),8075.9,"")</f>
        <v>8075.9</v>
      </c>
      <c r="BF10" s="13">
        <f>IF($C$6=TRUE(),8251.3,"")</f>
        <v>8251.2999999999993</v>
      </c>
      <c r="BG10" s="13">
        <f>IF($C$6=TRUE(),8483.8,"")</f>
        <v>8483.7999999999993</v>
      </c>
      <c r="BH10" s="13">
        <f>IF($C$6=TRUE(),10310.7,"")</f>
        <v>10310.700000000001</v>
      </c>
      <c r="BI10" s="13">
        <f>IF($C$6=TRUE(),10810.7,"")</f>
        <v>10810.7</v>
      </c>
      <c r="BJ10" s="13">
        <f>IF($C$6=TRUE(),10854.5,"")</f>
        <v>10854.5</v>
      </c>
      <c r="BK10" s="13">
        <f>IF($C$6=TRUE(),11469.3,"")</f>
        <v>11469.3</v>
      </c>
      <c r="BL10" s="13">
        <f>IF($C$6=TRUE(),11642.5,"")</f>
        <v>11642.5</v>
      </c>
      <c r="BM10" s="13">
        <f>IF($C$6=TRUE(),11810.8,"")</f>
        <v>11810.8</v>
      </c>
      <c r="BN10" s="14"/>
      <c r="BO10" s="14"/>
    </row>
    <row r="11" spans="1:67" ht="15" customHeight="1">
      <c r="A11" s="9" t="s">
        <v>205</v>
      </c>
      <c r="B11" s="10">
        <f>IF($D$6=TRUE(),329.6,"")</f>
        <v>329.6</v>
      </c>
      <c r="C11" s="10">
        <f>IF($D$6=TRUE(),341.9,"")</f>
        <v>341.9</v>
      </c>
      <c r="D11" s="10">
        <f>IF($D$6=TRUE(),357.6,"")</f>
        <v>357.6</v>
      </c>
      <c r="E11" s="10">
        <f>IF($D$6=TRUE(),372.2,"")</f>
        <v>372.2</v>
      </c>
      <c r="F11" s="10">
        <f>IF($D$6=TRUE(),404.8,"")</f>
        <v>404.8</v>
      </c>
      <c r="G11" s="10">
        <f>IF($D$6=TRUE(),429.1,"")</f>
        <v>429.1</v>
      </c>
      <c r="H11" s="10">
        <f>IF($D$6=TRUE(),470.5,"")</f>
        <v>470.5</v>
      </c>
      <c r="I11" s="10">
        <f>IF($D$6=TRUE(),490,"")</f>
        <v>490</v>
      </c>
      <c r="J11" s="10">
        <f>IF($D$6=TRUE(),536.1,"")</f>
        <v>536.1</v>
      </c>
      <c r="K11" s="10">
        <f>IF($D$6=TRUE(),548.9,"")</f>
        <v>548.9</v>
      </c>
      <c r="L11" s="10">
        <f>IF($D$6=TRUE(),559.1,"")</f>
        <v>559.1</v>
      </c>
      <c r="M11" s="10">
        <f>IF($D$6=TRUE(),569.5,"")</f>
        <v>569.5</v>
      </c>
      <c r="N11" s="10">
        <f>IF($D$6=TRUE(),636.4,"")</f>
        <v>636.4</v>
      </c>
      <c r="O11" s="10">
        <f>IF($D$6=TRUE(),648.7,"")</f>
        <v>648.70000000000005</v>
      </c>
      <c r="P11" s="10">
        <f>IF($D$6=TRUE(),655,"")</f>
        <v>655</v>
      </c>
      <c r="Q11" s="10">
        <f>IF($D$6=TRUE(),661.8,"")</f>
        <v>661.8</v>
      </c>
      <c r="R11" s="10">
        <f>IF($D$6=TRUE(),711.3,"")</f>
        <v>711.3</v>
      </c>
      <c r="S11" s="10">
        <f>IF($D$6=TRUE(),715.8,"")</f>
        <v>715.8</v>
      </c>
      <c r="T11" s="10">
        <f>IF($D$6=TRUE(),718.2,"")</f>
        <v>718.2</v>
      </c>
      <c r="U11" s="10">
        <f>IF($D$6=TRUE(),720.1,"")</f>
        <v>720.1</v>
      </c>
      <c r="V11" s="10">
        <f>IF($D$6=TRUE(),762,"")</f>
        <v>762</v>
      </c>
      <c r="W11" s="10">
        <f>IF($D$6=TRUE(),769.2,"")</f>
        <v>769.2</v>
      </c>
      <c r="X11" s="10">
        <f>IF($D$6=TRUE(),776,"")</f>
        <v>776</v>
      </c>
      <c r="Y11" s="10">
        <f>IF($D$6=TRUE(),782.8,"")</f>
        <v>782.8</v>
      </c>
      <c r="Z11" s="10">
        <f>IF($D$6=TRUE(),838.5,"")</f>
        <v>838.5</v>
      </c>
      <c r="AA11" s="10">
        <f>IF($D$6=TRUE(),840.3,"")</f>
        <v>840.3</v>
      </c>
      <c r="AB11" s="10">
        <f>IF($D$6=TRUE(),859.3,"")</f>
        <v>859.3</v>
      </c>
      <c r="AC11" s="10">
        <f>IF($D$6=TRUE(),866.9,"")</f>
        <v>866.9</v>
      </c>
      <c r="AD11" s="10">
        <f>IF($D$6=TRUE(),973,"")</f>
        <v>973</v>
      </c>
      <c r="AE11" s="10">
        <f>IF($D$6=TRUE(),1067.9,"")</f>
        <v>1067.9000000000001</v>
      </c>
      <c r="AF11" s="10">
        <f>IF($D$6=TRUE(),1110.4,"")</f>
        <v>1110.4000000000001</v>
      </c>
      <c r="AG11" s="10">
        <f>IF($D$6=TRUE(),1149.5,"")</f>
        <v>1149.5</v>
      </c>
      <c r="AH11" s="10">
        <f>IF($D$6=TRUE(),1175.3,"")</f>
        <v>1175.3</v>
      </c>
      <c r="AI11" s="10">
        <f>IF($D$6=TRUE(),1234.2,"")</f>
        <v>1234.2</v>
      </c>
      <c r="AJ11" s="10">
        <f>IF($D$6=TRUE(),1448.1,"")</f>
        <v>1448.1</v>
      </c>
      <c r="AK11" s="10">
        <f>IF($D$6=TRUE(),1533.2,"")</f>
        <v>1533.2</v>
      </c>
      <c r="AL11" s="10">
        <f>IF($D$6=TRUE(),1601.9,"")</f>
        <v>1601.9</v>
      </c>
      <c r="AM11" s="10">
        <f>IF($D$6=TRUE(),1678.5,"")</f>
        <v>1678.5</v>
      </c>
      <c r="AN11" s="10">
        <f>IF($D$6=TRUE(),2006.7,"")</f>
        <v>2006.7</v>
      </c>
      <c r="AO11" s="10">
        <f>IF($D$6=TRUE(),2296.1,"")</f>
        <v>2296.1</v>
      </c>
      <c r="AP11" s="10">
        <f>IF($D$6=TRUE(),2370.6,"")</f>
        <v>2370.6</v>
      </c>
      <c r="AQ11" s="10">
        <f>IF($D$6=TRUE(),2535,"")</f>
        <v>2535</v>
      </c>
      <c r="AR11" s="10">
        <f>IF($D$6=TRUE(),2801.1,"")</f>
        <v>2801.1</v>
      </c>
      <c r="AS11" s="10">
        <f>IF($D$6=TRUE(),2953.3,"")</f>
        <v>2953.3</v>
      </c>
      <c r="AT11" s="10">
        <f>IF($D$6=TRUE(),3816.6,"")</f>
        <v>3816.6</v>
      </c>
      <c r="AU11" s="10">
        <f>IF($D$6=TRUE(),4107.1,"")</f>
        <v>4107.1000000000004</v>
      </c>
      <c r="AV11" s="10">
        <f>IF($D$6=TRUE(),4143.4,"")</f>
        <v>4143.3999999999996</v>
      </c>
      <c r="AW11" s="10">
        <f>IF($D$6=TRUE(),4256.6,"")</f>
        <v>4256.6000000000004</v>
      </c>
      <c r="AX11" s="10">
        <f>IF($D$6=TRUE(),5317.5,"")</f>
        <v>5317.5</v>
      </c>
      <c r="AY11" s="10">
        <f>IF($D$6=TRUE(),5469.5,"")</f>
        <v>5469.5</v>
      </c>
      <c r="AZ11" s="10">
        <f>IF($D$6=TRUE(),5847.9,"")</f>
        <v>5847.9</v>
      </c>
      <c r="BA11" s="10">
        <f>IF($D$6=TRUE(),6181.7,"")</f>
        <v>6181.7</v>
      </c>
      <c r="BB11" s="10">
        <f>IF($D$6=TRUE(),6182.6,"")</f>
        <v>6182.6</v>
      </c>
      <c r="BC11" s="10">
        <f>IF($D$6=TRUE(),6183.3,"")</f>
        <v>6183.3</v>
      </c>
      <c r="BD11" s="10">
        <f>IF($D$6=TRUE(),7467.4,"")</f>
        <v>7467.4</v>
      </c>
      <c r="BE11" s="10">
        <f>IF($D$6=TRUE(),7807,"")</f>
        <v>7807</v>
      </c>
      <c r="BF11" s="10">
        <f>IF($D$6=TRUE(),7952.1,"")</f>
        <v>7952.1</v>
      </c>
      <c r="BG11" s="10">
        <f>IF($D$6=TRUE(),8197.3,"")</f>
        <v>8197.2999999999993</v>
      </c>
      <c r="BH11" s="10">
        <f>IF($D$6=TRUE(),9943.2,"")</f>
        <v>9943.2000000000007</v>
      </c>
      <c r="BI11" s="10">
        <f>IF($D$6=TRUE(),10424.7,"")</f>
        <v>10424.700000000001</v>
      </c>
      <c r="BJ11" s="10">
        <f>IF($D$6=TRUE(),10440.7,"")</f>
        <v>10440.700000000001</v>
      </c>
      <c r="BK11" s="10">
        <f>IF($D$6=TRUE(),11095.6,"")</f>
        <v>11095.6</v>
      </c>
      <c r="BL11" s="10">
        <f>IF($D$6=TRUE(),11236.6,"")</f>
        <v>11236.6</v>
      </c>
      <c r="BM11" s="10">
        <f>IF($D$6=TRUE(),11403,"")</f>
        <v>11403</v>
      </c>
      <c r="BN11" s="11"/>
      <c r="BO11" s="11"/>
    </row>
    <row r="12" spans="1:67" ht="15" customHeight="1">
      <c r="A12" s="12" t="s">
        <v>206</v>
      </c>
      <c r="B12" s="13">
        <f>IF($E$6=TRUE(),336.5,"")</f>
        <v>336.5</v>
      </c>
      <c r="C12" s="13">
        <f>IF($E$6=TRUE(),349.5,"")</f>
        <v>349.5</v>
      </c>
      <c r="D12" s="13">
        <f>IF($E$6=TRUE(),365.9,"")</f>
        <v>365.9</v>
      </c>
      <c r="E12" s="13">
        <f>IF($E$6=TRUE(),381.2,"")</f>
        <v>381.2</v>
      </c>
      <c r="F12" s="13">
        <f>IF($E$6=TRUE(),416.4,"")</f>
        <v>416.4</v>
      </c>
      <c r="G12" s="13">
        <f>IF($E$6=TRUE(),440.4,"")</f>
        <v>440.4</v>
      </c>
      <c r="H12" s="13">
        <f>IF($E$6=TRUE(),484.2,"")</f>
        <v>484.2</v>
      </c>
      <c r="I12" s="13">
        <f>IF($E$6=TRUE(),504.7,"")</f>
        <v>504.7</v>
      </c>
      <c r="J12" s="13">
        <f>IF($E$6=TRUE(),554.8,"")</f>
        <v>554.79999999999995</v>
      </c>
      <c r="K12" s="13">
        <f>IF($E$6=TRUE(),568.4,"")</f>
        <v>568.4</v>
      </c>
      <c r="L12" s="13">
        <f>IF($E$6=TRUE(),579.3,"")</f>
        <v>579.29999999999995</v>
      </c>
      <c r="M12" s="13">
        <f>IF($E$6=TRUE(),590.5,"")</f>
        <v>590.5</v>
      </c>
      <c r="N12" s="13">
        <f>IF($E$6=TRUE(),663.5,"")</f>
        <v>663.5</v>
      </c>
      <c r="O12" s="13">
        <f>IF($E$6=TRUE(),676.6,"")</f>
        <v>676.6</v>
      </c>
      <c r="P12" s="13">
        <f>IF($E$6=TRUE(),683.5,"")</f>
        <v>683.5</v>
      </c>
      <c r="Q12" s="13">
        <f>IF($E$6=TRUE(),691,"")</f>
        <v>691</v>
      </c>
      <c r="R12" s="13">
        <f>IF($E$6=TRUE(),745.5,"")</f>
        <v>745.5</v>
      </c>
      <c r="S12" s="13">
        <f>IF($E$6=TRUE(),750.3,"")</f>
        <v>750.3</v>
      </c>
      <c r="T12" s="13">
        <f>IF($E$6=TRUE(),752.9,"")</f>
        <v>752.9</v>
      </c>
      <c r="U12" s="13">
        <f>IF($E$6=TRUE(),755.1,"")</f>
        <v>755.1</v>
      </c>
      <c r="V12" s="13">
        <f>IF($E$6=TRUE(),801.2,"")</f>
        <v>801.2</v>
      </c>
      <c r="W12" s="13">
        <f>IF($E$6=TRUE(),808.9,"")</f>
        <v>808.9</v>
      </c>
      <c r="X12" s="13">
        <f>IF($E$6=TRUE(),816.3,"")</f>
        <v>816.3</v>
      </c>
      <c r="Y12" s="13">
        <f>IF($E$6=TRUE(),823.7,"")</f>
        <v>823.7</v>
      </c>
      <c r="Z12" s="13">
        <f>IF($E$6=TRUE(),882.6,"")</f>
        <v>882.6</v>
      </c>
      <c r="AA12" s="13">
        <f>IF($E$6=TRUE(),884.5,"")</f>
        <v>884.5</v>
      </c>
      <c r="AB12" s="13">
        <f>IF($E$6=TRUE(),904.7,"")</f>
        <v>904.7</v>
      </c>
      <c r="AC12" s="13">
        <f>IF($E$6=TRUE(),913,"")</f>
        <v>913</v>
      </c>
      <c r="AD12" s="13">
        <f>IF($E$6=TRUE(),1029,"")</f>
        <v>1029</v>
      </c>
      <c r="AE12" s="13">
        <f>IF($E$6=TRUE(),1128.5,"")</f>
        <v>1128.5</v>
      </c>
      <c r="AF12" s="13">
        <f>IF($E$6=TRUE(),1172.1,"")</f>
        <v>1172.0999999999999</v>
      </c>
      <c r="AG12" s="13">
        <f>IF($E$6=TRUE(),1212.7,"")</f>
        <v>1212.7</v>
      </c>
      <c r="AH12" s="13">
        <f>IF($E$6=TRUE(),1232.1,"")</f>
        <v>1232.0999999999999</v>
      </c>
      <c r="AI12" s="13">
        <f>IF($E$6=TRUE(),1291.4,"")</f>
        <v>1291.4000000000001</v>
      </c>
      <c r="AJ12" s="13">
        <f>IF($E$6=TRUE(),1525.1,"")</f>
        <v>1525.1</v>
      </c>
      <c r="AK12" s="13">
        <f>IF($E$6=TRUE(),1615.5,"")</f>
        <v>1615.5</v>
      </c>
      <c r="AL12" s="13">
        <f>IF($E$6=TRUE(),1685.7,"")</f>
        <v>1685.7</v>
      </c>
      <c r="AM12" s="13">
        <f>IF($E$6=TRUE(),1766.1,"")</f>
        <v>1766.1</v>
      </c>
      <c r="AN12" s="13">
        <f>IF($E$6=TRUE(),2117.5,"")</f>
        <v>2117.5</v>
      </c>
      <c r="AO12" s="13">
        <f>IF($E$6=TRUE(),2419.2,"")</f>
        <v>2419.1999999999998</v>
      </c>
      <c r="AP12" s="13">
        <f>IF($E$6=TRUE(),2496.1,"")</f>
        <v>2496.1</v>
      </c>
      <c r="AQ12" s="13">
        <f>IF($E$6=TRUE(),2658.5,"")</f>
        <v>2658.5</v>
      </c>
      <c r="AR12" s="13">
        <f>IF($E$6=TRUE(),2927.4,"")</f>
        <v>2927.4</v>
      </c>
      <c r="AS12" s="13">
        <f>IF($E$6=TRUE(),3086.1,"")</f>
        <v>3086.1</v>
      </c>
      <c r="AT12" s="13">
        <f>IF($E$6=TRUE(),4004.2,"")</f>
        <v>4004.2</v>
      </c>
      <c r="AU12" s="13">
        <f>IF($E$6=TRUE(),4296.9,"")</f>
        <v>4296.8999999999996</v>
      </c>
      <c r="AV12" s="13">
        <f>IF($E$6=TRUE(),4331.6,"")</f>
        <v>4331.6000000000004</v>
      </c>
      <c r="AW12" s="13">
        <f>IF($E$6=TRUE(),4447.7,"")</f>
        <v>4447.7</v>
      </c>
      <c r="AX12" s="13">
        <f>IF($E$6=TRUE(),5580.9,"")</f>
        <v>5580.9</v>
      </c>
      <c r="AY12" s="13">
        <f>IF($E$6=TRUE(),5737.7,"")</f>
        <v>5737.7</v>
      </c>
      <c r="AZ12" s="13">
        <f>IF($E$6=TRUE(),6137,"")</f>
        <v>6137</v>
      </c>
      <c r="BA12" s="13">
        <f>IF($E$6=TRUE(),6488.6,"")</f>
        <v>6488.6</v>
      </c>
      <c r="BB12" s="13">
        <f>IF($E$6=TRUE(),6489.3,"")</f>
        <v>6489.3</v>
      </c>
      <c r="BC12" s="13">
        <f>IF($E$6=TRUE(),6489.8,"")</f>
        <v>6489.8</v>
      </c>
      <c r="BD12" s="13">
        <f>IF($E$6=TRUE(),7858.2,"")</f>
        <v>7858.2</v>
      </c>
      <c r="BE12" s="13">
        <f>IF($E$6=TRUE(),8213.8,"")</f>
        <v>8213.7999999999993</v>
      </c>
      <c r="BF12" s="13">
        <f>IF($E$6=TRUE(),8343.6,"")</f>
        <v>8343.6</v>
      </c>
      <c r="BG12" s="13">
        <f>IF($E$6=TRUE(),8598,"")</f>
        <v>8598</v>
      </c>
      <c r="BH12" s="13">
        <f>IF($E$6=TRUE(),10450.4,"")</f>
        <v>10450.4</v>
      </c>
      <c r="BI12" s="13">
        <f>IF($E$6=TRUE(),10952.1,"")</f>
        <v>10952.1</v>
      </c>
      <c r="BJ12" s="13">
        <f>IF($E$6=TRUE(),10963.8,"")</f>
        <v>10963.8</v>
      </c>
      <c r="BK12" s="13">
        <f>IF($E$6=TRUE(),11649.6,"")</f>
        <v>11649.6</v>
      </c>
      <c r="BL12" s="13">
        <f>IF($E$6=TRUE(),11793.9,"")</f>
        <v>11793.9</v>
      </c>
      <c r="BM12" s="13">
        <f>IF($E$6=TRUE(),11965.7,"")</f>
        <v>11965.7</v>
      </c>
      <c r="BN12" s="14"/>
      <c r="BO12" s="14"/>
    </row>
    <row r="13" spans="1:67" ht="15" customHeight="1">
      <c r="A13" s="9" t="s">
        <v>207</v>
      </c>
      <c r="B13" s="10">
        <f>IF($F$6=TRUE(),312.3,"")</f>
        <v>312.3</v>
      </c>
      <c r="C13" s="10">
        <f>IF($F$6=TRUE(),322.6,"")</f>
        <v>322.60000000000002</v>
      </c>
      <c r="D13" s="10">
        <f>IF($F$6=TRUE(),334.4,"")</f>
        <v>334.4</v>
      </c>
      <c r="E13" s="10">
        <f>IF($F$6=TRUE(),349.9,"")</f>
        <v>349.9</v>
      </c>
      <c r="F13" s="10">
        <f>IF($F$6=TRUE(),390.9,"")</f>
        <v>390.9</v>
      </c>
      <c r="G13" s="10">
        <f>IF($F$6=TRUE(),418.4,"")</f>
        <v>418.4</v>
      </c>
      <c r="H13" s="10">
        <f>IF($F$6=TRUE(),456.4,"")</f>
        <v>456.4</v>
      </c>
      <c r="I13" s="10">
        <f>IF($F$6=TRUE(),472.3,"")</f>
        <v>472.3</v>
      </c>
      <c r="J13" s="10">
        <f>IF($F$6=TRUE(),521.8,"")</f>
        <v>521.79999999999995</v>
      </c>
      <c r="K13" s="10">
        <f>IF($F$6=TRUE(),533,"")</f>
        <v>533</v>
      </c>
      <c r="L13" s="10">
        <f>IF($F$6=TRUE(),542.1,"")</f>
        <v>542.1</v>
      </c>
      <c r="M13" s="10">
        <f>IF($F$6=TRUE(),548,"")</f>
        <v>548</v>
      </c>
      <c r="N13" s="10">
        <f>IF($F$6=TRUE(),616.7,"")</f>
        <v>616.70000000000005</v>
      </c>
      <c r="O13" s="10">
        <f>IF($F$6=TRUE(),625.4,"")</f>
        <v>625.4</v>
      </c>
      <c r="P13" s="10">
        <f>IF($F$6=TRUE(),633.4,"")</f>
        <v>633.4</v>
      </c>
      <c r="Q13" s="10">
        <f>IF($F$6=TRUE(),637.5,"")</f>
        <v>637.5</v>
      </c>
      <c r="R13" s="10">
        <f>IF($F$6=TRUE(),677.8,"")</f>
        <v>677.8</v>
      </c>
      <c r="S13" s="10">
        <f>IF($F$6=TRUE(),680.6,"")</f>
        <v>680.6</v>
      </c>
      <c r="T13" s="10">
        <f>IF($F$6=TRUE(),681.5,"")</f>
        <v>681.5</v>
      </c>
      <c r="U13" s="10">
        <f>IF($F$6=TRUE(),680.7,"")</f>
        <v>680.7</v>
      </c>
      <c r="V13" s="10">
        <f>IF($F$6=TRUE(),727.1,"")</f>
        <v>727.1</v>
      </c>
      <c r="W13" s="10">
        <f>IF($F$6=TRUE(),735,"")</f>
        <v>735</v>
      </c>
      <c r="X13" s="10">
        <f>IF($F$6=TRUE(),743.7,"")</f>
        <v>743.7</v>
      </c>
      <c r="Y13" s="10">
        <f>IF($F$6=TRUE(),752.4,"")</f>
        <v>752.4</v>
      </c>
      <c r="Z13" s="10">
        <f>IF($F$6=TRUE(),806.2,"")</f>
        <v>806.2</v>
      </c>
      <c r="AA13" s="10">
        <f>IF($F$6=TRUE(),824.9,"")</f>
        <v>824.9</v>
      </c>
      <c r="AB13" s="10">
        <f>IF($F$6=TRUE(),846.9,"")</f>
        <v>846.9</v>
      </c>
      <c r="AC13" s="10">
        <f>IF($F$6=TRUE(),854.8,"")</f>
        <v>854.8</v>
      </c>
      <c r="AD13" s="10">
        <f>IF($F$6=TRUE(),978.1,"")</f>
        <v>978.1</v>
      </c>
      <c r="AE13" s="10">
        <f>IF($F$6=TRUE(),1054.9,"")</f>
        <v>1054.9000000000001</v>
      </c>
      <c r="AF13" s="10">
        <f>IF($F$6=TRUE(),1128.7,"")</f>
        <v>1128.7</v>
      </c>
      <c r="AG13" s="10">
        <f>IF($F$6=TRUE(),1154.1,"")</f>
        <v>1154.0999999999999</v>
      </c>
      <c r="AH13" s="10">
        <f>IF($F$6=TRUE(),1178.7,"")</f>
        <v>1178.7</v>
      </c>
      <c r="AI13" s="10">
        <f>IF($F$6=TRUE(),1215.3,"")</f>
        <v>1215.3</v>
      </c>
      <c r="AJ13" s="10">
        <f>IF($F$6=TRUE(),1442.9,"")</f>
        <v>1442.9</v>
      </c>
      <c r="AK13" s="10">
        <f>IF($F$6=TRUE(),1499.3,"")</f>
        <v>1499.3</v>
      </c>
      <c r="AL13" s="10">
        <f>IF($F$6=TRUE(),1546.6,"")</f>
        <v>1546.6</v>
      </c>
      <c r="AM13" s="10">
        <f>IF($F$6=TRUE(),1635.7,"")</f>
        <v>1635.7</v>
      </c>
      <c r="AN13" s="10">
        <f>IF($F$6=TRUE(),1965,"")</f>
        <v>1965</v>
      </c>
      <c r="AO13" s="10">
        <f>IF($F$6=TRUE(),2302,"")</f>
        <v>2302</v>
      </c>
      <c r="AP13" s="10">
        <f>IF($F$6=TRUE(),2402.3,"")</f>
        <v>2402.3000000000002</v>
      </c>
      <c r="AQ13" s="10">
        <f>IF($F$6=TRUE(),2502.1,"")</f>
        <v>2502.1</v>
      </c>
      <c r="AR13" s="10">
        <f>IF($F$6=TRUE(),2720.1,"")</f>
        <v>2720.1</v>
      </c>
      <c r="AS13" s="10">
        <f>IF($F$6=TRUE(),2872.2,"")</f>
        <v>2872.2</v>
      </c>
      <c r="AT13" s="10">
        <f>IF($F$6=TRUE(),3629.9,"")</f>
        <v>3629.9</v>
      </c>
      <c r="AU13" s="10">
        <f>IF($F$6=TRUE(),3885.7,"")</f>
        <v>3885.7</v>
      </c>
      <c r="AV13" s="10">
        <f>IF($F$6=TRUE(),3905.8,"")</f>
        <v>3905.8</v>
      </c>
      <c r="AW13" s="10">
        <f>IF($F$6=TRUE(),3971.1,"")</f>
        <v>3971.1</v>
      </c>
      <c r="AX13" s="10">
        <f>IF($F$6=TRUE(),4929,"")</f>
        <v>4929</v>
      </c>
      <c r="AY13" s="10">
        <f>IF($F$6=TRUE(),4992.3,"")</f>
        <v>4992.3</v>
      </c>
      <c r="AZ13" s="10">
        <f>IF($F$6=TRUE(),5282.1,"")</f>
        <v>5282.1</v>
      </c>
      <c r="BA13" s="10">
        <f>IF($F$6=TRUE(),5656.6,"")</f>
        <v>5656.6</v>
      </c>
      <c r="BB13" s="10">
        <f>IF($F$6=TRUE(),5764.2,"")</f>
        <v>5764.2</v>
      </c>
      <c r="BC13" s="10">
        <f>IF($F$6=TRUE(),5944.9,"")</f>
        <v>5944.9</v>
      </c>
      <c r="BD13" s="10">
        <f>IF($F$6=TRUE(),984.2,"")</f>
        <v>984.2</v>
      </c>
      <c r="BE13" s="10">
        <f>IF($F$6=TRUE(),7169.9,"")</f>
        <v>7169.9</v>
      </c>
      <c r="BF13" s="10">
        <f>IF($F$6=TRUE(),7261.9,"")</f>
        <v>7261.9</v>
      </c>
      <c r="BG13" s="10">
        <f>IF($F$6=TRUE(),7481.8,"")</f>
        <v>7481.8</v>
      </c>
      <c r="BH13" s="10">
        <f>IF($F$6=TRUE(),9004.7,"")</f>
        <v>9004.7000000000007</v>
      </c>
      <c r="BI13" s="10">
        <f>IF($F$6=TRUE(),9360,"")</f>
        <v>9360</v>
      </c>
      <c r="BJ13" s="10">
        <f>IF($F$6=TRUE(),9424.9,"")</f>
        <v>9424.9</v>
      </c>
      <c r="BK13" s="10">
        <f>IF($F$6=TRUE(),9890.1,"")</f>
        <v>9890.1</v>
      </c>
      <c r="BL13" s="10">
        <f>IF($F$6=TRUE(),10117.2,"")</f>
        <v>10117.200000000001</v>
      </c>
      <c r="BM13" s="10">
        <f>IF($F$6=TRUE(),10357.2,"")</f>
        <v>10357.200000000001</v>
      </c>
      <c r="BN13" s="11"/>
      <c r="BO13" s="11"/>
    </row>
    <row r="14" spans="1:67" ht="15" customHeight="1">
      <c r="A14" s="12" t="s">
        <v>172</v>
      </c>
      <c r="B14" s="13" t="str">
        <f>IF($G$6=TRUE(),334.7,"")</f>
        <v/>
      </c>
      <c r="C14" s="13" t="str">
        <f>IF($G$6=TRUE(),345.3,"")</f>
        <v/>
      </c>
      <c r="D14" s="13" t="str">
        <f>IF($G$6=TRUE(),356.1,"")</f>
        <v/>
      </c>
      <c r="E14" s="13" t="str">
        <f>IF($G$6=TRUE(),366.2,"")</f>
        <v/>
      </c>
      <c r="F14" s="13" t="str">
        <f>IF($G$6=TRUE(),404.1,"")</f>
        <v/>
      </c>
      <c r="G14" s="13" t="str">
        <f>IF($G$6=TRUE(),425,"")</f>
        <v/>
      </c>
      <c r="H14" s="13" t="str">
        <f>IF($G$6=TRUE(),458.4,"")</f>
        <v/>
      </c>
      <c r="I14" s="13" t="str">
        <f>IF($G$6=TRUE(),472.9,"")</f>
        <v/>
      </c>
      <c r="J14" s="13" t="str">
        <f>IF($G$6=TRUE(),528.4,"")</f>
        <v/>
      </c>
      <c r="K14" s="13" t="str">
        <f>IF($G$6=TRUE(),539.1,"")</f>
        <v/>
      </c>
      <c r="L14" s="13" t="str">
        <f>IF($G$6=TRUE(),542.8,"")</f>
        <v/>
      </c>
      <c r="M14" s="13" t="str">
        <f>IF($G$6=TRUE(),553.3,"")</f>
        <v/>
      </c>
      <c r="N14" s="13" t="str">
        <f>IF($G$6=TRUE(),621.9,"")</f>
        <v/>
      </c>
      <c r="O14" s="13" t="str">
        <f>IF($G$6=TRUE(),634.1,"")</f>
        <v/>
      </c>
      <c r="P14" s="13" t="str">
        <f>IF($G$6=TRUE(),640.2,"")</f>
        <v/>
      </c>
      <c r="Q14" s="13" t="str">
        <f>IF($G$6=TRUE(),647.4,"")</f>
        <v/>
      </c>
      <c r="R14" s="13" t="str">
        <f>IF($G$6=TRUE(),698.5,"")</f>
        <v/>
      </c>
      <c r="S14" s="13" t="str">
        <f>IF($G$6=TRUE(),703.1,"")</f>
        <v/>
      </c>
      <c r="T14" s="13" t="str">
        <f>IF($G$6=TRUE(),705.7,"")</f>
        <v/>
      </c>
      <c r="U14" s="13" t="str">
        <f>IF($G$6=TRUE(),707,"")</f>
        <v/>
      </c>
      <c r="V14" s="13" t="str">
        <f>IF($G$6=TRUE(),750.1,"")</f>
        <v/>
      </c>
      <c r="W14" s="13" t="str">
        <f>IF($G$6=TRUE(),757.2,"")</f>
        <v/>
      </c>
      <c r="X14" s="13" t="str">
        <f>IF($G$6=TRUE(),764.3,"")</f>
        <v/>
      </c>
      <c r="Y14" s="13" t="str">
        <f>IF($G$6=TRUE(),771.3,"")</f>
        <v/>
      </c>
      <c r="Z14" s="13" t="str">
        <f>IF($G$6=TRUE(),826.8,"")</f>
        <v/>
      </c>
      <c r="AA14" s="13" t="str">
        <f>IF($G$6=TRUE(),828.4,"")</f>
        <v/>
      </c>
      <c r="AB14" s="13" t="str">
        <f>IF($G$6=TRUE(),846.9,"")</f>
        <v/>
      </c>
      <c r="AC14" s="13" t="str">
        <f>IF($G$6=TRUE(),854.6,"")</f>
        <v/>
      </c>
      <c r="AD14" s="13" t="str">
        <f>IF($G$6=TRUE(),963.1,"")</f>
        <v/>
      </c>
      <c r="AE14" s="13" t="str">
        <f>IF($G$6=TRUE(),1056.3,"")</f>
        <v/>
      </c>
      <c r="AF14" s="13" t="str">
        <f>IF($G$6=TRUE(),1097.3,"")</f>
        <v/>
      </c>
      <c r="AG14" s="13" t="str">
        <f>IF($G$6=TRUE(),1134.9,"")</f>
        <v/>
      </c>
      <c r="AH14" s="13" t="str">
        <f>IF($G$6=TRUE(),1153.7,"")</f>
        <v/>
      </c>
      <c r="AI14" s="13" t="str">
        <f>IF($G$6=TRUE(),1208.4,"")</f>
        <v/>
      </c>
      <c r="AJ14" s="13" t="str">
        <f>IF($G$6=TRUE(),1427.1,"")</f>
        <v/>
      </c>
      <c r="AK14" s="13" t="str">
        <f>IF($G$6=TRUE(),1511.7,"")</f>
        <v/>
      </c>
      <c r="AL14" s="13" t="str">
        <f>IF($G$6=TRUE(),1577,"")</f>
        <v/>
      </c>
      <c r="AM14" s="13" t="str">
        <f>IF($G$6=TRUE(),1653.1,"")</f>
        <v/>
      </c>
      <c r="AN14" s="13" t="str">
        <f>IF($G$6=TRUE(),1982.1,"")</f>
        <v/>
      </c>
      <c r="AO14" s="13" t="str">
        <f>IF($G$6=TRUE(),2264.7,"")</f>
        <v/>
      </c>
      <c r="AP14" s="13" t="str">
        <f>IF($G$6=TRUE(),2335.8,"")</f>
        <v/>
      </c>
      <c r="AQ14" s="13" t="str">
        <f>IF($G$6=TRUE(),2487.9,"")</f>
        <v/>
      </c>
      <c r="AR14" s="13" t="str">
        <f>IF($G$6=TRUE(),2740.8,"")</f>
        <v/>
      </c>
      <c r="AS14" s="13" t="str">
        <f>IF($G$6=TRUE(),2888,"")</f>
        <v/>
      </c>
      <c r="AT14" s="13" t="str">
        <f>IF($G$6=TRUE(),3745.7,"")</f>
        <v/>
      </c>
      <c r="AU14" s="13" t="str">
        <f>IF($G$6=TRUE(),4020.1,"")</f>
        <v/>
      </c>
      <c r="AV14" s="13" t="str">
        <f>IF($G$6=TRUE(),4066,"")</f>
        <v/>
      </c>
      <c r="AW14" s="13" t="str">
        <f>IF($G$6=TRUE(),4173.2,"")</f>
        <v/>
      </c>
      <c r="AX14" s="13" t="str">
        <f>IF($G$6=TRUE(),5237.4,"")</f>
        <v/>
      </c>
      <c r="AY14" s="13" t="str">
        <f>IF($G$6=TRUE(),5383.4,"")</f>
        <v/>
      </c>
      <c r="AZ14" s="13" t="str">
        <f>IF($G$6=TRUE(),5759,"")</f>
        <v/>
      </c>
      <c r="BA14" s="13" t="str">
        <f>IF($G$6=TRUE(),6088.7,"")</f>
        <v/>
      </c>
      <c r="BB14" s="13" t="str">
        <f>IF($G$6=TRUE(),6088.7,"")</f>
        <v/>
      </c>
      <c r="BC14" s="13" t="str">
        <f>IF($G$6=TRUE(),6088.7,"")</f>
        <v/>
      </c>
      <c r="BD14" s="13" t="str">
        <f>IF($G$6=TRUE(),7373.4,"")</f>
        <v/>
      </c>
      <c r="BE14" s="13" t="str">
        <f>IF($G$6=TRUE(),7708.3,"")</f>
        <v/>
      </c>
      <c r="BF14" s="13" t="str">
        <f>IF($G$6=TRUE(),7830.1,"")</f>
        <v/>
      </c>
      <c r="BG14" s="13" t="str">
        <f>IF($G$6=TRUE(),8067.5,"")</f>
        <v/>
      </c>
      <c r="BH14" s="13" t="str">
        <f>IF($G$6=TRUE(),9785.9,"")</f>
        <v/>
      </c>
      <c r="BI14" s="13" t="str">
        <f>IF($G$6=TRUE(),10213.5,"")</f>
        <v/>
      </c>
      <c r="BJ14" s="13" t="str">
        <f>IF($G$6=TRUE(),10286.1,"")</f>
        <v/>
      </c>
      <c r="BK14" s="13" t="str">
        <f>IF($G$6=TRUE(),10931.5,"")</f>
        <v/>
      </c>
      <c r="BL14" s="13" t="str">
        <f>IF($G$6=TRUE(),11068.6,"")</f>
        <v/>
      </c>
      <c r="BM14" s="13" t="str">
        <f>IF($G$6=TRUE(),11230,"")</f>
        <v/>
      </c>
      <c r="BN14" s="14"/>
      <c r="BO14" s="14"/>
    </row>
    <row r="15" spans="1:67" ht="15" customHeight="1">
      <c r="A15" s="9" t="s">
        <v>208</v>
      </c>
      <c r="B15" s="10" t="str">
        <f>IF($H$6=TRUE(),302.3,"")</f>
        <v/>
      </c>
      <c r="C15" s="10" t="str">
        <f>IF($H$6=TRUE(),315,"")</f>
        <v/>
      </c>
      <c r="D15" s="10" t="str">
        <f>IF($H$6=TRUE(),324.7,"")</f>
        <v/>
      </c>
      <c r="E15" s="10" t="str">
        <f>IF($H$6=TRUE(),339.4,"")</f>
        <v/>
      </c>
      <c r="F15" s="10" t="str">
        <f>IF($H$6=TRUE(),365.1,"")</f>
        <v/>
      </c>
      <c r="G15" s="10" t="str">
        <f>IF($H$6=TRUE(),389.7,"")</f>
        <v/>
      </c>
      <c r="H15" s="10" t="str">
        <f>IF($H$6=TRUE(),433,"")</f>
        <v/>
      </c>
      <c r="I15" s="10" t="str">
        <f>IF($H$6=TRUE(),446.6,"")</f>
        <v/>
      </c>
      <c r="J15" s="10" t="str">
        <f>IF($H$6=TRUE(),486.4,"")</f>
        <v/>
      </c>
      <c r="K15" s="10" t="str">
        <f>IF($H$6=TRUE(),498.3,"")</f>
        <v/>
      </c>
      <c r="L15" s="10" t="str">
        <f>IF($H$6=TRUE(),510.9,"")</f>
        <v/>
      </c>
      <c r="M15" s="10" t="str">
        <f>IF($H$6=TRUE(),517.4,"")</f>
        <v/>
      </c>
      <c r="N15" s="10" t="str">
        <f>IF($H$6=TRUE(),569.5,"")</f>
        <v/>
      </c>
      <c r="O15" s="10" t="str">
        <f>IF($H$6=TRUE(),590.2,"")</f>
        <v/>
      </c>
      <c r="P15" s="10" t="str">
        <f>IF($H$6=TRUE(),594.2,"")</f>
        <v/>
      </c>
      <c r="Q15" s="10" t="str">
        <f>IF($H$6=TRUE(),593.4,"")</f>
        <v/>
      </c>
      <c r="R15" s="10" t="str">
        <f>IF($H$6=TRUE(),621.3,"")</f>
        <v/>
      </c>
      <c r="S15" s="10" t="str">
        <f>IF($H$6=TRUE(),623.9,"")</f>
        <v/>
      </c>
      <c r="T15" s="10" t="str">
        <f>IF($H$6=TRUE(),619.7,"")</f>
        <v/>
      </c>
      <c r="U15" s="10" t="str">
        <f>IF($H$6=TRUE(),618.4,"")</f>
        <v/>
      </c>
      <c r="V15" s="10" t="str">
        <f>IF($H$6=TRUE(),658.9,"")</f>
        <v/>
      </c>
      <c r="W15" s="10" t="str">
        <f>IF($H$6=TRUE(),664.8,"")</f>
        <v/>
      </c>
      <c r="X15" s="10" t="str">
        <f>IF($H$6=TRUE(),682,"")</f>
        <v/>
      </c>
      <c r="Y15" s="10" t="str">
        <f>IF($H$6=TRUE(),689.5,"")</f>
        <v/>
      </c>
      <c r="Z15" s="10" t="str">
        <f>IF($H$6=TRUE(),737.3,"")</f>
        <v/>
      </c>
      <c r="AA15" s="10" t="str">
        <f>IF($H$6=TRUE(),752.1,"")</f>
        <v/>
      </c>
      <c r="AB15" s="10" t="str">
        <f>IF($H$6=TRUE(),769.1,"")</f>
        <v/>
      </c>
      <c r="AC15" s="10" t="str">
        <f>IF($H$6=TRUE(),780.2,"")</f>
        <v/>
      </c>
      <c r="AD15" s="10" t="str">
        <f>IF($H$6=TRUE(),877,"")</f>
        <v/>
      </c>
      <c r="AE15" s="10" t="str">
        <f>IF($H$6=TRUE(),945.7,"")</f>
        <v/>
      </c>
      <c r="AF15" s="10" t="str">
        <f>IF($H$6=TRUE(),1004.5,"")</f>
        <v/>
      </c>
      <c r="AG15" s="10" t="str">
        <f>IF($H$6=TRUE(),1026.4,"")</f>
        <v/>
      </c>
      <c r="AH15" s="10" t="str">
        <f>IF($H$6=TRUE(),1064.1,"")</f>
        <v/>
      </c>
      <c r="AI15" s="10" t="str">
        <f>IF($H$6=TRUE(),1087.3,"")</f>
        <v/>
      </c>
      <c r="AJ15" s="10" t="str">
        <f>IF($H$6=TRUE(),1269.5,"")</f>
        <v/>
      </c>
      <c r="AK15" s="10" t="str">
        <f>IF($H$6=TRUE(),1339.6,"")</f>
        <v/>
      </c>
      <c r="AL15" s="10" t="str">
        <f>IF($H$6=TRUE(),1390.2,"")</f>
        <v/>
      </c>
      <c r="AM15" s="10" t="str">
        <f>IF($H$6=TRUE(),1482.4,"")</f>
        <v/>
      </c>
      <c r="AN15" s="10" t="str">
        <f>IF($H$6=TRUE(),1769.7,"")</f>
        <v/>
      </c>
      <c r="AO15" s="10" t="str">
        <f>IF($H$6=TRUE(),2085.5,"")</f>
        <v/>
      </c>
      <c r="AP15" s="10" t="str">
        <f>IF($H$6=TRUE(),2189.4,"")</f>
        <v/>
      </c>
      <c r="AQ15" s="10" t="str">
        <f>IF($H$6=TRUE(),2305,"")</f>
        <v/>
      </c>
      <c r="AR15" s="10" t="str">
        <f>IF($H$6=TRUE(),2593.6,"")</f>
        <v/>
      </c>
      <c r="AS15" s="10" t="str">
        <f>IF($H$6=TRUE(),2725.1,"")</f>
        <v/>
      </c>
      <c r="AT15" s="10" t="str">
        <f>IF($H$6=TRUE(),3400,"")</f>
        <v/>
      </c>
      <c r="AU15" s="10" t="str">
        <f>IF($H$6=TRUE(),3756.2,"")</f>
        <v/>
      </c>
      <c r="AV15" s="10" t="str">
        <f>IF($H$6=TRUE(),3795.8,"")</f>
        <v/>
      </c>
      <c r="AW15" s="10" t="str">
        <f>IF($H$6=TRUE(),3827,"")</f>
        <v/>
      </c>
      <c r="AX15" s="10" t="str">
        <f>IF($H$6=TRUE(),4638.3,"")</f>
        <v/>
      </c>
      <c r="AY15" s="10" t="str">
        <f>IF($H$6=TRUE(),4673.3,"")</f>
        <v/>
      </c>
      <c r="AZ15" s="10" t="str">
        <f>IF($H$6=TRUE(),4977,"")</f>
        <v/>
      </c>
      <c r="BA15" s="10" t="str">
        <f>IF($H$6=TRUE(),5380.4,"")</f>
        <v/>
      </c>
      <c r="BB15" s="10" t="str">
        <f>IF($H$6=TRUE(),5472.4,"")</f>
        <v/>
      </c>
      <c r="BC15" s="10" t="str">
        <f>IF($H$6=TRUE(),5742.4,"")</f>
        <v/>
      </c>
      <c r="BD15" s="10" t="str">
        <f>IF($H$6=TRUE(),6682.3,"")</f>
        <v/>
      </c>
      <c r="BE15" s="10" t="str">
        <f>IF($H$6=TRUE(),6775,"")</f>
        <v/>
      </c>
      <c r="BF15" s="10" t="str">
        <f>IF($H$6=TRUE(),6969.4,"")</f>
        <v/>
      </c>
      <c r="BG15" s="10" t="str">
        <f>IF($H$6=TRUE(),7175.5,"")</f>
        <v/>
      </c>
      <c r="BH15" s="10" t="str">
        <f>IF($H$6=TRUE(),8421.7,"")</f>
        <v/>
      </c>
      <c r="BI15" s="10" t="str">
        <f>IF($H$6=TRUE(),8874.5,"")</f>
        <v/>
      </c>
      <c r="BJ15" s="10" t="str">
        <f>IF($H$6=TRUE(),8974.1,"")</f>
        <v/>
      </c>
      <c r="BK15" s="10" t="str">
        <f>IF($H$6=TRUE(),9459.3,"")</f>
        <v/>
      </c>
      <c r="BL15" s="10" t="str">
        <f>IF($H$6=TRUE(),9803.2,"")</f>
        <v/>
      </c>
      <c r="BM15" s="10" t="str">
        <f>IF($H$6=TRUE(),10231.7,"")</f>
        <v/>
      </c>
      <c r="BN15" s="11"/>
      <c r="BO15" s="11"/>
    </row>
    <row r="16" spans="1:67" ht="15" customHeight="1">
      <c r="A16" s="12" t="s">
        <v>176</v>
      </c>
      <c r="B16" s="13" t="str">
        <f>IF($I$6=TRUE(),337.2,"")</f>
        <v/>
      </c>
      <c r="C16" s="13" t="str">
        <f>IF($I$6=TRUE(),347.9,"")</f>
        <v/>
      </c>
      <c r="D16" s="13" t="str">
        <f>IF($I$6=TRUE(),361.4,"")</f>
        <v/>
      </c>
      <c r="E16" s="13" t="str">
        <f>IF($I$6=TRUE(),376.7,"")</f>
        <v/>
      </c>
      <c r="F16" s="13" t="str">
        <f>IF($I$6=TRUE(),412.4,"")</f>
        <v/>
      </c>
      <c r="G16" s="13" t="str">
        <f>IF($I$6=TRUE(),434.9,"")</f>
        <v/>
      </c>
      <c r="H16" s="13" t="str">
        <f>IF($I$6=TRUE(),470.1,"")</f>
        <v/>
      </c>
      <c r="I16" s="13" t="str">
        <f>IF($I$6=TRUE(),490.3,"")</f>
        <v/>
      </c>
      <c r="J16" s="13" t="str">
        <f>IF($I$6=TRUE(),538.3,"")</f>
        <v/>
      </c>
      <c r="K16" s="13" t="str">
        <f>IF($I$6=TRUE(),549,"")</f>
        <v/>
      </c>
      <c r="L16" s="13" t="str">
        <f>IF($I$6=TRUE(),559,"")</f>
        <v/>
      </c>
      <c r="M16" s="13" t="str">
        <f>IF($I$6=TRUE(),571.6,"")</f>
        <v/>
      </c>
      <c r="N16" s="13" t="str">
        <f>IF($I$6=TRUE(),646.7,"")</f>
        <v/>
      </c>
      <c r="O16" s="13" t="str">
        <f>IF($I$6=TRUE(),660.2,"")</f>
        <v/>
      </c>
      <c r="P16" s="13" t="str">
        <f>IF($I$6=TRUE(),669.7,"")</f>
        <v/>
      </c>
      <c r="Q16" s="13" t="str">
        <f>IF($I$6=TRUE(),676.4,"")</f>
        <v/>
      </c>
      <c r="R16" s="13" t="str">
        <f>IF($I$6=TRUE(),726.8,"")</f>
        <v/>
      </c>
      <c r="S16" s="13" t="str">
        <f>IF($I$6=TRUE(),732,"")</f>
        <v/>
      </c>
      <c r="T16" s="13" t="str">
        <f>IF($I$6=TRUE(),736.1,"")</f>
        <v/>
      </c>
      <c r="U16" s="13" t="str">
        <f>IF($I$6=TRUE(),737.5,"")</f>
        <v/>
      </c>
      <c r="V16" s="13" t="str">
        <f>IF($I$6=TRUE(),783,"")</f>
        <v/>
      </c>
      <c r="W16" s="13" t="str">
        <f>IF($I$6=TRUE(),790.7,"")</f>
        <v/>
      </c>
      <c r="X16" s="13" t="str">
        <f>IF($I$6=TRUE(),797.7,"")</f>
        <v/>
      </c>
      <c r="Y16" s="13" t="str">
        <f>IF($I$6=TRUE(),804.7,"")</f>
        <v/>
      </c>
      <c r="Z16" s="13" t="str">
        <f>IF($I$6=TRUE(),863.8,"")</f>
        <v/>
      </c>
      <c r="AA16" s="13" t="str">
        <f>IF($I$6=TRUE(),867.6,"")</f>
        <v/>
      </c>
      <c r="AB16" s="13" t="str">
        <f>IF($I$6=TRUE(),885.1,"")</f>
        <v/>
      </c>
      <c r="AC16" s="13" t="str">
        <f>IF($I$6=TRUE(),894.5,"")</f>
        <v/>
      </c>
      <c r="AD16" s="13" t="str">
        <f>IF($I$6=TRUE(),1013.3,"")</f>
        <v/>
      </c>
      <c r="AE16" s="13" t="str">
        <f>IF($I$6=TRUE(),1098.4,"")</f>
        <v/>
      </c>
      <c r="AF16" s="13" t="str">
        <f>IF($I$6=TRUE(),1137.5,"")</f>
        <v/>
      </c>
      <c r="AG16" s="13" t="str">
        <f>IF($I$6=TRUE(),1170.4,"")</f>
        <v/>
      </c>
      <c r="AH16" s="13" t="str">
        <f>IF($I$6=TRUE(),1188.7,"")</f>
        <v/>
      </c>
      <c r="AI16" s="13" t="str">
        <f>IF($I$6=TRUE(),1220,"")</f>
        <v/>
      </c>
      <c r="AJ16" s="13" t="str">
        <f>IF($I$6=TRUE(),1450.6,"")</f>
        <v/>
      </c>
      <c r="AK16" s="13" t="str">
        <f>IF($I$6=TRUE(),1530,"")</f>
        <v/>
      </c>
      <c r="AL16" s="13" t="str">
        <f>IF($I$6=TRUE(),1602.1,"")</f>
        <v/>
      </c>
      <c r="AM16" s="13" t="str">
        <f>IF($I$6=TRUE(),1669.2,"")</f>
        <v/>
      </c>
      <c r="AN16" s="13" t="str">
        <f>IF($I$6=TRUE(),2035.3,"")</f>
        <v/>
      </c>
      <c r="AO16" s="13" t="str">
        <f>IF($I$6=TRUE(),2309.3,"")</f>
        <v/>
      </c>
      <c r="AP16" s="13" t="str">
        <f>IF($I$6=TRUE(),2387.8,"")</f>
        <v/>
      </c>
      <c r="AQ16" s="13" t="str">
        <f>IF($I$6=TRUE(),2522.5,"")</f>
        <v/>
      </c>
      <c r="AR16" s="13" t="str">
        <f>IF($I$6=TRUE(),2741.9,"")</f>
        <v/>
      </c>
      <c r="AS16" s="13" t="str">
        <f>IF($I$6=TRUE(),2880.1,"")</f>
        <v/>
      </c>
      <c r="AT16" s="13" t="str">
        <f>IF($I$6=TRUE(),3729.5,"")</f>
        <v/>
      </c>
      <c r="AU16" s="13" t="str">
        <f>IF($I$6=TRUE(),3983.6,"")</f>
        <v/>
      </c>
      <c r="AV16" s="13" t="str">
        <f>IF($I$6=TRUE(),4049,"")</f>
        <v/>
      </c>
      <c r="AW16" s="13" t="str">
        <f>IF($I$6=TRUE(),4142,"")</f>
        <v/>
      </c>
      <c r="AX16" s="13" t="str">
        <f>IF($I$6=TRUE(),5168,"")</f>
        <v/>
      </c>
      <c r="AY16" s="13" t="str">
        <f>IF($I$6=TRUE(),5315.9,"")</f>
        <v/>
      </c>
      <c r="AZ16" s="13" t="str">
        <f>IF($I$6=TRUE(),5726.2,"")</f>
        <v/>
      </c>
      <c r="BA16" s="13" t="str">
        <f>IF($I$6=TRUE(),6055,"")</f>
        <v/>
      </c>
      <c r="BB16" s="13" t="str">
        <f>IF($I$6=TRUE(),6059.5,"")</f>
        <v/>
      </c>
      <c r="BC16" s="13" t="str">
        <f>IF($I$6=TRUE(),6090.4,"")</f>
        <v/>
      </c>
      <c r="BD16" s="13" t="str">
        <f>IF($I$6=TRUE(),7339.7,"")</f>
        <v/>
      </c>
      <c r="BE16" s="13" t="str">
        <f>IF($I$6=TRUE(),7672.3,"")</f>
        <v/>
      </c>
      <c r="BF16" s="13" t="str">
        <f>IF($I$6=TRUE(),7861.3,"")</f>
        <v/>
      </c>
      <c r="BG16" s="13" t="str">
        <f>IF($I$6=TRUE(),8073.1,"")</f>
        <v/>
      </c>
      <c r="BH16" s="13" t="str">
        <f>IF($I$6=TRUE(),9794,"")</f>
        <v/>
      </c>
      <c r="BI16" s="13" t="str">
        <f>IF($I$6=TRUE(),10243.1,"")</f>
        <v/>
      </c>
      <c r="BJ16" s="13" t="str">
        <f>IF($I$6=TRUE(),10321.3,"")</f>
        <v/>
      </c>
      <c r="BK16" s="13" t="str">
        <f>IF($I$6=TRUE(),10933.3,"")</f>
        <v/>
      </c>
      <c r="BL16" s="13" t="str">
        <f>IF($I$6=TRUE(),11100.9,"")</f>
        <v/>
      </c>
      <c r="BM16" s="13" t="str">
        <f>IF($I$6=TRUE(),11270.2,"")</f>
        <v/>
      </c>
      <c r="BN16" s="14"/>
      <c r="BO16" s="14"/>
    </row>
    <row r="17" spans="1:67" ht="15" customHeight="1">
      <c r="A17" s="9" t="s">
        <v>177</v>
      </c>
      <c r="B17" s="10" t="str">
        <f>IF($J$6=TRUE(),314.9,"")</f>
        <v/>
      </c>
      <c r="C17" s="10" t="str">
        <f>IF($J$6=TRUE(),327.2,"")</f>
        <v/>
      </c>
      <c r="D17" s="10" t="str">
        <f>IF($J$6=TRUE(),354.7,"")</f>
        <v/>
      </c>
      <c r="E17" s="10" t="str">
        <f>IF($J$6=TRUE(),401.9,"")</f>
        <v/>
      </c>
      <c r="F17" s="10" t="str">
        <f>IF($J$6=TRUE(),443.4,"")</f>
        <v/>
      </c>
      <c r="G17" s="10" t="str">
        <f>IF($J$6=TRUE(),524.5,"")</f>
        <v/>
      </c>
      <c r="H17" s="10" t="str">
        <f>IF($J$6=TRUE(),624.9,"")</f>
        <v/>
      </c>
      <c r="I17" s="10" t="str">
        <f>IF($J$6=TRUE(),637.4,"")</f>
        <v/>
      </c>
      <c r="J17" s="10" t="str">
        <f>IF($J$6=TRUE(),643.6,"")</f>
        <v/>
      </c>
      <c r="K17" s="10" t="str">
        <f>IF($J$6=TRUE(),643.9,"")</f>
        <v/>
      </c>
      <c r="L17" s="10" t="str">
        <f>IF($J$6=TRUE(),637.3,"")</f>
        <v/>
      </c>
      <c r="M17" s="10" t="str">
        <f>IF($J$6=TRUE(),611.5,"")</f>
        <v/>
      </c>
      <c r="N17" s="10" t="str">
        <f>IF($J$6=TRUE(),676.7,"")</f>
        <v/>
      </c>
      <c r="O17" s="10" t="str">
        <f>IF($J$6=TRUE(),666.6,"")</f>
        <v/>
      </c>
      <c r="P17" s="10" t="str">
        <f>IF($J$6=TRUE(),665.3,"")</f>
        <v/>
      </c>
      <c r="Q17" s="10" t="str">
        <f>IF($J$6=TRUE(),633.4,"")</f>
        <v/>
      </c>
      <c r="R17" s="10" t="str">
        <f>IF($J$6=TRUE(),617,"")</f>
        <v/>
      </c>
      <c r="S17" s="10" t="str">
        <f>IF($J$6=TRUE(),606.9,"")</f>
        <v/>
      </c>
      <c r="T17" s="10" t="str">
        <f>IF($J$6=TRUE(),565.2,"")</f>
        <v/>
      </c>
      <c r="U17" s="10" t="str">
        <f>IF($J$6=TRUE(),540.7,"")</f>
        <v/>
      </c>
      <c r="V17" s="10" t="str">
        <f>IF($J$6=TRUE(),604,"")</f>
        <v/>
      </c>
      <c r="W17" s="10" t="str">
        <f>IF($J$6=TRUE(),603.9,"")</f>
        <v/>
      </c>
      <c r="X17" s="10" t="str">
        <f>IF($J$6=TRUE(),624.9,"")</f>
        <v/>
      </c>
      <c r="Y17" s="10" t="str">
        <f>IF($J$6=TRUE(),617.3,"")</f>
        <v/>
      </c>
      <c r="Z17" s="10" t="str">
        <f>IF($J$6=TRUE(),631.5,"")</f>
        <v/>
      </c>
      <c r="AA17" s="10" t="str">
        <f>IF($J$6=TRUE(),722.1,"")</f>
        <v/>
      </c>
      <c r="AB17" s="10" t="str">
        <f>IF($J$6=TRUE(),756.9,"")</f>
        <v/>
      </c>
      <c r="AC17" s="10" t="str">
        <f>IF($J$6=TRUE(),787.1,"")</f>
        <v/>
      </c>
      <c r="AD17" s="10" t="str">
        <f>IF($J$6=TRUE(),951.1,"")</f>
        <v/>
      </c>
      <c r="AE17" s="10" t="str">
        <f>IF($J$6=TRUE(),1072.9,"")</f>
        <v/>
      </c>
      <c r="AF17" s="10" t="str">
        <f>IF($J$6=TRUE(),1264.4,"")</f>
        <v/>
      </c>
      <c r="AG17" s="10" t="str">
        <f>IF($J$6=TRUE(),1392.5,"")</f>
        <v/>
      </c>
      <c r="AH17" s="10" t="str">
        <f>IF($J$6=TRUE(),1312.7,"")</f>
        <v/>
      </c>
      <c r="AI17" s="10" t="str">
        <f>IF($J$6=TRUE(),1335.1,"")</f>
        <v/>
      </c>
      <c r="AJ17" s="10" t="str">
        <f>IF($J$6=TRUE(),1545,"")</f>
        <v/>
      </c>
      <c r="AK17" s="10" t="str">
        <f>IF($J$6=TRUE(),1432,"")</f>
        <v/>
      </c>
      <c r="AL17" s="10" t="str">
        <f>IF($J$6=TRUE(),1478.8,"")</f>
        <v/>
      </c>
      <c r="AM17" s="10" t="str">
        <f>IF($J$6=TRUE(),1738.3,"")</f>
        <v/>
      </c>
      <c r="AN17" s="10" t="str">
        <f>IF($J$6=TRUE(),2036.8,"")</f>
        <v/>
      </c>
      <c r="AO17" s="10" t="str">
        <f>IF($J$6=TRUE(),2867.9,"")</f>
        <v/>
      </c>
      <c r="AP17" s="10" t="str">
        <f>IF($J$6=TRUE(),3080.6,"")</f>
        <v/>
      </c>
      <c r="AQ17" s="10" t="str">
        <f>IF($J$6=TRUE(),3257.8,"")</f>
        <v/>
      </c>
      <c r="AR17" s="10" t="str">
        <f>IF($J$6=TRUE(),3524.9,"")</f>
        <v/>
      </c>
      <c r="AS17" s="10" t="str">
        <f>IF($J$6=TRUE(),3691.1,"")</f>
        <v/>
      </c>
      <c r="AT17" s="10" t="str">
        <f>IF($J$6=TRUE(),4075.3,"")</f>
        <v/>
      </c>
      <c r="AU17" s="10" t="str">
        <f>IF($J$6=TRUE(),4648.9,"")</f>
        <v/>
      </c>
      <c r="AV17" s="10" t="str">
        <f>IF($J$6=TRUE(),4626.8,"")</f>
        <v/>
      </c>
      <c r="AW17" s="10" t="str">
        <f>IF($J$6=TRUE(),4601.8,"")</f>
        <v/>
      </c>
      <c r="AX17" s="10" t="str">
        <f>IF($J$6=TRUE(),5404.3,"")</f>
        <v/>
      </c>
      <c r="AY17" s="10" t="str">
        <f>IF($J$6=TRUE(),5103.4,"")</f>
        <v/>
      </c>
      <c r="AZ17" s="10" t="str">
        <f>IF($J$6=TRUE(),5121.5,"")</f>
        <v/>
      </c>
      <c r="BA17" s="10" t="str">
        <f>IF($J$6=TRUE(),5867.4,"")</f>
        <v/>
      </c>
      <c r="BB17" s="10" t="str">
        <f>IF($J$6=TRUE(),6584.9,"")</f>
        <v/>
      </c>
      <c r="BC17" s="10" t="str">
        <f>IF($J$6=TRUE(),7669.6,"")</f>
        <v/>
      </c>
      <c r="BD17" s="10" t="str">
        <f>IF($J$6=TRUE(),7780.9,"")</f>
        <v/>
      </c>
      <c r="BE17" s="10" t="str">
        <f>IF($J$6=TRUE(),7493.4,"")</f>
        <v/>
      </c>
      <c r="BF17" s="10" t="str">
        <f>IF($J$6=TRUE(),7147.6,"")</f>
        <v/>
      </c>
      <c r="BG17" s="10" t="str">
        <f>IF($J$6=TRUE(),7562.2,"")</f>
        <v/>
      </c>
      <c r="BH17" s="10" t="str">
        <f>IF($J$6=TRUE(),8331.2,"")</f>
        <v/>
      </c>
      <c r="BI17" s="10" t="str">
        <f>IF($J$6=TRUE(),8716,"")</f>
        <v/>
      </c>
      <c r="BJ17" s="10" t="str">
        <f>IF($J$6=TRUE(),9272.3,"")</f>
        <v/>
      </c>
      <c r="BK17" s="10" t="str">
        <f>IF($J$6=TRUE(),9785.3,"")</f>
        <v/>
      </c>
      <c r="BL17" s="10" t="str">
        <f>IF($J$6=TRUE(),10241.4,"")</f>
        <v/>
      </c>
      <c r="BM17" s="10" t="str">
        <f>IF($J$6=TRUE(),10935.6,"")</f>
        <v/>
      </c>
      <c r="BN17" s="11"/>
      <c r="BO17" s="11"/>
    </row>
    <row r="18" spans="1:67" ht="15" customHeight="1">
      <c r="A18" s="12" t="s">
        <v>209</v>
      </c>
      <c r="B18" s="13" t="str">
        <f>IF($K$6=TRUE(),331.3,"")</f>
        <v/>
      </c>
      <c r="C18" s="13" t="str">
        <f>IF($K$6=TRUE(),348.1,"")</f>
        <v/>
      </c>
      <c r="D18" s="13" t="str">
        <f>IF($K$6=TRUE(),367.8,"")</f>
        <v/>
      </c>
      <c r="E18" s="13" t="str">
        <f>IF($K$6=TRUE(),385.8,"")</f>
        <v/>
      </c>
      <c r="F18" s="13" t="str">
        <f>IF($K$6=TRUE(),417.9,"")</f>
        <v/>
      </c>
      <c r="G18" s="13" t="str">
        <f>IF($K$6=TRUE(),447,"")</f>
        <v/>
      </c>
      <c r="H18" s="13" t="str">
        <f>IF($K$6=TRUE(),502.4,"")</f>
        <v/>
      </c>
      <c r="I18" s="13" t="str">
        <f>IF($K$6=TRUE(),528,"")</f>
        <v/>
      </c>
      <c r="J18" s="13" t="str">
        <f>IF($K$6=TRUE(),574.1,"")</f>
        <v/>
      </c>
      <c r="K18" s="13" t="str">
        <f>IF($K$6=TRUE(),587.1,"")</f>
        <v/>
      </c>
      <c r="L18" s="13" t="str">
        <f>IF($K$6=TRUE(),593.4,"")</f>
        <v/>
      </c>
      <c r="M18" s="13" t="str">
        <f>IF($K$6=TRUE(),602.1,"")</f>
        <v/>
      </c>
      <c r="N18" s="13" t="str">
        <f>IF($K$6=TRUE(),664.3,"")</f>
        <v/>
      </c>
      <c r="O18" s="13" t="str">
        <f>IF($K$6=TRUE(),676.6,"")</f>
        <v/>
      </c>
      <c r="P18" s="13" t="str">
        <f>IF($K$6=TRUE(),681.6,"")</f>
        <v/>
      </c>
      <c r="Q18" s="13" t="str">
        <f>IF($K$6=TRUE(),687.6,"")</f>
        <v/>
      </c>
      <c r="R18" s="13" t="str">
        <f>IF($K$6=TRUE(),734.8,"")</f>
        <v/>
      </c>
      <c r="S18" s="13" t="str">
        <f>IF($K$6=TRUE(),739.4,"")</f>
        <v/>
      </c>
      <c r="T18" s="13" t="str">
        <f>IF($K$6=TRUE(),739.6,"")</f>
        <v/>
      </c>
      <c r="U18" s="13" t="str">
        <f>IF($K$6=TRUE(),738.5,"")</f>
        <v/>
      </c>
      <c r="V18" s="13" t="str">
        <f>IF($K$6=TRUE(),779.7,"")</f>
        <v/>
      </c>
      <c r="W18" s="13" t="str">
        <f>IF($K$6=TRUE(),786.4,"")</f>
        <v/>
      </c>
      <c r="X18" s="13" t="str">
        <f>IF($K$6=TRUE(),795.5,"")</f>
        <v/>
      </c>
      <c r="Y18" s="13" t="str">
        <f>IF($K$6=TRUE(),803.2,"")</f>
        <v/>
      </c>
      <c r="Z18" s="13" t="str">
        <f>IF($K$6=TRUE(),855.5,"")</f>
        <v/>
      </c>
      <c r="AA18" s="13" t="str">
        <f>IF($K$6=TRUE(),861.3,"")</f>
        <v/>
      </c>
      <c r="AB18" s="13" t="str">
        <f>IF($K$6=TRUE(),885.8,"")</f>
        <v/>
      </c>
      <c r="AC18" s="13" t="str">
        <f>IF($K$6=TRUE(),894.9,"")</f>
        <v/>
      </c>
      <c r="AD18" s="13" t="str">
        <f>IF($K$6=TRUE(),998.2,"")</f>
        <v/>
      </c>
      <c r="AE18" s="13" t="str">
        <f>IF($K$6=TRUE(),1113.6,"")</f>
        <v/>
      </c>
      <c r="AF18" s="13" t="str">
        <f>IF($K$6=TRUE(),1175.7,"")</f>
        <v/>
      </c>
      <c r="AG18" s="13" t="str">
        <f>IF($K$6=TRUE(),1229.2,"")</f>
        <v/>
      </c>
      <c r="AH18" s="13" t="str">
        <f>IF($K$6=TRUE(),1248.4,"")</f>
        <v/>
      </c>
      <c r="AI18" s="13" t="str">
        <f>IF($K$6=TRUE(),1319.5,"")</f>
        <v/>
      </c>
      <c r="AJ18" s="13" t="str">
        <f>IF($K$6=TRUE(),1527.2,"")</f>
        <v/>
      </c>
      <c r="AK18" s="13" t="str">
        <f>IF($K$6=TRUE(),1619.4,"")</f>
        <v/>
      </c>
      <c r="AL18" s="13" t="str">
        <f>IF($K$6=TRUE(),1704.1,"")</f>
        <v/>
      </c>
      <c r="AM18" s="13" t="str">
        <f>IF($K$6=TRUE(),1808.4,"")</f>
        <v/>
      </c>
      <c r="AN18" s="13" t="str">
        <f>IF($K$6=TRUE(),2140.9,"")</f>
        <v/>
      </c>
      <c r="AO18" s="13" t="str">
        <f>IF($K$6=TRUE(),2522.8,"")</f>
        <v/>
      </c>
      <c r="AP18" s="13" t="str">
        <f>IF($K$6=TRUE(),2634.4,"")</f>
        <v/>
      </c>
      <c r="AQ18" s="13" t="str">
        <f>IF($K$6=TRUE(),2832,"")</f>
        <v/>
      </c>
      <c r="AR18" s="13" t="str">
        <f>IF($K$6=TRUE(),3119.9,"")</f>
        <v/>
      </c>
      <c r="AS18" s="13" t="str">
        <f>IF($K$6=TRUE(),3279.2,"")</f>
        <v/>
      </c>
      <c r="AT18" s="13" t="str">
        <f>IF($K$6=TRUE(),4196.5,"")</f>
        <v/>
      </c>
      <c r="AU18" s="13" t="str">
        <f>IF($K$6=TRUE(),4543.1,"")</f>
        <v/>
      </c>
      <c r="AV18" s="13" t="str">
        <f>IF($K$6=TRUE(),4569.6,"")</f>
        <v/>
      </c>
      <c r="AW18" s="13" t="str">
        <f>IF($K$6=TRUE(),4698.9,"")</f>
        <v/>
      </c>
      <c r="AX18" s="13" t="str">
        <f>IF($K$6=TRUE(),5845.6,"")</f>
        <v/>
      </c>
      <c r="AY18" s="13" t="str">
        <f>IF($K$6=TRUE(),6040,"")</f>
        <v/>
      </c>
      <c r="AZ18" s="13" t="str">
        <f>IF($K$6=TRUE(),6411.2,"")</f>
        <v/>
      </c>
      <c r="BA18" s="13" t="str">
        <f>IF($K$6=TRUE(),6843.2,"")</f>
        <v/>
      </c>
      <c r="BB18" s="13" t="str">
        <f>IF($K$6=TRUE(),6904.6,"")</f>
        <v/>
      </c>
      <c r="BC18" s="13" t="str">
        <f>IF($K$6=TRUE(),6980.5,"")</f>
        <v/>
      </c>
      <c r="BD18" s="13" t="str">
        <f>IF($K$6=TRUE(),8284.3,"")</f>
        <v/>
      </c>
      <c r="BE18" s="13" t="str">
        <f>IF($K$6=TRUE(),8620.3,"")</f>
        <v/>
      </c>
      <c r="BF18" s="13" t="str">
        <f>IF($K$6=TRUE(),8719.4,"")</f>
        <v/>
      </c>
      <c r="BG18" s="13" t="str">
        <f>IF($K$6=TRUE(),9041.7,"")</f>
        <v/>
      </c>
      <c r="BH18" s="13" t="str">
        <f>IF($K$6=TRUE(),10834.8,"")</f>
        <v/>
      </c>
      <c r="BI18" s="13" t="str">
        <f>IF($K$6=TRUE(),11346.6,"")</f>
        <v/>
      </c>
      <c r="BJ18" s="13" t="str">
        <f>IF($K$6=TRUE(),11360.2,"")</f>
        <v/>
      </c>
      <c r="BK18" s="13" t="str">
        <f>IF($K$6=TRUE(),12151.1,"")</f>
        <v/>
      </c>
      <c r="BL18" s="13" t="str">
        <f>IF($K$6=TRUE(),12346.2,"")</f>
        <v/>
      </c>
      <c r="BM18" s="13" t="str">
        <f>IF($K$6=TRUE(),12602.1,"")</f>
        <v/>
      </c>
      <c r="BN18" s="14"/>
      <c r="BO18" s="14"/>
    </row>
    <row r="19" spans="1:67" ht="15" customHeight="1">
      <c r="A19" s="9" t="s">
        <v>178</v>
      </c>
      <c r="B19" s="10" t="str">
        <f>IF($L$6=TRUE(),299.9,"")</f>
        <v/>
      </c>
      <c r="C19" s="10" t="str">
        <f>IF($L$6=TRUE(),314.1,"")</f>
        <v/>
      </c>
      <c r="D19" s="10" t="str">
        <f>IF($L$6=TRUE(),317.8,"")</f>
        <v/>
      </c>
      <c r="E19" s="10" t="str">
        <f>IF($L$6=TRUE(),336.5,"")</f>
        <v/>
      </c>
      <c r="F19" s="10" t="str">
        <f>IF($L$6=TRUE(),357.5,"")</f>
        <v/>
      </c>
      <c r="G19" s="10" t="str">
        <f>IF($L$6=TRUE(),372,"")</f>
        <v/>
      </c>
      <c r="H19" s="10" t="str">
        <f>IF($L$6=TRUE(),408.1,"")</f>
        <v/>
      </c>
      <c r="I19" s="10" t="str">
        <f>IF($L$6=TRUE(),418.3,"")</f>
        <v/>
      </c>
      <c r="J19" s="10" t="str">
        <f>IF($L$6=TRUE(),449.9,"")</f>
        <v/>
      </c>
      <c r="K19" s="10" t="str">
        <f>IF($L$6=TRUE(),464.5,"")</f>
        <v/>
      </c>
      <c r="L19" s="10" t="str">
        <f>IF($L$6=TRUE(),485.4,"")</f>
        <v/>
      </c>
      <c r="M19" s="10" t="str">
        <f>IF($L$6=TRUE(),493,"")</f>
        <v/>
      </c>
      <c r="N19" s="10" t="str">
        <f>IF($L$6=TRUE(),530.5,"")</f>
        <v/>
      </c>
      <c r="O19" s="10" t="str">
        <f>IF($L$6=TRUE(),577.8,"")</f>
        <v/>
      </c>
      <c r="P19" s="10" t="str">
        <f>IF($L$6=TRUE(),589.2,"")</f>
        <v/>
      </c>
      <c r="Q19" s="10" t="str">
        <f>IF($L$6=TRUE(),591.7,"")</f>
        <v/>
      </c>
      <c r="R19" s="10" t="str">
        <f>IF($L$6=TRUE(),612.9,"")</f>
        <v/>
      </c>
      <c r="S19" s="10" t="str">
        <f>IF($L$6=TRUE(),616.3,"")</f>
        <v/>
      </c>
      <c r="T19" s="10" t="str">
        <f>IF($L$6=TRUE(),615.3,"")</f>
        <v/>
      </c>
      <c r="U19" s="10" t="str">
        <f>IF($L$6=TRUE(),616.8,"")</f>
        <v/>
      </c>
      <c r="V19" s="10" t="str">
        <f>IF($L$6=TRUE(),638.2,"")</f>
        <v/>
      </c>
      <c r="W19" s="10" t="str">
        <f>IF($L$6=TRUE(),645.5,"")</f>
        <v/>
      </c>
      <c r="X19" s="10" t="str">
        <f>IF($L$6=TRUE(),660.7,"")</f>
        <v/>
      </c>
      <c r="Y19" s="10" t="str">
        <f>IF($L$6=TRUE(),666.8,"")</f>
        <v/>
      </c>
      <c r="Z19" s="10" t="str">
        <f>IF($L$6=TRUE(),720.2,"")</f>
        <v/>
      </c>
      <c r="AA19" s="10" t="str">
        <f>IF($L$6=TRUE(),732.1,"")</f>
        <v/>
      </c>
      <c r="AB19" s="10" t="str">
        <f>IF($L$6=TRUE(),740,"")</f>
        <v/>
      </c>
      <c r="AC19" s="10" t="str">
        <f>IF($L$6=TRUE(),746.2,"")</f>
        <v/>
      </c>
      <c r="AD19" s="10" t="str">
        <f>IF($L$6=TRUE(),831.1,"")</f>
        <v/>
      </c>
      <c r="AE19" s="10" t="str">
        <f>IF($L$6=TRUE(),872.9,"")</f>
        <v/>
      </c>
      <c r="AF19" s="10" t="str">
        <f>IF($L$6=TRUE(),911,"")</f>
        <v/>
      </c>
      <c r="AG19" s="10" t="str">
        <f>IF($L$6=TRUE(),918,"")</f>
        <v/>
      </c>
      <c r="AH19" s="10" t="str">
        <f>IF($L$6=TRUE(),958.9,"")</f>
        <v/>
      </c>
      <c r="AI19" s="10" t="str">
        <f>IF($L$6=TRUE(),979.7,"")</f>
        <v/>
      </c>
      <c r="AJ19" s="10" t="str">
        <f>IF($L$6=TRUE(),1119.1,"")</f>
        <v/>
      </c>
      <c r="AK19" s="10" t="str">
        <f>IF($L$6=TRUE(),1248.6,"")</f>
        <v/>
      </c>
      <c r="AL19" s="10" t="str">
        <f>IF($L$6=TRUE(),1318.4,"")</f>
        <v/>
      </c>
      <c r="AM19" s="10" t="str">
        <f>IF($L$6=TRUE(),1365,"")</f>
        <v/>
      </c>
      <c r="AN19" s="10" t="str">
        <f>IF($L$6=TRUE(),1633.1,"")</f>
        <v/>
      </c>
      <c r="AO19" s="10" t="str">
        <f>IF($L$6=TRUE(),1852.3,"")</f>
        <v/>
      </c>
      <c r="AP19" s="10" t="str">
        <f>IF($L$6=TRUE(),1912.6,"")</f>
        <v/>
      </c>
      <c r="AQ19" s="10" t="str">
        <f>IF($L$6=TRUE(),2019.2,"")</f>
        <v/>
      </c>
      <c r="AR19" s="10" t="str">
        <f>IF($L$6=TRUE(),2252.6,"")</f>
        <v/>
      </c>
      <c r="AS19" s="10" t="str">
        <f>IF($L$6=TRUE(),2333.5,"")</f>
        <v/>
      </c>
      <c r="AT19" s="10" t="str">
        <f>IF($L$6=TRUE(),3016.6,"")</f>
        <v/>
      </c>
      <c r="AU19" s="10" t="str">
        <f>IF($L$6=TRUE(),3394.6,"")</f>
        <v/>
      </c>
      <c r="AV19" s="10" t="str">
        <f>IF($L$6=TRUE(),3450.8,"")</f>
        <v/>
      </c>
      <c r="AW19" s="10" t="str">
        <f>IF($L$6=TRUE(),3544.2,"")</f>
        <v/>
      </c>
      <c r="AX19" s="10" t="str">
        <f>IF($L$6=TRUE(),4185,"")</f>
        <v/>
      </c>
      <c r="AY19" s="10" t="str">
        <f>IF($L$6=TRUE(),4448.4,"")</f>
        <v/>
      </c>
      <c r="AZ19" s="10" t="str">
        <f>IF($L$6=TRUE(),4874.1,"")</f>
        <v/>
      </c>
      <c r="BA19" s="10" t="str">
        <f>IF($L$6=TRUE(),5187.2,"")</f>
        <v/>
      </c>
      <c r="BB19" s="10" t="str">
        <f>IF($L$6=TRUE(),5191.6,"")</f>
        <v/>
      </c>
      <c r="BC19" s="10" t="str">
        <f>IF($L$6=TRUE(),5457.1,"")</f>
        <v/>
      </c>
      <c r="BD19" s="10" t="str">
        <f>IF($L$6=TRUE(),6356.9,"")</f>
        <v/>
      </c>
      <c r="BE19" s="10" t="str">
        <f>IF($L$6=TRUE(),6662,"")</f>
        <v/>
      </c>
      <c r="BF19" s="10" t="str">
        <f>IF($L$6=TRUE(),7001.5,"")</f>
        <v/>
      </c>
      <c r="BG19" s="10" t="str">
        <f>IF($L$6=TRUE(),7067.3,"")</f>
        <v/>
      </c>
      <c r="BH19" s="10" t="str">
        <f>IF($L$6=TRUE(),8415.6,"")</f>
        <v/>
      </c>
      <c r="BI19" s="10" t="str">
        <f>IF($L$6=TRUE(),9053.7,"")</f>
        <v/>
      </c>
      <c r="BJ19" s="10" t="str">
        <f>IF($L$6=TRUE(),9175.6,"")</f>
        <v/>
      </c>
      <c r="BK19" s="10" t="str">
        <f>IF($L$6=TRUE(),9614.3,"")</f>
        <v/>
      </c>
      <c r="BL19" s="10" t="str">
        <f>IF($L$6=TRUE(),9879.3,"")</f>
        <v/>
      </c>
      <c r="BM19" s="10" t="str">
        <f>IF($L$6=TRUE(),10351.5,"")</f>
        <v/>
      </c>
      <c r="BN19" s="11"/>
      <c r="BO19" s="11"/>
    </row>
    <row r="20" spans="1:67" ht="15" customHeight="1">
      <c r="A20" s="12" t="s">
        <v>210</v>
      </c>
      <c r="B20" s="13" t="str">
        <f>IF($M$6=TRUE(),297.6,"")</f>
        <v/>
      </c>
      <c r="C20" s="13" t="str">
        <f>IF($M$6=TRUE(),306.3,"")</f>
        <v/>
      </c>
      <c r="D20" s="13" t="str">
        <f>IF($M$6=TRUE(),323.9,"")</f>
        <v/>
      </c>
      <c r="E20" s="13" t="str">
        <f>IF($M$6=TRUE(),344.3,"")</f>
        <v/>
      </c>
      <c r="F20" s="13" t="str">
        <f>IF($M$6=TRUE(),378.6,"")</f>
        <v/>
      </c>
      <c r="G20" s="13" t="str">
        <f>IF($M$6=TRUE(),395.9,"")</f>
        <v/>
      </c>
      <c r="H20" s="13" t="str">
        <f>IF($M$6=TRUE(),413.1,"")</f>
        <v/>
      </c>
      <c r="I20" s="13" t="str">
        <f>IF($M$6=TRUE(),430.3,"")</f>
        <v/>
      </c>
      <c r="J20" s="13" t="str">
        <f>IF($M$6=TRUE(),495.2,"")</f>
        <v/>
      </c>
      <c r="K20" s="13" t="str">
        <f>IF($M$6=TRUE(),521.4,"")</f>
        <v/>
      </c>
      <c r="L20" s="13" t="str">
        <f>IF($M$6=TRUE(),522.8,"")</f>
        <v/>
      </c>
      <c r="M20" s="13" t="str">
        <f>IF($M$6=TRUE(),522.8,"")</f>
        <v/>
      </c>
      <c r="N20" s="13" t="str">
        <f>IF($M$6=TRUE(),567.9,"")</f>
        <v/>
      </c>
      <c r="O20" s="13" t="str">
        <f>IF($M$6=TRUE(),580.9,"")</f>
        <v/>
      </c>
      <c r="P20" s="13" t="str">
        <f>IF($M$6=TRUE(),582.1,"")</f>
        <v/>
      </c>
      <c r="Q20" s="13" t="str">
        <f>IF($M$6=TRUE(),582.6,"")</f>
        <v/>
      </c>
      <c r="R20" s="13" t="str">
        <f>IF($M$6=TRUE(),600,"")</f>
        <v/>
      </c>
      <c r="S20" s="13" t="str">
        <f>IF($M$6=TRUE(),614.6,"")</f>
        <v/>
      </c>
      <c r="T20" s="13" t="str">
        <f>IF($M$6=TRUE(),626.9,"")</f>
        <v/>
      </c>
      <c r="U20" s="13" t="str">
        <f>IF($M$6=TRUE(),626.9,"")</f>
        <v/>
      </c>
      <c r="V20" s="13" t="str">
        <f>IF($M$6=TRUE(),627,"")</f>
        <v/>
      </c>
      <c r="W20" s="13" t="str">
        <f>IF($M$6=TRUE(),661.6,"")</f>
        <v/>
      </c>
      <c r="X20" s="13" t="str">
        <f>IF($M$6=TRUE(),684.5,"")</f>
        <v/>
      </c>
      <c r="Y20" s="13" t="str">
        <f>IF($M$6=TRUE(),690.8,"")</f>
        <v/>
      </c>
      <c r="Z20" s="13" t="str">
        <f>IF($M$6=TRUE(),725.3,"")</f>
        <v/>
      </c>
      <c r="AA20" s="13" t="str">
        <f>IF($M$6=TRUE(),746.1,"")</f>
        <v/>
      </c>
      <c r="AB20" s="13" t="str">
        <f>IF($M$6=TRUE(),753,"")</f>
        <v/>
      </c>
      <c r="AC20" s="13" t="str">
        <f>IF($M$6=TRUE(),759.9,"")</f>
        <v/>
      </c>
      <c r="AD20" s="13" t="str">
        <f>IF($M$6=TRUE(),843.4,"")</f>
        <v/>
      </c>
      <c r="AE20" s="13" t="str">
        <f>IF($M$6=TRUE(),927.1,"")</f>
        <v/>
      </c>
      <c r="AF20" s="13" t="str">
        <f>IF($M$6=TRUE(),1025.9,"")</f>
        <v/>
      </c>
      <c r="AG20" s="13" t="str">
        <f>IF($M$6=TRUE(),1052.4,"")</f>
        <v/>
      </c>
      <c r="AH20" s="13" t="str">
        <f>IF($M$6=TRUE(),1109.3,"")</f>
        <v/>
      </c>
      <c r="AI20" s="13" t="str">
        <f>IF($M$6=TRUE(),1227,"")</f>
        <v/>
      </c>
      <c r="AJ20" s="13" t="str">
        <f>IF($M$6=TRUE(),1404.9,"")</f>
        <v/>
      </c>
      <c r="AK20" s="13" t="str">
        <f>IF($M$6=TRUE(),1509.2,"")</f>
        <v/>
      </c>
      <c r="AL20" s="13" t="str">
        <f>IF($M$6=TRUE(),1772.2,"")</f>
        <v/>
      </c>
      <c r="AM20" s="13" t="str">
        <f>IF($M$6=TRUE(),1877,"")</f>
        <v/>
      </c>
      <c r="AN20" s="13" t="str">
        <f>IF($M$6=TRUE(),2370.6,"")</f>
        <v/>
      </c>
      <c r="AO20" s="13" t="str">
        <f>IF($M$6=TRUE(),2890.5,"")</f>
        <v/>
      </c>
      <c r="AP20" s="13" t="str">
        <f>IF($M$6=TRUE(),2965.7,"")</f>
        <v/>
      </c>
      <c r="AQ20" s="13" t="str">
        <f>IF($M$6=TRUE(),3190.9,"")</f>
        <v/>
      </c>
      <c r="AR20" s="13" t="str">
        <f>IF($M$6=TRUE(),3378.5,"")</f>
        <v/>
      </c>
      <c r="AS20" s="13" t="str">
        <f>IF($M$6=TRUE(),3538,"")</f>
        <v/>
      </c>
      <c r="AT20" s="13" t="str">
        <f>IF($M$6=TRUE(),4651.8,"")</f>
        <v/>
      </c>
      <c r="AU20" s="13" t="str">
        <f>IF($M$6=TRUE(),4900.1,"")</f>
        <v/>
      </c>
      <c r="AV20" s="13" t="str">
        <f>IF($M$6=TRUE(),4988.8,"")</f>
        <v/>
      </c>
      <c r="AW20" s="13" t="str">
        <f>IF($M$6=TRUE(),5095.3,"")</f>
        <v/>
      </c>
      <c r="AX20" s="13" t="str">
        <f>IF($M$6=TRUE(),6343.3,"")</f>
        <v/>
      </c>
      <c r="AY20" s="13" t="str">
        <f>IF($M$6=TRUE(),6562.7,"")</f>
        <v/>
      </c>
      <c r="AZ20" s="13" t="str">
        <f>IF($M$6=TRUE(),7031.6,"")</f>
        <v/>
      </c>
      <c r="BA20" s="13" t="str">
        <f>IF($M$6=TRUE(),7423.8,"")</f>
        <v/>
      </c>
      <c r="BB20" s="13" t="str">
        <f>IF($M$6=TRUE(),7545.9,"")</f>
        <v/>
      </c>
      <c r="BC20" s="13" t="str">
        <f>IF($M$6=TRUE(),7668,"")</f>
        <v/>
      </c>
      <c r="BD20" s="13" t="str">
        <f>IF($M$6=TRUE(),9101.9,"")</f>
        <v/>
      </c>
      <c r="BE20" s="13" t="str">
        <f>IF($M$6=TRUE(),9669.6,"")</f>
        <v/>
      </c>
      <c r="BF20" s="13" t="str">
        <f>IF($M$6=TRUE(),10214.2,"")</f>
        <v/>
      </c>
      <c r="BG20" s="13" t="str">
        <f>IF($M$6=TRUE(),1390.4,"")</f>
        <v/>
      </c>
      <c r="BH20" s="13" t="str">
        <f>IF($M$6=TRUE(),12800.5,"")</f>
        <v/>
      </c>
      <c r="BI20" s="13" t="str">
        <f>IF($M$6=TRUE(),13403.3,"")</f>
        <v/>
      </c>
      <c r="BJ20" s="13" t="str">
        <f>IF($M$6=TRUE(),13559.5,"")</f>
        <v/>
      </c>
      <c r="BK20" s="13" t="str">
        <f>IF($M$6=TRUE(),14026.3,"")</f>
        <v/>
      </c>
      <c r="BL20" s="13" t="str">
        <f>IF($M$6=TRUE(),14276.2,"")</f>
        <v/>
      </c>
      <c r="BM20" s="13" t="str">
        <f>IF($M$6=TRUE(),14546.5,"")</f>
        <v/>
      </c>
      <c r="BN20" s="14"/>
      <c r="BO20" s="14"/>
    </row>
    <row r="21" spans="1:67" ht="15" customHeight="1">
      <c r="A21" s="9" t="s">
        <v>211</v>
      </c>
      <c r="B21" s="10" t="str">
        <f>IF($N$6=TRUE(),342,"")</f>
        <v/>
      </c>
      <c r="C21" s="10" t="str">
        <f>IF($N$6=TRUE(),358.1,"")</f>
        <v/>
      </c>
      <c r="D21" s="10" t="str">
        <f>IF($N$6=TRUE(),380.4,"")</f>
        <v/>
      </c>
      <c r="E21" s="10" t="str">
        <f>IF($N$6=TRUE(),401.2,"")</f>
        <v/>
      </c>
      <c r="F21" s="10" t="str">
        <f>IF($N$6=TRUE(),434.3,"")</f>
        <v/>
      </c>
      <c r="G21" s="10" t="str">
        <f>IF($N$6=TRUE(),463,"")</f>
        <v/>
      </c>
      <c r="H21" s="10" t="str">
        <f>IF($N$6=TRUE(),519,"")</f>
        <v/>
      </c>
      <c r="I21" s="10" t="str">
        <f>IF($N$6=TRUE(),545.9,"")</f>
        <v/>
      </c>
      <c r="J21" s="10" t="str">
        <f>IF($N$6=TRUE(),591.5,"")</f>
        <v/>
      </c>
      <c r="K21" s="10" t="str">
        <f>IF($N$6=TRUE(),607.5,"")</f>
        <v/>
      </c>
      <c r="L21" s="10" t="str">
        <f>IF($N$6=TRUE(),618.7,"")</f>
        <v/>
      </c>
      <c r="M21" s="10" t="str">
        <f>IF($N$6=TRUE(),629.9,"")</f>
        <v/>
      </c>
      <c r="N21" s="10" t="str">
        <f>IF($N$6=TRUE(),695.4,"")</f>
        <v/>
      </c>
      <c r="O21" s="10" t="str">
        <f>IF($N$6=TRUE(),709.8,"")</f>
        <v/>
      </c>
      <c r="P21" s="10" t="str">
        <f>IF($N$6=TRUE(),714.9,"")</f>
        <v/>
      </c>
      <c r="Q21" s="10" t="str">
        <f>IF($N$6=TRUE(),721.5,"")</f>
        <v/>
      </c>
      <c r="R21" s="10" t="str">
        <f>IF($N$6=TRUE(),770.5,"")</f>
        <v/>
      </c>
      <c r="S21" s="10" t="str">
        <f>IF($N$6=TRUE(),774.5,"")</f>
        <v/>
      </c>
      <c r="T21" s="10" t="str">
        <f>IF($N$6=TRUE(),774.6,"")</f>
        <v/>
      </c>
      <c r="U21" s="10" t="str">
        <f>IF($N$6=TRUE(),775,"")</f>
        <v/>
      </c>
      <c r="V21" s="10" t="str">
        <f>IF($N$6=TRUE(),815.4,"")</f>
        <v/>
      </c>
      <c r="W21" s="10" t="str">
        <f>IF($N$6=TRUE(),823.2,"")</f>
        <v/>
      </c>
      <c r="X21" s="10" t="str">
        <f>IF($N$6=TRUE(),830.9,"")</f>
        <v/>
      </c>
      <c r="Y21" s="10" t="str">
        <f>IF($N$6=TRUE(),838.6,"")</f>
        <v/>
      </c>
      <c r="Z21" s="10" t="str">
        <f>IF($N$6=TRUE(),890.5,"")</f>
        <v/>
      </c>
      <c r="AA21" s="10" t="str">
        <f>IF($N$6=TRUE(),891.2,"")</f>
        <v/>
      </c>
      <c r="AB21" s="10" t="str">
        <f>IF($N$6=TRUE(),915.3,"")</f>
        <v/>
      </c>
      <c r="AC21" s="10" t="str">
        <f>IF($N$6=TRUE(),923.6,"")</f>
        <v/>
      </c>
      <c r="AD21" s="10" t="str">
        <f>IF($N$6=TRUE(),1026.4,"")</f>
        <v/>
      </c>
      <c r="AE21" s="10" t="str">
        <f>IF($N$6=TRUE(),1157.4,"")</f>
        <v/>
      </c>
      <c r="AF21" s="10" t="str">
        <f>IF($N$6=TRUE(),1220,"")</f>
        <v/>
      </c>
      <c r="AG21" s="10" t="str">
        <f>IF($N$6=TRUE(),1279.7,"")</f>
        <v/>
      </c>
      <c r="AH21" s="10" t="str">
        <f>IF($N$6=TRUE(),1298.6,"")</f>
        <v/>
      </c>
      <c r="AI21" s="10" t="str">
        <f>IF($N$6=TRUE(),1386.3,"")</f>
        <v/>
      </c>
      <c r="AJ21" s="10" t="str">
        <f>IF($N$6=TRUE(),1599.6,"")</f>
        <v/>
      </c>
      <c r="AK21" s="10" t="str">
        <f>IF($N$6=TRUE(),1707.7,"")</f>
        <v/>
      </c>
      <c r="AL21" s="10" t="str">
        <f>IF($N$6=TRUE(),1802.3,"")</f>
        <v/>
      </c>
      <c r="AM21" s="10" t="str">
        <f>IF($N$6=TRUE(),1908.2,"")</f>
        <v/>
      </c>
      <c r="AN21" s="10" t="str">
        <f>IF($N$6=TRUE(),2257.7,"")</f>
        <v/>
      </c>
      <c r="AO21" s="10" t="str">
        <f>IF($N$6=TRUE(),2630.7,"")</f>
        <v/>
      </c>
      <c r="AP21" s="10" t="str">
        <f>IF($N$6=TRUE(),2744.2,"")</f>
        <v/>
      </c>
      <c r="AQ21" s="10" t="str">
        <f>IF($N$6=TRUE(),2982.7,"")</f>
        <v/>
      </c>
      <c r="AR21" s="10" t="str">
        <f>IF($N$6=TRUE(),3292.7,"")</f>
        <v/>
      </c>
      <c r="AS21" s="10" t="str">
        <f>IF($N$6=TRUE(),3479.9,"")</f>
        <v/>
      </c>
      <c r="AT21" s="10" t="str">
        <f>IF($N$6=TRUE(),4490,"")</f>
        <v/>
      </c>
      <c r="AU21" s="10" t="str">
        <f>IF($N$6=TRUE(),4867,"")</f>
        <v/>
      </c>
      <c r="AV21" s="10" t="str">
        <f>IF($N$6=TRUE(),4915.4,"")</f>
        <v/>
      </c>
      <c r="AW21" s="10" t="str">
        <f>IF($N$6=TRUE(),5083.5,"")</f>
        <v/>
      </c>
      <c r="AX21" s="10" t="str">
        <f>IF($N$6=TRUE(),6332.5,"")</f>
        <v/>
      </c>
      <c r="AY21" s="10" t="str">
        <f>IF($N$6=TRUE(),6533.5,"")</f>
        <v/>
      </c>
      <c r="AZ21" s="10" t="str">
        <f>IF($N$6=TRUE(),6965.5,"")</f>
        <v/>
      </c>
      <c r="BA21" s="10" t="str">
        <f>IF($N$6=TRUE(),7406.8,"")</f>
        <v/>
      </c>
      <c r="BB21" s="10" t="str">
        <f>IF($N$6=TRUE(),7407.2,"")</f>
        <v/>
      </c>
      <c r="BC21" s="10" t="str">
        <f>IF($N$6=TRUE(),7407.6,"")</f>
        <v/>
      </c>
      <c r="BD21" s="10" t="str">
        <f>IF($N$6=TRUE(),8900.5,"")</f>
        <v/>
      </c>
      <c r="BE21" s="10" t="str">
        <f>IF($N$6=TRUE(),9341.4,"")</f>
        <v/>
      </c>
      <c r="BF21" s="10" t="str">
        <f>IF($N$6=TRUE(),9458.6,"")</f>
        <v/>
      </c>
      <c r="BG21" s="10" t="str">
        <f>IF($N$6=TRUE(),9771.6,"")</f>
        <v/>
      </c>
      <c r="BH21" s="10" t="str">
        <f>IF($N$6=TRUE(),11739.5,"")</f>
        <v/>
      </c>
      <c r="BI21" s="10" t="str">
        <f>IF($N$6=TRUE(),12349.2,"")</f>
        <v/>
      </c>
      <c r="BJ21" s="10" t="str">
        <f>IF($N$6=TRUE(),12354,"")</f>
        <v/>
      </c>
      <c r="BK21" s="10" t="str">
        <f>IF($N$6=TRUE(),13234.4,"")</f>
        <v/>
      </c>
      <c r="BL21" s="10" t="str">
        <f>IF($N$6=TRUE(),13411.2,"")</f>
        <v/>
      </c>
      <c r="BM21" s="10" t="str">
        <f>IF($N$6=TRUE(),13630.6,"")</f>
        <v/>
      </c>
      <c r="BN21" s="11"/>
      <c r="BO21" s="11"/>
    </row>
    <row r="22" spans="1:67" ht="15" customHeight="1">
      <c r="A22" s="12" t="s">
        <v>212</v>
      </c>
      <c r="B22" s="13" t="str">
        <f>IF($O$6=TRUE(),308,"")</f>
        <v/>
      </c>
      <c r="C22" s="13" t="str">
        <f>IF($O$6=TRUE(),308,"")</f>
        <v/>
      </c>
      <c r="D22" s="13" t="str">
        <f>IF($O$6=TRUE(),300.2,"")</f>
        <v/>
      </c>
      <c r="E22" s="13" t="str">
        <f>IF($O$6=TRUE(),305.8,"")</f>
        <v/>
      </c>
      <c r="F22" s="13" t="str">
        <f>IF($O$6=TRUE(),305.8,"")</f>
        <v/>
      </c>
      <c r="G22" s="13" t="str">
        <f>IF($O$6=TRUE(),321.1,"")</f>
        <v/>
      </c>
      <c r="H22" s="13" t="str">
        <f>IF($O$6=TRUE(),321.1,"")</f>
        <v/>
      </c>
      <c r="I22" s="13" t="str">
        <f>IF($O$6=TRUE(),321.1,"")</f>
        <v/>
      </c>
      <c r="J22" s="13" t="str">
        <f>IF($O$6=TRUE(),353.2,"")</f>
        <v/>
      </c>
      <c r="K22" s="13" t="str">
        <f>IF($O$6=TRUE(),369.3,"")</f>
        <v/>
      </c>
      <c r="L22" s="13" t="str">
        <f>IF($O$6=TRUE(),369.3,"")</f>
        <v/>
      </c>
      <c r="M22" s="13" t="str">
        <f>IF($O$6=TRUE(),369.3,"")</f>
        <v/>
      </c>
      <c r="N22" s="13" t="str">
        <f>IF($O$6=TRUE(),369.3,"")</f>
        <v/>
      </c>
      <c r="O22" s="13" t="str">
        <f>IF($O$6=TRUE(),369.3,"")</f>
        <v/>
      </c>
      <c r="P22" s="13" t="str">
        <f t="shared" ref="P22:Y22" si="0">IF($O$6=TRUE(),376.7,"")</f>
        <v/>
      </c>
      <c r="Q22" s="13" t="str">
        <f t="shared" si="0"/>
        <v/>
      </c>
      <c r="R22" s="13" t="str">
        <f t="shared" si="0"/>
        <v/>
      </c>
      <c r="S22" s="13" t="str">
        <f t="shared" si="0"/>
        <v/>
      </c>
      <c r="T22" s="13" t="str">
        <f t="shared" si="0"/>
        <v/>
      </c>
      <c r="U22" s="13" t="str">
        <f t="shared" si="0"/>
        <v/>
      </c>
      <c r="V22" s="13" t="str">
        <f t="shared" si="0"/>
        <v/>
      </c>
      <c r="W22" s="13" t="str">
        <f t="shared" si="0"/>
        <v/>
      </c>
      <c r="X22" s="13" t="str">
        <f t="shared" si="0"/>
        <v/>
      </c>
      <c r="Y22" s="13" t="str">
        <f t="shared" si="0"/>
        <v/>
      </c>
      <c r="Z22" s="13" t="str">
        <f>IF($O$6=TRUE(),433.2,"")</f>
        <v/>
      </c>
      <c r="AA22" s="13" t="str">
        <f>IF($O$6=TRUE(),459.6,"")</f>
        <v/>
      </c>
      <c r="AB22" s="13" t="str">
        <f>IF($O$6=TRUE(),459.6,"")</f>
        <v/>
      </c>
      <c r="AC22" s="13" t="str">
        <f>IF($O$6=TRUE(),459.6,"")</f>
        <v/>
      </c>
      <c r="AD22" s="13" t="str">
        <f>IF($O$6=TRUE(),542.3,"")</f>
        <v/>
      </c>
      <c r="AE22" s="13" t="str">
        <f>IF($O$6=TRUE(),726.1,"")</f>
        <v/>
      </c>
      <c r="AF22" s="13" t="str">
        <f>IF($O$6=TRUE(),785.8,"")</f>
        <v/>
      </c>
      <c r="AG22" s="13" t="str">
        <f>IF($O$6=TRUE(),804.2,"")</f>
        <v/>
      </c>
      <c r="AH22" s="13" t="str">
        <f>IF($O$6=TRUE(),827.2,"")</f>
        <v/>
      </c>
      <c r="AI22" s="13" t="str">
        <f>IF($O$6=TRUE(),891.5,"")</f>
        <v/>
      </c>
      <c r="AJ22" s="13" t="str">
        <f>IF($O$6=TRUE(),1025.3,"")</f>
        <v/>
      </c>
      <c r="AK22" s="13" t="str">
        <f>IF($O$6=TRUE(),1150.1,"")</f>
        <v/>
      </c>
      <c r="AL22" s="13" t="str">
        <f>IF($O$6=TRUE(),1203.6,"")</f>
        <v/>
      </c>
      <c r="AM22" s="13" t="str">
        <f>IF($O$6=TRUE(),1248.2,"")</f>
        <v/>
      </c>
      <c r="AN22" s="13" t="str">
        <f>IF($O$6=TRUE(),1597.6,"")</f>
        <v/>
      </c>
      <c r="AO22" s="13" t="str">
        <f>IF($O$6=TRUE(),1747.4,"")</f>
        <v/>
      </c>
      <c r="AP22" s="13" t="str">
        <f>IF($O$6=TRUE(),1809.8,"")</f>
        <v/>
      </c>
      <c r="AQ22" s="13" t="str">
        <f>IF($O$6=TRUE(),2084.4,"")</f>
        <v/>
      </c>
      <c r="AR22" s="13" t="str">
        <f>IF($O$6=TRUE(),1879.8,"")</f>
        <v/>
      </c>
      <c r="AS22" s="13" t="str">
        <f>IF($O$6=TRUE(),1879.8,"")</f>
        <v/>
      </c>
      <c r="AT22" s="13" t="str">
        <f>IF($O$6=TRUE(),2168.9,"")</f>
        <v/>
      </c>
      <c r="AU22" s="13" t="str">
        <f>IF($O$6=TRUE(),2546.9,"")</f>
        <v/>
      </c>
      <c r="AV22" s="13" t="str">
        <f>IF($O$6=TRUE(),2623.7,"")</f>
        <v/>
      </c>
      <c r="AW22" s="13" t="str">
        <f>IF($O$6=TRUE(),2784.4,"")</f>
        <v/>
      </c>
      <c r="AX22" s="13" t="str">
        <f>IF($O$6=TRUE(),3340.4,"")</f>
        <v/>
      </c>
      <c r="AY22" s="13" t="str">
        <f>IF($O$6=TRUE(),3480.5,"")</f>
        <v/>
      </c>
      <c r="AZ22" s="13" t="str">
        <f>IF($O$6=TRUE(),3838,"")</f>
        <v/>
      </c>
      <c r="BA22" s="13" t="str">
        <f>IF($O$6=TRUE(),4162.1,"")</f>
        <v/>
      </c>
      <c r="BB22" s="13" t="str">
        <f>IF($O$6=TRUE(),4202.2,"")</f>
        <v/>
      </c>
      <c r="BC22" s="13" t="str">
        <f>IF($O$6=TRUE(),4675.5,"")</f>
        <v/>
      </c>
      <c r="BD22" s="13" t="str">
        <f>IF($O$6=TRUE(),5423.6,"")</f>
        <v/>
      </c>
      <c r="BE22" s="13" t="str">
        <f>IF($O$6=TRUE(),5634,"")</f>
        <v/>
      </c>
      <c r="BF22" s="13" t="str">
        <f>IF($O$6=TRUE(),5913.4,"")</f>
        <v/>
      </c>
      <c r="BG22" s="13" t="str">
        <f>IF($O$6=TRUE(),6201,"")</f>
        <v/>
      </c>
      <c r="BH22" s="13" t="str">
        <f>IF($O$6=TRUE(),7359.7,"")</f>
        <v/>
      </c>
      <c r="BI22" s="13" t="str">
        <f>IF($O$6=TRUE(),8131.6,"")</f>
        <v/>
      </c>
      <c r="BJ22" s="13" t="str">
        <f>IF($O$6=TRUE(),8167.1,"")</f>
        <v/>
      </c>
      <c r="BK22" s="13" t="str">
        <f>IF($O$6=TRUE(),8458.5,"")</f>
        <v/>
      </c>
      <c r="BL22" s="13" t="str">
        <f>IF($O$6=TRUE(),8553.1,"")</f>
        <v/>
      </c>
      <c r="BM22" s="13" t="str">
        <f>IF($O$6=TRUE(),8553.1,"")</f>
        <v/>
      </c>
      <c r="BN22" s="14"/>
      <c r="BO22" s="14"/>
    </row>
    <row r="23" spans="1:67" ht="15" customHeight="1">
      <c r="A23" s="9" t="s">
        <v>213</v>
      </c>
      <c r="B23" s="10" t="str">
        <f>IF($P$6=TRUE(),415.8,"")</f>
        <v/>
      </c>
      <c r="C23" s="10" t="str">
        <f>IF($P$6=TRUE(),415.8,"")</f>
        <v/>
      </c>
      <c r="D23" s="10" t="str">
        <f>IF($P$6=TRUE(),422.7,"")</f>
        <v/>
      </c>
      <c r="E23" s="10" t="str">
        <f>IF($P$6=TRUE(),423.5,"")</f>
        <v/>
      </c>
      <c r="F23" s="10" t="str">
        <f>IF($P$6=TRUE(),491.3,"")</f>
        <v/>
      </c>
      <c r="G23" s="10" t="str">
        <f>IF($P$6=TRUE(),508.2,"")</f>
        <v/>
      </c>
      <c r="H23" s="10" t="str">
        <f>IF($P$6=TRUE(),706,"")</f>
        <v/>
      </c>
      <c r="I23" s="10" t="str">
        <f>IF($P$6=TRUE(),729.6,"")</f>
        <v/>
      </c>
      <c r="J23" s="10" t="str">
        <f>IF($P$6=TRUE(),729.6,"")</f>
        <v/>
      </c>
      <c r="K23" s="10" t="str">
        <f>IF($P$6=TRUE(),729.6,"")</f>
        <v/>
      </c>
      <c r="L23" s="10" t="str">
        <f>IF($P$6=TRUE(),744.2,"")</f>
        <v/>
      </c>
      <c r="M23" s="10" t="str">
        <f>IF($P$6=TRUE(),780.7,"")</f>
        <v/>
      </c>
      <c r="N23" s="10" t="str">
        <f>IF($P$6=TRUE(),936.8,"")</f>
        <v/>
      </c>
      <c r="O23" s="10" t="str">
        <f>IF($P$6=TRUE(),938.8,"")</f>
        <v/>
      </c>
      <c r="P23" s="10" t="str">
        <f>IF($P$6=TRUE(),875.8,"")</f>
        <v/>
      </c>
      <c r="Q23" s="10" t="str">
        <f>IF($P$6=TRUE(),875.8,"")</f>
        <v/>
      </c>
      <c r="R23" s="10" t="str">
        <f>IF($P$6=TRUE(),859.4,"")</f>
        <v/>
      </c>
      <c r="S23" s="10" t="str">
        <f>IF($P$6=TRUE(),875.8,"")</f>
        <v/>
      </c>
      <c r="T23" s="10" t="str">
        <f>IF($P$6=TRUE(),832.9,"")</f>
        <v/>
      </c>
      <c r="U23" s="10" t="str">
        <f>IF($P$6=TRUE(),823.7,"")</f>
        <v/>
      </c>
      <c r="V23" s="10" t="str">
        <f>IF($P$6=TRUE(),830.1,"")</f>
        <v/>
      </c>
      <c r="W23" s="10" t="str">
        <f>IF($P$6=TRUE(),845.3,"")</f>
        <v/>
      </c>
      <c r="X23" s="10" t="str">
        <f>IF($P$6=TRUE(),829.9,"")</f>
        <v/>
      </c>
      <c r="Y23" s="10" t="str">
        <f>IF($P$6=TRUE(),836,"")</f>
        <v/>
      </c>
      <c r="Z23" s="10" t="str">
        <f>IF($P$6=TRUE(),847.7,"")</f>
        <v/>
      </c>
      <c r="AA23" s="10" t="str">
        <f>IF($P$6=TRUE(),862.6,"")</f>
        <v/>
      </c>
      <c r="AB23" s="10" t="str">
        <f>IF($P$6=TRUE(),955.2,"")</f>
        <v/>
      </c>
      <c r="AC23" s="10" t="str">
        <f>IF($P$6=TRUE(),1043,"")</f>
        <v/>
      </c>
      <c r="AD23" s="10" t="str">
        <f>IF($P$6=TRUE(),1183.8,"")</f>
        <v/>
      </c>
      <c r="AE23" s="10" t="str">
        <f>IF($P$6=TRUE(),1392.4,"")</f>
        <v/>
      </c>
      <c r="AF23" s="10" t="str">
        <f>IF($P$6=TRUE(),1629.6,"")</f>
        <v/>
      </c>
      <c r="AG23" s="10" t="str">
        <f>IF($P$6=TRUE(),1887.8,"")</f>
        <v/>
      </c>
      <c r="AH23" s="10" t="str">
        <f>IF($P$6=TRUE(),1624.4,"")</f>
        <v/>
      </c>
      <c r="AI23" s="10" t="str">
        <f>IF($P$6=TRUE(),1569.7,"")</f>
        <v/>
      </c>
      <c r="AJ23" s="10" t="str">
        <f>IF($P$6=TRUE(),1833,"")</f>
        <v/>
      </c>
      <c r="AK23" s="10" t="str">
        <f>IF($P$6=TRUE(),1779.6,"")</f>
        <v/>
      </c>
      <c r="AL23" s="10" t="str">
        <f>IF($P$6=TRUE(),1835.7,"")</f>
        <v/>
      </c>
      <c r="AM23" s="10" t="str">
        <f>IF($P$6=TRUE(),1893,"")</f>
        <v/>
      </c>
      <c r="AN23" s="10" t="str">
        <f>IF($P$6=TRUE(),2527.2,"")</f>
        <v/>
      </c>
      <c r="AO23" s="10" t="str">
        <f>IF($P$6=TRUE(),2626.6,"")</f>
        <v/>
      </c>
      <c r="AP23" s="10" t="str">
        <f>IF($P$6=TRUE(),2877.4,"")</f>
        <v/>
      </c>
      <c r="AQ23" s="10" t="str">
        <f>IF($P$6=TRUE(),3237.1,"")</f>
        <v/>
      </c>
      <c r="AR23" s="10" t="str">
        <f>IF($P$6=TRUE(),3596.7,"")</f>
        <v/>
      </c>
      <c r="AS23" s="10" t="str">
        <f>IF($P$6=TRUE(),3748.2,"")</f>
        <v/>
      </c>
      <c r="AT23" s="10" t="str">
        <f>IF($P$6=TRUE(),4144.5,"")</f>
        <v/>
      </c>
      <c r="AU23" s="10" t="str">
        <f>IF($P$6=TRUE(),4179.2,"")</f>
        <v/>
      </c>
      <c r="AV23" s="10" t="str">
        <f>IF($P$6=TRUE(),4319.8,"")</f>
        <v/>
      </c>
      <c r="AW23" s="10" t="str">
        <f>IF($P$6=TRUE(),4319.8,"")</f>
        <v/>
      </c>
      <c r="AX23" s="10" t="str">
        <f>IF($P$6=TRUE(),5302.6,"")</f>
        <v/>
      </c>
      <c r="AY23" s="10" t="str">
        <f>IF($P$6=TRUE(),5302.5,"")</f>
        <v/>
      </c>
      <c r="AZ23" s="10" t="str">
        <f>IF($P$6=TRUE(),5299.3,"")</f>
        <v/>
      </c>
      <c r="BA23" s="10" t="str">
        <f>IF($P$6=TRUE(),5368.4,"")</f>
        <v/>
      </c>
      <c r="BB23" s="10" t="str">
        <f>IF($P$6=TRUE(),5655.7,"")</f>
        <v/>
      </c>
      <c r="BC23" s="10" t="str">
        <f>IF($P$6=TRUE(),5940.8,"")</f>
        <v/>
      </c>
      <c r="BD23" s="10" t="str">
        <f>IF($P$6=TRUE(),5954.1,"")</f>
        <v/>
      </c>
      <c r="BE23" s="10" t="str">
        <f>IF($P$6=TRUE(),5881.4,"")</f>
        <v/>
      </c>
      <c r="BF23" s="10" t="str">
        <f>IF($P$6=TRUE(),6196.2,"")</f>
        <v/>
      </c>
      <c r="BG23" s="10" t="str">
        <f>IF($P$6=TRUE(),6209.6,"")</f>
        <v/>
      </c>
      <c r="BH23" s="10" t="str">
        <f>IF($P$6=TRUE(),6464.2,"")</f>
        <v/>
      </c>
      <c r="BI23" s="10" t="str">
        <f>IF($P$6=TRUE(),6495.2,"")</f>
        <v/>
      </c>
      <c r="BJ23" s="10" t="str">
        <f>IF($P$6=TRUE(),6976.5,"")</f>
        <v/>
      </c>
      <c r="BK23" s="10" t="str">
        <f>IF($P$6=TRUE(),8120.6,"")</f>
        <v/>
      </c>
      <c r="BL23" s="10" t="str">
        <f>IF($P$6=TRUE(),8542.8,"")</f>
        <v/>
      </c>
      <c r="BM23" s="10" t="str">
        <f>IF($P$6=TRUE(),8542.8,"")</f>
        <v/>
      </c>
      <c r="BN23" s="11"/>
      <c r="BO23" s="11"/>
    </row>
    <row r="24" spans="1:67" ht="15" customHeight="1">
      <c r="A24" s="12" t="s">
        <v>214</v>
      </c>
      <c r="B24" s="14"/>
      <c r="C24" s="14"/>
      <c r="D24" s="14"/>
      <c r="E24" s="14"/>
      <c r="F24" s="14"/>
      <c r="G24" s="14"/>
      <c r="H24" s="14"/>
      <c r="I24" s="14"/>
      <c r="J24" s="13" t="str">
        <f t="shared" ref="J24:AC24" si="1">IF($Q$6=TRUE(),350,"")</f>
        <v/>
      </c>
      <c r="K24" s="13" t="str">
        <f t="shared" si="1"/>
        <v/>
      </c>
      <c r="L24" s="13" t="str">
        <f t="shared" si="1"/>
        <v/>
      </c>
      <c r="M24" s="13" t="str">
        <f t="shared" si="1"/>
        <v/>
      </c>
      <c r="N24" s="13" t="str">
        <f t="shared" si="1"/>
        <v/>
      </c>
      <c r="O24" s="13" t="str">
        <f t="shared" si="1"/>
        <v/>
      </c>
      <c r="P24" s="13" t="str">
        <f t="shared" si="1"/>
        <v/>
      </c>
      <c r="Q24" s="13" t="str">
        <f t="shared" si="1"/>
        <v/>
      </c>
      <c r="R24" s="13" t="str">
        <f t="shared" si="1"/>
        <v/>
      </c>
      <c r="S24" s="13" t="str">
        <f t="shared" si="1"/>
        <v/>
      </c>
      <c r="T24" s="13" t="str">
        <f t="shared" si="1"/>
        <v/>
      </c>
      <c r="U24" s="13" t="str">
        <f t="shared" si="1"/>
        <v/>
      </c>
      <c r="V24" s="13" t="str">
        <f t="shared" si="1"/>
        <v/>
      </c>
      <c r="W24" s="13" t="str">
        <f t="shared" si="1"/>
        <v/>
      </c>
      <c r="X24" s="13" t="str">
        <f t="shared" si="1"/>
        <v/>
      </c>
      <c r="Y24" s="13" t="str">
        <f t="shared" si="1"/>
        <v/>
      </c>
      <c r="Z24" s="13" t="str">
        <f t="shared" si="1"/>
        <v/>
      </c>
      <c r="AA24" s="13" t="str">
        <f t="shared" si="1"/>
        <v/>
      </c>
      <c r="AB24" s="13" t="str">
        <f t="shared" si="1"/>
        <v/>
      </c>
      <c r="AC24" s="13" t="str">
        <f t="shared" si="1"/>
        <v/>
      </c>
      <c r="AD24" s="13" t="str">
        <f>IF($Q$6=TRUE(),351,"")</f>
        <v/>
      </c>
      <c r="AE24" s="13" t="str">
        <f>IF($Q$6=TRUE(),352,"")</f>
        <v/>
      </c>
      <c r="AF24" s="13" t="str">
        <f>IF($Q$6=TRUE(),353,"")</f>
        <v/>
      </c>
      <c r="AG24" s="13" t="str">
        <f>IF($Q$6=TRUE(),354,"")</f>
        <v/>
      </c>
      <c r="AH24" s="13" t="str">
        <f>IF($Q$6=TRUE(),354,"")</f>
        <v/>
      </c>
      <c r="AI24" s="13" t="str">
        <f>IF($Q$6=TRUE(),355,"")</f>
        <v/>
      </c>
      <c r="AJ24" s="13" t="str">
        <f>IF($Q$6=TRUE(),356,"")</f>
        <v/>
      </c>
      <c r="AK24" s="13" t="str">
        <f>IF($Q$6=TRUE(),357,"")</f>
        <v/>
      </c>
      <c r="AL24" s="13" t="str">
        <f>IF($Q$6=TRUE(),358,"")</f>
        <v/>
      </c>
      <c r="AM24" s="13" t="str">
        <f>IF($Q$6=TRUE(),359,"")</f>
        <v/>
      </c>
      <c r="AN24" s="13" t="str">
        <f>IF($Q$6=TRUE(),360,"")</f>
        <v/>
      </c>
      <c r="AO24" s="13" t="str">
        <f>IF($Q$6=TRUE(),361,"")</f>
        <v/>
      </c>
      <c r="AP24" s="13" t="str">
        <f>IF($Q$6=TRUE(),362,"")</f>
        <v/>
      </c>
      <c r="AQ24" s="13" t="str">
        <f>IF($Q$6=TRUE(),364,"")</f>
        <v/>
      </c>
      <c r="AR24" s="13" t="str">
        <f>IF($Q$6=TRUE(),365,"")</f>
        <v/>
      </c>
      <c r="AS24" s="13" t="str">
        <f>IF($Q$6=TRUE(),366,"")</f>
        <v/>
      </c>
      <c r="AT24" s="13" t="str">
        <f>IF($Q$6=TRUE(),367,"")</f>
        <v/>
      </c>
      <c r="AU24" s="13" t="str">
        <f>IF($Q$6=TRUE(),368,"")</f>
        <v/>
      </c>
      <c r="AV24" s="13" t="str">
        <f>IF($Q$6=TRUE(),369,"")</f>
        <v/>
      </c>
      <c r="AW24" s="13" t="str">
        <f>IF($Q$6=TRUE(),370,"")</f>
        <v/>
      </c>
      <c r="AX24" s="13" t="str">
        <f>IF($Q$6=TRUE(),371,"")</f>
        <v/>
      </c>
      <c r="AY24" s="13" t="str">
        <f>IF($Q$6=TRUE(),372,"")</f>
        <v/>
      </c>
      <c r="AZ24" s="13" t="str">
        <f>IF($Q$6=TRUE(),373,"")</f>
        <v/>
      </c>
      <c r="BA24" s="13" t="str">
        <f>IF($Q$6=TRUE(),374,"")</f>
        <v/>
      </c>
      <c r="BB24" s="13" t="str">
        <f>IF($Q$6=TRUE(),374,"")</f>
        <v/>
      </c>
      <c r="BC24" s="13" t="str">
        <f>IF($Q$6=TRUE(),374,"")</f>
        <v/>
      </c>
      <c r="BD24" s="13" t="str">
        <f>IF($Q$6=TRUE(),375,"")</f>
        <v/>
      </c>
      <c r="BE24" s="13" t="str">
        <f>IF($Q$6=TRUE(),376,"")</f>
        <v/>
      </c>
      <c r="BF24" s="13" t="str">
        <f>IF($Q$6=TRUE(),377,"")</f>
        <v/>
      </c>
      <c r="BG24" s="13" t="str">
        <f>IF($Q$6=TRUE(),378,"")</f>
        <v/>
      </c>
      <c r="BH24" s="13" t="str">
        <f>IF($Q$6=TRUE(),379,"")</f>
        <v/>
      </c>
      <c r="BI24" s="13" t="str">
        <f>IF($Q$6=TRUE(),380,"")</f>
        <v/>
      </c>
      <c r="BJ24" s="13" t="str">
        <f>IF($Q$6=TRUE(),381,"")</f>
        <v/>
      </c>
      <c r="BK24" s="13" t="str">
        <f>IF($Q$6=TRUE(),382,"")</f>
        <v/>
      </c>
      <c r="BL24" s="13" t="str">
        <f>IF($Q$6=TRUE(),382,"")</f>
        <v/>
      </c>
      <c r="BM24" s="13" t="str">
        <f>IF($Q$6=TRUE(),382,"")</f>
        <v/>
      </c>
      <c r="BN24" s="14"/>
      <c r="BO24" s="14"/>
    </row>
    <row r="25" spans="1:67" ht="15" customHeight="1">
      <c r="A25" s="9" t="s">
        <v>215</v>
      </c>
      <c r="B25" s="11"/>
      <c r="C25" s="11"/>
      <c r="D25" s="11"/>
      <c r="E25" s="11"/>
      <c r="F25" s="11"/>
      <c r="G25" s="11"/>
      <c r="H25" s="11"/>
      <c r="I25" s="11"/>
      <c r="J25" s="10" t="str">
        <f>IF($R$6=TRUE(),455.8,"")</f>
        <v/>
      </c>
      <c r="K25" s="10" t="str">
        <f>IF($R$6=TRUE(),455.8,"")</f>
        <v/>
      </c>
      <c r="L25" s="10" t="str">
        <f>IF($R$6=TRUE(),455.8,"")</f>
        <v/>
      </c>
      <c r="M25" s="10" t="str">
        <f>IF($R$6=TRUE(),455.8,"")</f>
        <v/>
      </c>
      <c r="N25" s="10" t="str">
        <f>IF($R$6=TRUE(),560.6,"")</f>
        <v/>
      </c>
      <c r="O25" s="10" t="str">
        <f>IF($R$6=TRUE(),560.6,"")</f>
        <v/>
      </c>
      <c r="P25" s="10" t="str">
        <f>IF($R$6=TRUE(),592.5,"")</f>
        <v/>
      </c>
      <c r="Q25" s="10" t="str">
        <f>IF($R$6=TRUE(),592.5,"")</f>
        <v/>
      </c>
      <c r="R25" s="10" t="str">
        <f>IF($R$6=TRUE(),632.8,"")</f>
        <v/>
      </c>
      <c r="S25" s="10" t="str">
        <f>IF($R$6=TRUE(),632.8,"")</f>
        <v/>
      </c>
      <c r="T25" s="10" t="str">
        <f>IF($R$6=TRUE(),592.5,"")</f>
        <v/>
      </c>
      <c r="U25" s="10" t="str">
        <f>IF($R$6=TRUE(),592.5,"")</f>
        <v/>
      </c>
      <c r="V25" s="10" t="str">
        <f>IF($R$6=TRUE(),614.5,"")</f>
        <v/>
      </c>
      <c r="W25" s="10" t="str">
        <f>IF($R$6=TRUE(),628.7,"")</f>
        <v/>
      </c>
      <c r="X25" s="10" t="str">
        <f>IF($R$6=TRUE(),734.7,"")</f>
        <v/>
      </c>
      <c r="Y25" s="10" t="str">
        <f>IF($R$6=TRUE(),734.7,"")</f>
        <v/>
      </c>
      <c r="Z25" s="10" t="str">
        <f>IF($R$6=TRUE(),743.6,"")</f>
        <v/>
      </c>
      <c r="AA25" s="10" t="str">
        <f>IF($R$6=TRUE(),768.5,"")</f>
        <v/>
      </c>
      <c r="AB25" s="10" t="str">
        <f>IF($R$6=TRUE(),815.6,"")</f>
        <v/>
      </c>
      <c r="AC25" s="10" t="str">
        <f>IF($R$6=TRUE(),852.3,"")</f>
        <v/>
      </c>
      <c r="AD25" s="10" t="str">
        <f>IF($R$6=TRUE(),937.5,"")</f>
        <v/>
      </c>
      <c r="AE25" s="10" t="str">
        <f>IF($R$6=TRUE(),1005.7,"")</f>
        <v/>
      </c>
      <c r="AF25" s="10" t="str">
        <f>IF($R$6=TRUE(),1201.8,"")</f>
        <v/>
      </c>
      <c r="AG25" s="10" t="str">
        <f>IF($R$6=TRUE(),1414.8,"")</f>
        <v/>
      </c>
      <c r="AH25" s="10" t="str">
        <f>IF($R$6=TRUE(),1406.3,"")</f>
        <v/>
      </c>
      <c r="AI25" s="10" t="str">
        <f>IF($R$6=TRUE(),1406.3,"")</f>
        <v/>
      </c>
      <c r="AJ25" s="10" t="str">
        <f>IF($R$6=TRUE(),1624.3,"")</f>
        <v/>
      </c>
      <c r="AK25" s="10" t="str">
        <f>IF($R$6=TRUE(),1575.1,"")</f>
        <v/>
      </c>
      <c r="AL25" s="10" t="str">
        <f>IF($R$6=TRUE(),1617.3,"")</f>
        <v/>
      </c>
      <c r="AM25" s="10" t="str">
        <f>IF($R$6=TRUE(),1645.4,"")</f>
        <v/>
      </c>
      <c r="AN25" s="10" t="str">
        <f>IF($R$6=TRUE(),1809.9,"")</f>
        <v/>
      </c>
      <c r="AO25" s="10" t="str">
        <f>IF($R$6=TRUE(),1975.5,"")</f>
        <v/>
      </c>
      <c r="AP25" s="10" t="str">
        <f>IF($R$6=TRUE(),2139,"")</f>
        <v/>
      </c>
      <c r="AQ25" s="10" t="str">
        <f>IF($R$6=TRUE(),2468.1,"")</f>
        <v/>
      </c>
      <c r="AR25" s="10" t="str">
        <f>IF($R$6=TRUE(),3192,"")</f>
        <v/>
      </c>
      <c r="AS25" s="10" t="str">
        <f>IF($R$6=TRUE(),3586.9,"")</f>
        <v/>
      </c>
      <c r="AT25" s="10" t="str">
        <f>IF($R$6=TRUE(),3838,"")</f>
        <v/>
      </c>
      <c r="AU25" s="10" t="str">
        <f>IF($R$6=TRUE(),4125,"")</f>
        <v/>
      </c>
      <c r="AV25" s="10" t="str">
        <f>IF($R$6=TRUE(),4411.9,"")</f>
        <v/>
      </c>
      <c r="AW25" s="10" t="str">
        <f>IF($R$6=TRUE(),4591.3,"")</f>
        <v/>
      </c>
      <c r="AX25" s="10" t="str">
        <f>IF($R$6=TRUE(),4912.7,"")</f>
        <v/>
      </c>
      <c r="AY25" s="10" t="str">
        <f>IF($R$6=TRUE(),4475.1,"")</f>
        <v/>
      </c>
      <c r="AZ25" s="10" t="str">
        <f>IF($R$6=TRUE(),4554.6,"")</f>
        <v/>
      </c>
      <c r="BA25" s="10" t="str">
        <f>IF($R$6=TRUE(),4967.8,"")</f>
        <v/>
      </c>
      <c r="BB25" s="10" t="str">
        <f>IF($R$6=TRUE(),4926.4,"")</f>
        <v/>
      </c>
      <c r="BC25" s="10" t="str">
        <f>IF($R$6=TRUE(),4797.9,"")</f>
        <v/>
      </c>
      <c r="BD25" s="10" t="str">
        <f>IF($R$6=TRUE(),4740.3,"")</f>
        <v/>
      </c>
      <c r="BE25" s="10" t="str">
        <f>IF($R$6=TRUE(),4889.1,"")</f>
        <v/>
      </c>
      <c r="BF25" s="10" t="str">
        <f>IF($R$6=TRUE(),4975.4,"")</f>
        <v/>
      </c>
      <c r="BG25" s="10" t="str">
        <f>IF($R$6=TRUE(),4975.4,"")</f>
        <v/>
      </c>
      <c r="BH25" s="10" t="str">
        <f>IF($R$6=TRUE(),5333.7,"")</f>
        <v/>
      </c>
      <c r="BI25" s="10" t="str">
        <f>IF($R$6=TRUE(),5333.7,"")</f>
        <v/>
      </c>
      <c r="BJ25" s="10" t="str">
        <f>IF($R$6=TRUE(),5522.7,"")</f>
        <v/>
      </c>
      <c r="BK25" s="10" t="str">
        <f>IF($R$6=TRUE(),6423.3,"")</f>
        <v/>
      </c>
      <c r="BL25" s="10" t="str">
        <f>IF($R$6=TRUE(),6607.4,"")</f>
        <v/>
      </c>
      <c r="BM25" s="10" t="str">
        <f>IF($R$6=TRUE(),7239.2,"")</f>
        <v/>
      </c>
      <c r="BN25" s="11"/>
      <c r="BO25" s="11"/>
    </row>
    <row r="26" spans="1:67" ht="15" customHeight="1">
      <c r="A26" s="12" t="s">
        <v>216</v>
      </c>
      <c r="B26" s="14"/>
      <c r="C26" s="14"/>
      <c r="D26" s="14"/>
      <c r="E26" s="14"/>
      <c r="F26" s="14"/>
      <c r="G26" s="14"/>
      <c r="H26" s="14"/>
      <c r="I26" s="14"/>
      <c r="J26" s="13" t="str">
        <f>IF($S$6=TRUE(),540,"")</f>
        <v/>
      </c>
      <c r="K26" s="13" t="str">
        <f>IF($S$6=TRUE(),540,"")</f>
        <v/>
      </c>
      <c r="L26" s="13" t="str">
        <f>IF($S$6=TRUE(),544.5,"")</f>
        <v/>
      </c>
      <c r="M26" s="13" t="str">
        <f>IF($S$6=TRUE(),544.5,"")</f>
        <v/>
      </c>
      <c r="N26" s="13" t="str">
        <f>IF($S$6=TRUE(),588.1,"")</f>
        <v/>
      </c>
      <c r="O26" s="13" t="str">
        <f>IF($S$6=TRUE(),588.1,"")</f>
        <v/>
      </c>
      <c r="P26" s="13" t="str">
        <f>IF($S$6=TRUE(),604.4,"")</f>
        <v/>
      </c>
      <c r="Q26" s="13" t="str">
        <f>IF($S$6=TRUE(),604.4,"")</f>
        <v/>
      </c>
      <c r="R26" s="13" t="str">
        <f>IF($S$6=TRUE(),604.4,"")</f>
        <v/>
      </c>
      <c r="S26" s="13" t="str">
        <f>IF($S$6=TRUE(),604.4,"")</f>
        <v/>
      </c>
      <c r="T26" s="13" t="str">
        <f>IF($S$6=TRUE(),610.4,"")</f>
        <v/>
      </c>
      <c r="U26" s="13" t="str">
        <f>IF($S$6=TRUE(),610.4,"")</f>
        <v/>
      </c>
      <c r="V26" s="13" t="str">
        <f>IF($S$6=TRUE(),616.5,"")</f>
        <v/>
      </c>
      <c r="W26" s="13" t="str">
        <f>IF($S$6=TRUE(),616.5,"")</f>
        <v/>
      </c>
      <c r="X26" s="13" t="str">
        <f>IF($S$6=TRUE(),598.2,"")</f>
        <v/>
      </c>
      <c r="Y26" s="13" t="str">
        <f>IF($S$6=TRUE(),598.2,"")</f>
        <v/>
      </c>
      <c r="Z26" s="13" t="str">
        <f>IF($S$6=TRUE(),616.2,"")</f>
        <v/>
      </c>
      <c r="AA26" s="13" t="str">
        <f>IF($S$6=TRUE(),616.2,"")</f>
        <v/>
      </c>
      <c r="AB26" s="13" t="str">
        <f>IF($S$6=TRUE(),640.1,"")</f>
        <v/>
      </c>
      <c r="AC26" s="13" t="str">
        <f>IF($S$6=TRUE(),699.9,"")</f>
        <v/>
      </c>
      <c r="AD26" s="13" t="str">
        <f>IF($S$6=TRUE(),839.9,"")</f>
        <v/>
      </c>
      <c r="AE26" s="13" t="str">
        <f>IF($S$6=TRUE(),1049.9,"")</f>
        <v/>
      </c>
      <c r="AF26" s="13" t="str">
        <f>IF($S$6=TRUE(),1399.9,"")</f>
        <v/>
      </c>
      <c r="AG26" s="13" t="str">
        <f>IF($S$6=TRUE(),1399.9,"")</f>
        <v/>
      </c>
      <c r="AH26" s="13" t="str">
        <f>IF($S$6=TRUE(),1364.9,"")</f>
        <v/>
      </c>
      <c r="AI26" s="13" t="str">
        <f>IF($S$6=TRUE(),1364.9,"")</f>
        <v/>
      </c>
      <c r="AJ26" s="13" t="str">
        <f>IF($S$6=TRUE(),1719.7,"")</f>
        <v/>
      </c>
      <c r="AK26" s="13" t="str">
        <f>IF($S$6=TRUE(),1678.8,"")</f>
        <v/>
      </c>
      <c r="AL26" s="13" t="str">
        <f>IF($S$6=TRUE(),1774.3,"")</f>
        <v/>
      </c>
      <c r="AM26" s="13" t="str">
        <f>IF($S$6=TRUE(),1842.6,"")</f>
        <v/>
      </c>
      <c r="AN26" s="13" t="str">
        <f>IF($S$6=TRUE(),2211.1,"")</f>
        <v/>
      </c>
      <c r="AO26" s="13" t="str">
        <f>IF($S$6=TRUE(),3040.2,"")</f>
        <v/>
      </c>
      <c r="AP26" s="13" t="str">
        <f>IF($S$6=TRUE(),3040.2,"")</f>
        <v/>
      </c>
      <c r="AQ26" s="13" t="str">
        <f>IF($S$6=TRUE(),3132.4,"")</f>
        <v/>
      </c>
      <c r="AR26" s="13" t="str">
        <f>IF($S$6=TRUE(),3242.9,"")</f>
        <v/>
      </c>
      <c r="AS26" s="13" t="str">
        <f>IF($S$6=TRUE(),3242.9,"")</f>
        <v/>
      </c>
      <c r="AT26" s="13" t="str">
        <f>IF($S$6=TRUE(),4118.5,"")</f>
        <v/>
      </c>
      <c r="AU26" s="13" t="str">
        <f>IF($S$6=TRUE(),4118.5,"")</f>
        <v/>
      </c>
      <c r="AV26" s="13" t="str">
        <f>IF($S$6=TRUE(),4215.8,"")</f>
        <v/>
      </c>
      <c r="AW26" s="13" t="str">
        <f>IF($S$6=TRUE(),4442.8,"")</f>
        <v/>
      </c>
      <c r="AX26" s="13" t="str">
        <f>IF($S$6=TRUE(),4887.1,"")</f>
        <v/>
      </c>
      <c r="AY26" s="13" t="str">
        <f>IF($S$6=TRUE(),5553.5,"")</f>
        <v/>
      </c>
      <c r="AZ26" s="13" t="str">
        <f>IF($S$6=TRUE(),5775.6,"")</f>
        <v/>
      </c>
      <c r="BA26" s="13" t="str">
        <f>IF($S$6=TRUE(),6255.4,"")</f>
        <v/>
      </c>
      <c r="BB26" s="13" t="str">
        <f>IF($S$6=TRUE(),6513.1,"")</f>
        <v/>
      </c>
      <c r="BC26" s="13" t="str">
        <f>IF($S$6=TRUE(),6753,"")</f>
        <v/>
      </c>
      <c r="BD26" s="13" t="str">
        <f>IF($S$6=TRUE(),6415.4,"")</f>
        <v/>
      </c>
      <c r="BE26" s="13" t="str">
        <f>IF($S$6=TRUE(),6442.4,"")</f>
        <v/>
      </c>
      <c r="BF26" s="13" t="str">
        <f>IF($S$6=TRUE(),6442.4,"")</f>
        <v/>
      </c>
      <c r="BG26" s="13" t="str">
        <f>IF($S$6=TRUE(),6604.5,"")</f>
        <v/>
      </c>
      <c r="BH26" s="13" t="str">
        <f>IF($S$6=TRUE(),7892.3,"")</f>
        <v/>
      </c>
      <c r="BI26" s="13" t="str">
        <f>IF($S$6=TRUE(),8916,"")</f>
        <v/>
      </c>
      <c r="BJ26" s="13" t="str">
        <f>IF($S$6=TRUE(),7496.1,"")</f>
        <v/>
      </c>
      <c r="BK26" s="13" t="str">
        <f>IF($S$6=TRUE(),7496.1,"")</f>
        <v/>
      </c>
      <c r="BL26" s="13" t="str">
        <f>IF($S$6=TRUE(),7496.1,"")</f>
        <v/>
      </c>
      <c r="BM26" s="13" t="str">
        <f>IF($S$6=TRUE(),7496.1,"")</f>
        <v/>
      </c>
      <c r="BN26" s="14"/>
      <c r="BO26" s="14"/>
    </row>
  </sheetData>
  <mergeCells count="1">
    <mergeCell ref="A1:BO1"/>
  </mergeCells>
  <dataValidations count="1">
    <dataValidation type="list" sqref="B6:S6" xr:uid="{00000000-0002-0000-08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42"/>
  <sheetViews>
    <sheetView rightToLeft="1" zoomScaleNormal="100" workbookViewId="0">
      <pane xSplit="1" ySplit="8" topLeftCell="B17" activePane="bottomRight" state="frozen"/>
      <selection pane="topRight" activeCell="B1" sqref="B1"/>
      <selection pane="bottomLeft" activeCell="A9" sqref="A9"/>
      <selection pane="bottomRight" activeCell="Q6" sqref="Q6"/>
    </sheetView>
  </sheetViews>
  <sheetFormatPr defaultColWidth="8.6640625" defaultRowHeight="14.25"/>
  <cols>
    <col min="1" max="1" width="25" customWidth="1"/>
    <col min="2" max="35" width="8" customWidth="1"/>
  </cols>
  <sheetData>
    <row r="1" spans="1:67" ht="30" customHeight="1">
      <c r="A1" s="85" t="s">
        <v>359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218</v>
      </c>
      <c r="C5" s="4" t="s">
        <v>219</v>
      </c>
      <c r="D5" s="4" t="s">
        <v>220</v>
      </c>
      <c r="E5" s="4" t="s">
        <v>221</v>
      </c>
      <c r="F5" s="4" t="s">
        <v>222</v>
      </c>
      <c r="G5" s="4" t="s">
        <v>223</v>
      </c>
      <c r="H5" s="4" t="s">
        <v>224</v>
      </c>
      <c r="I5" s="4" t="s">
        <v>225</v>
      </c>
      <c r="J5" s="4" t="s">
        <v>226</v>
      </c>
      <c r="K5" s="4" t="s">
        <v>227</v>
      </c>
      <c r="L5" s="4" t="s">
        <v>228</v>
      </c>
      <c r="M5" s="4" t="s">
        <v>229</v>
      </c>
      <c r="N5" s="4" t="s">
        <v>230</v>
      </c>
      <c r="O5" s="4" t="s">
        <v>231</v>
      </c>
      <c r="P5" s="4" t="s">
        <v>232</v>
      </c>
      <c r="Q5" s="4" t="s">
        <v>233</v>
      </c>
      <c r="R5" s="4" t="s">
        <v>234</v>
      </c>
      <c r="S5" s="4" t="s">
        <v>235</v>
      </c>
      <c r="T5" s="4" t="s">
        <v>236</v>
      </c>
      <c r="U5" s="4" t="s">
        <v>237</v>
      </c>
      <c r="V5" s="4" t="s">
        <v>238</v>
      </c>
      <c r="W5" s="4" t="s">
        <v>239</v>
      </c>
      <c r="X5" s="4" t="s">
        <v>240</v>
      </c>
      <c r="Y5" s="4" t="s">
        <v>241</v>
      </c>
      <c r="Z5" s="4" t="s">
        <v>242</v>
      </c>
      <c r="AA5" s="4" t="s">
        <v>243</v>
      </c>
      <c r="AB5" s="4" t="s">
        <v>244</v>
      </c>
      <c r="AC5" s="4" t="s">
        <v>245</v>
      </c>
      <c r="AD5" s="4" t="s">
        <v>353</v>
      </c>
      <c r="AE5" s="4" t="s">
        <v>353</v>
      </c>
      <c r="AF5" s="4" t="s">
        <v>246</v>
      </c>
      <c r="AG5" s="4" t="s">
        <v>247</v>
      </c>
      <c r="AH5" s="4" t="s">
        <v>248</v>
      </c>
      <c r="AI5" s="4" t="s">
        <v>96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v>1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 t="b">
        <f>FALSE()</f>
        <v>0</v>
      </c>
      <c r="AF6" s="6" t="b">
        <f>FALSE()</f>
        <v>0</v>
      </c>
      <c r="AG6" s="6" t="b">
        <f>FALSE()</f>
        <v>0</v>
      </c>
      <c r="AH6" s="6" t="b">
        <f>FALSE()</f>
        <v>0</v>
      </c>
      <c r="AI6" s="6" t="b">
        <f>FALSE()</f>
        <v>0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218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0">
        <f>IF($B$6=TRUE(),3977.9,"")</f>
        <v>3977.9</v>
      </c>
      <c r="AV9" s="10">
        <f>IF($B$6=TRUE(),4675.3,"")</f>
        <v>4675.3</v>
      </c>
      <c r="AW9" s="10">
        <f>IF($B$6=TRUE(),4649.3,"")</f>
        <v>4649.3</v>
      </c>
      <c r="AX9" s="10">
        <f>IF($B$6=TRUE(),5153,"")</f>
        <v>5153</v>
      </c>
      <c r="AY9" s="10">
        <f>IF($B$6=TRUE(),5177.9,"")</f>
        <v>5177.8999999999996</v>
      </c>
      <c r="AZ9" s="10">
        <f>IF($B$6=TRUE(),6095.3,"")</f>
        <v>6095.3</v>
      </c>
      <c r="BA9" s="10">
        <f>IF($B$6=TRUE(),6095.3,"")</f>
        <v>6095.3</v>
      </c>
      <c r="BB9" s="10">
        <f>IF($B$6=TRUE(),6317.5,"")</f>
        <v>6317.5</v>
      </c>
      <c r="BC9" s="10">
        <f>IF($B$6=TRUE(),7061.4,"")</f>
        <v>7061.4</v>
      </c>
      <c r="BD9" s="10">
        <f>IF($B$6=TRUE(),7683.9,"")</f>
        <v>7683.9</v>
      </c>
      <c r="BE9" s="10">
        <f>IF($B$6=TRUE(),7707,"")</f>
        <v>7707</v>
      </c>
      <c r="BF9" s="10">
        <f>IF($B$6=TRUE(),7700.9,"")</f>
        <v>7700.9</v>
      </c>
      <c r="BG9" s="10">
        <f>IF($B$6=TRUE(),7716.9,"")</f>
        <v>7716.9</v>
      </c>
      <c r="BH9" s="10">
        <f>IF($B$6=TRUE(),8933,"")</f>
        <v>8933</v>
      </c>
      <c r="BI9" s="10">
        <f>IF($B$6=TRUE(),8955.5,"")</f>
        <v>8955.5</v>
      </c>
      <c r="BJ9" s="10">
        <f>IF($B$6=TRUE(),9454.1,"")</f>
        <v>9454.1</v>
      </c>
      <c r="BK9" s="10">
        <f>IF($B$6=TRUE(),9543.9,"")</f>
        <v>9543.9</v>
      </c>
      <c r="BL9" s="10">
        <f>IF($B$6=TRUE(),9759.4,"")</f>
        <v>9759.4</v>
      </c>
      <c r="BM9" s="10">
        <f>IF($B$6=TRUE(),9768.8,"")</f>
        <v>9768.7999999999993</v>
      </c>
      <c r="BN9" s="11"/>
      <c r="BO9" s="11"/>
    </row>
    <row r="10" spans="1:67" ht="15" customHeight="1">
      <c r="A10" s="12" t="s">
        <v>219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>
        <f>IF($C$6=TRUE(),3137.2,"")</f>
        <v>3137.2</v>
      </c>
      <c r="AV10" s="13">
        <f>IF($C$6=TRUE(),3138.3,"")</f>
        <v>3138.3</v>
      </c>
      <c r="AW10" s="13">
        <f>IF($C$6=TRUE(),3754.7,"")</f>
        <v>3754.7</v>
      </c>
      <c r="AX10" s="13">
        <f>IF($C$6=TRUE(),3808.2,"")</f>
        <v>3808.2</v>
      </c>
      <c r="AY10" s="13">
        <f>IF($C$6=TRUE(),4098.4,"")</f>
        <v>4098.3999999999996</v>
      </c>
      <c r="AZ10" s="13">
        <f>IF($C$6=TRUE(),4969.6,"")</f>
        <v>4969.6000000000004</v>
      </c>
      <c r="BA10" s="13">
        <f>IF($C$6=TRUE(),5002.7,"")</f>
        <v>5002.7</v>
      </c>
      <c r="BB10" s="13">
        <f>IF($C$6=TRUE(),5453.3,"")</f>
        <v>5453.3</v>
      </c>
      <c r="BC10" s="13">
        <f>IF($C$6=TRUE(),6054,"")</f>
        <v>6054</v>
      </c>
      <c r="BD10" s="13">
        <f>IF($C$6=TRUE(),6341.6,"")</f>
        <v>6341.6</v>
      </c>
      <c r="BE10" s="13">
        <f>IF($C$6=TRUE(),6344.8,"")</f>
        <v>6344.8</v>
      </c>
      <c r="BF10" s="13">
        <f>IF($C$6=TRUE(),8465.9,"")</f>
        <v>8465.9</v>
      </c>
      <c r="BG10" s="13">
        <f>IF($C$6=TRUE(),8468.3,"")</f>
        <v>8468.2999999999993</v>
      </c>
      <c r="BH10" s="13">
        <f>IF($C$6=TRUE(),11321.1,"")</f>
        <v>11321.1</v>
      </c>
      <c r="BI10" s="13">
        <f>IF($C$6=TRUE(),11806.6,"")</f>
        <v>11806.6</v>
      </c>
      <c r="BJ10" s="13">
        <f>IF($C$6=TRUE(),11806.6,"")</f>
        <v>11806.6</v>
      </c>
      <c r="BK10" s="13">
        <f>IF($C$6=TRUE(),11806.4,"")</f>
        <v>11806.4</v>
      </c>
      <c r="BL10" s="13">
        <f>IF($C$6=TRUE(),12185.9,"")</f>
        <v>12185.9</v>
      </c>
      <c r="BM10" s="13">
        <f>IF($C$6=TRUE(),12985.2,"")</f>
        <v>12985.2</v>
      </c>
      <c r="BN10" s="14"/>
      <c r="BO10" s="14"/>
    </row>
    <row r="11" spans="1:67" ht="15" customHeight="1">
      <c r="A11" s="9" t="s">
        <v>220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0">
        <f>IF($D$6=TRUE(),3255.4,"")</f>
        <v>3255.4</v>
      </c>
      <c r="AV11" s="10">
        <f>IF($D$6=TRUE(),3350.4,"")</f>
        <v>3350.4</v>
      </c>
      <c r="AW11" s="10">
        <f>IF($D$6=TRUE(),4163.8,"")</f>
        <v>4163.8</v>
      </c>
      <c r="AX11" s="10">
        <f>IF($D$6=TRUE(),4176.7,"")</f>
        <v>4176.7</v>
      </c>
      <c r="AY11" s="10">
        <f>IF($D$6=TRUE(),4077.6,"")</f>
        <v>4077.6</v>
      </c>
      <c r="AZ11" s="10">
        <f>IF($D$6=TRUE(),6139.7,"")</f>
        <v>6139.7</v>
      </c>
      <c r="BA11" s="10">
        <f>IF($D$6=TRUE(),6139.7,"")</f>
        <v>6139.7</v>
      </c>
      <c r="BB11" s="10">
        <f>IF($D$6=TRUE(),6403.5,"")</f>
        <v>6403.5</v>
      </c>
      <c r="BC11" s="10">
        <f>IF($D$6=TRUE(),7069.7,"")</f>
        <v>7069.7</v>
      </c>
      <c r="BD11" s="10">
        <f>IF($D$6=TRUE(),6737.9,"")</f>
        <v>6737.9</v>
      </c>
      <c r="BE11" s="10">
        <f>IF($D$6=TRUE(),7096.6,"")</f>
        <v>7096.6</v>
      </c>
      <c r="BF11" s="10">
        <f>IF($D$6=TRUE(),8643.4,"")</f>
        <v>8643.4</v>
      </c>
      <c r="BG11" s="10">
        <f>IF($D$6=TRUE(),8649.6,"")</f>
        <v>8649.6</v>
      </c>
      <c r="BH11" s="10">
        <f>IF($D$6=TRUE(),9802.5,"")</f>
        <v>9802.5</v>
      </c>
      <c r="BI11" s="10">
        <f>IF($D$6=TRUE(),10302.9,"")</f>
        <v>10302.9</v>
      </c>
      <c r="BJ11" s="10">
        <f>IF($D$6=TRUE(),11719.3,"")</f>
        <v>11719.3</v>
      </c>
      <c r="BK11" s="10">
        <f>IF($D$6=TRUE(),11727.1,"")</f>
        <v>11727.1</v>
      </c>
      <c r="BL11" s="10">
        <f>IF($D$6=TRUE(),12087.2,"")</f>
        <v>12087.2</v>
      </c>
      <c r="BM11" s="10">
        <f>IF($D$6=TRUE(),12560,"")</f>
        <v>12560</v>
      </c>
      <c r="BN11" s="11"/>
      <c r="BO11" s="11"/>
    </row>
    <row r="12" spans="1:67" ht="15" customHeight="1">
      <c r="A12" s="12" t="s">
        <v>221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>
        <f>IF($E$6=TRUE(),3161.8,"")</f>
        <v>3161.8</v>
      </c>
      <c r="AV12" s="13">
        <f>IF($E$6=TRUE(),3255.6,"")</f>
        <v>3255.6</v>
      </c>
      <c r="AW12" s="13">
        <f>IF($E$6=TRUE(),3321.3,"")</f>
        <v>3321.3</v>
      </c>
      <c r="AX12" s="13">
        <f>IF($E$6=TRUE(),3671.4,"")</f>
        <v>3671.4</v>
      </c>
      <c r="AY12" s="13">
        <f>IF($E$6=TRUE(),3674.5,"")</f>
        <v>3674.5</v>
      </c>
      <c r="AZ12" s="13">
        <f>IF($E$6=TRUE(),4272.4,"")</f>
        <v>4272.3999999999996</v>
      </c>
      <c r="BA12" s="13">
        <f>IF($E$6=TRUE(),4272.4,"")</f>
        <v>4272.3999999999996</v>
      </c>
      <c r="BB12" s="13">
        <f>IF($E$6=TRUE(),4999.9,"")</f>
        <v>4999.8999999999996</v>
      </c>
      <c r="BC12" s="13">
        <f>IF($E$6=TRUE(),5531.3,"")</f>
        <v>5531.3</v>
      </c>
      <c r="BD12" s="13">
        <f>IF($E$6=TRUE(),5731.8,"")</f>
        <v>5731.8</v>
      </c>
      <c r="BE12" s="13">
        <f>IF($E$6=TRUE(),5374,"")</f>
        <v>5374</v>
      </c>
      <c r="BF12" s="13">
        <f>IF($E$6=TRUE(),6919.3,"")</f>
        <v>6919.3</v>
      </c>
      <c r="BG12" s="13">
        <f>IF($E$6=TRUE(),6920.4,"")</f>
        <v>6920.4</v>
      </c>
      <c r="BH12" s="13">
        <f>IF($E$6=TRUE(),8537.3,"")</f>
        <v>8537.2999999999993</v>
      </c>
      <c r="BI12" s="13">
        <f>IF($E$6=TRUE(),8539.2,"")</f>
        <v>8539.2000000000007</v>
      </c>
      <c r="BJ12" s="13">
        <f>IF($E$6=TRUE(),9097.4,"")</f>
        <v>9097.4</v>
      </c>
      <c r="BK12" s="13">
        <f>IF($E$6=TRUE(),10625,"")</f>
        <v>10625</v>
      </c>
      <c r="BL12" s="13">
        <f>IF($E$6=TRUE(),11128,"")</f>
        <v>11128</v>
      </c>
      <c r="BM12" s="13">
        <f>IF($E$6=TRUE(),11823.5,"")</f>
        <v>11823.5</v>
      </c>
      <c r="BN12" s="14"/>
      <c r="BO12" s="14"/>
    </row>
    <row r="13" spans="1:67" ht="15" customHeight="1">
      <c r="A13" s="9" t="s">
        <v>222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0">
        <f>IF($F$6=TRUE(),3379.5,"")</f>
        <v>3379.5</v>
      </c>
      <c r="AV13" s="10">
        <f>IF($F$6=TRUE(),3413.4,"")</f>
        <v>3413.4</v>
      </c>
      <c r="AW13" s="10">
        <f>IF($F$6=TRUE(),3533.4,"")</f>
        <v>3533.4</v>
      </c>
      <c r="AX13" s="10">
        <f>IF($F$6=TRUE(),3499.3,"")</f>
        <v>3499.3</v>
      </c>
      <c r="AY13" s="10">
        <f>IF($F$6=TRUE(),3517.7,"")</f>
        <v>3517.7</v>
      </c>
      <c r="AZ13" s="10">
        <f>IF($F$6=TRUE(),3840.4,"")</f>
        <v>3840.4</v>
      </c>
      <c r="BA13" s="10">
        <f>IF($F$6=TRUE(),3995.5,"")</f>
        <v>3995.5</v>
      </c>
      <c r="BB13" s="10">
        <f>IF($F$6=TRUE(),4419.5,"")</f>
        <v>4419.5</v>
      </c>
      <c r="BC13" s="10">
        <f>IF($F$6=TRUE(),4984.9,"")</f>
        <v>4984.8999999999996</v>
      </c>
      <c r="BD13" s="10">
        <f>IF($F$6=TRUE(),5868.1,"")</f>
        <v>5868.1</v>
      </c>
      <c r="BE13" s="10">
        <f>IF($F$6=TRUE(),5886.4,"")</f>
        <v>5886.4</v>
      </c>
      <c r="BF13" s="10">
        <f>IF($F$6=TRUE(),5822.6,"")</f>
        <v>5822.6</v>
      </c>
      <c r="BG13" s="10">
        <f>IF($F$6=TRUE(),5851.3,"")</f>
        <v>5851.3</v>
      </c>
      <c r="BH13" s="10">
        <f>IF($F$6=TRUE(),6711.4,"")</f>
        <v>6711.4</v>
      </c>
      <c r="BI13" s="10">
        <f>IF($F$6=TRUE(),6734.6,"")</f>
        <v>6734.6</v>
      </c>
      <c r="BJ13" s="10">
        <f>IF($F$6=TRUE(),8347.2,"")</f>
        <v>8347.2000000000007</v>
      </c>
      <c r="BK13" s="10">
        <f>IF($F$6=TRUE(),8429.5,"")</f>
        <v>8429.5</v>
      </c>
      <c r="BL13" s="10">
        <f>IF($F$6=TRUE(),8999.3,"")</f>
        <v>8999.2999999999993</v>
      </c>
      <c r="BM13" s="10">
        <f>IF($F$6=TRUE(),9111.1,"")</f>
        <v>9111.1</v>
      </c>
      <c r="BN13" s="11"/>
      <c r="BO13" s="11"/>
    </row>
    <row r="14" spans="1:67" ht="15" customHeight="1">
      <c r="A14" s="12" t="s">
        <v>223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 t="str">
        <f>IF($G$6=TRUE(),3152.9,"")</f>
        <v/>
      </c>
      <c r="AV14" s="13" t="str">
        <f>IF($G$6=TRUE(),3243,"")</f>
        <v/>
      </c>
      <c r="AW14" s="13" t="str">
        <f>IF($G$6=TRUE(),3302.5,"")</f>
        <v/>
      </c>
      <c r="AX14" s="13" t="str">
        <f>IF($G$6=TRUE(),3296.7,"")</f>
        <v/>
      </c>
      <c r="AY14" s="13" t="str">
        <f>IF($G$6=TRUE(),3298.3,"")</f>
        <v/>
      </c>
      <c r="AZ14" s="13" t="str">
        <f>IF($G$6=TRUE(),3908.5,"")</f>
        <v/>
      </c>
      <c r="BA14" s="13" t="str">
        <f>IF($G$6=TRUE(),4351.1,"")</f>
        <v/>
      </c>
      <c r="BB14" s="13" t="str">
        <f>IF($G$6=TRUE(),4445.2,"")</f>
        <v/>
      </c>
      <c r="BC14" s="13" t="str">
        <f>IF($G$6=TRUE(),4770.5,"")</f>
        <v/>
      </c>
      <c r="BD14" s="13" t="str">
        <f>IF($G$6=TRUE(),4996.4,"")</f>
        <v/>
      </c>
      <c r="BE14" s="13" t="str">
        <f>IF($G$6=TRUE(),4997.2,"")</f>
        <v/>
      </c>
      <c r="BF14" s="13" t="str">
        <f>IF($G$6=TRUE(),5068,"")</f>
        <v/>
      </c>
      <c r="BG14" s="13" t="str">
        <f>IF($G$6=TRUE(),5068.5,"")</f>
        <v/>
      </c>
      <c r="BH14" s="13" t="str">
        <f>IF($G$6=TRUE(),5729.5,"")</f>
        <v/>
      </c>
      <c r="BI14" s="13" t="str">
        <f>IF($G$6=TRUE(),5478.1,"")</f>
        <v/>
      </c>
      <c r="BJ14" s="13" t="str">
        <f>IF($G$6=TRUE(),6134.6,"")</f>
        <v/>
      </c>
      <c r="BK14" s="13" t="str">
        <f>IF($G$6=TRUE(),7296.6,"")</f>
        <v/>
      </c>
      <c r="BL14" s="13" t="str">
        <f>IF($G$6=TRUE(),7852.3,"")</f>
        <v/>
      </c>
      <c r="BM14" s="13" t="str">
        <f>IF($G$6=TRUE(),8074.7,"")</f>
        <v/>
      </c>
      <c r="BN14" s="14"/>
      <c r="BO14" s="14"/>
    </row>
    <row r="15" spans="1:67" ht="15" customHeight="1">
      <c r="A15" s="9" t="s">
        <v>224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0" t="str">
        <f>IF($H$6=TRUE(),3522,"")</f>
        <v/>
      </c>
      <c r="AV15" s="10" t="str">
        <f>IF($H$6=TRUE(),3846,"")</f>
        <v/>
      </c>
      <c r="AW15" s="10" t="str">
        <f>IF($H$6=TRUE(),3969,"")</f>
        <v/>
      </c>
      <c r="AX15" s="10" t="str">
        <f>IF($H$6=TRUE(),4382.1,"")</f>
        <v/>
      </c>
      <c r="AY15" s="10" t="str">
        <f>IF($H$6=TRUE(),4642.7,"")</f>
        <v/>
      </c>
      <c r="AZ15" s="10" t="str">
        <f>IF($H$6=TRUE(),5100.2,"")</f>
        <v/>
      </c>
      <c r="BA15" s="10" t="str">
        <f>IF($H$6=TRUE(),5231.5,"")</f>
        <v/>
      </c>
      <c r="BB15" s="10" t="str">
        <f>IF($H$6=TRUE(),5707.8,"")</f>
        <v/>
      </c>
      <c r="BC15" s="10" t="str">
        <f>IF($H$6=TRUE(),6342.9,"")</f>
        <v/>
      </c>
      <c r="BD15" s="10" t="str">
        <f>IF($H$6=TRUE(),7123.1,"")</f>
        <v/>
      </c>
      <c r="BE15" s="10" t="str">
        <f>IF($H$6=TRUE(),7130.2,"")</f>
        <v/>
      </c>
      <c r="BF15" s="10" t="str">
        <f>IF($H$6=TRUE(),7384.5,"")</f>
        <v/>
      </c>
      <c r="BG15" s="10" t="str">
        <f>IF($H$6=TRUE(),8680.5,"")</f>
        <v/>
      </c>
      <c r="BH15" s="10" t="str">
        <f>IF($H$6=TRUE(),10049,"")</f>
        <v/>
      </c>
      <c r="BI15" s="10" t="str">
        <f>IF($H$6=TRUE(),10543.2,"")</f>
        <v/>
      </c>
      <c r="BJ15" s="10" t="str">
        <f>IF($H$6=TRUE(),10546.8,"")</f>
        <v/>
      </c>
      <c r="BK15" s="10" t="str">
        <f>IF($H$6=TRUE(),12487.2,"")</f>
        <v/>
      </c>
      <c r="BL15" s="10" t="str">
        <f>IF($H$6=TRUE(),13411.7,"")</f>
        <v/>
      </c>
      <c r="BM15" s="10" t="str">
        <f>IF($H$6=TRUE(),13786.4,"")</f>
        <v/>
      </c>
      <c r="BN15" s="11"/>
      <c r="BO15" s="11"/>
    </row>
    <row r="16" spans="1:67" ht="15" customHeight="1">
      <c r="A16" s="12" t="s">
        <v>225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 t="str">
        <f>IF($I$6=TRUE(),3600.4,"")</f>
        <v/>
      </c>
      <c r="AV16" s="13" t="str">
        <f>IF($I$6=TRUE(),4050.2,"")</f>
        <v/>
      </c>
      <c r="AW16" s="13" t="str">
        <f>IF($I$6=TRUE(),4199.4,"")</f>
        <v/>
      </c>
      <c r="AX16" s="13" t="str">
        <f>IF($I$6=TRUE(),4123.3,"")</f>
        <v/>
      </c>
      <c r="AY16" s="13" t="str">
        <f>IF($I$6=TRUE(),4037.3,"")</f>
        <v/>
      </c>
      <c r="AZ16" s="13" t="str">
        <f>IF($I$6=TRUE(),4959.1,"")</f>
        <v/>
      </c>
      <c r="BA16" s="13" t="str">
        <f>IF($I$6=TRUE(),5504.6,"")</f>
        <v/>
      </c>
      <c r="BB16" s="13" t="str">
        <f>IF($I$6=TRUE(),6008.5,"")</f>
        <v/>
      </c>
      <c r="BC16" s="13" t="str">
        <f>IF($I$6=TRUE(),6680.5,"")</f>
        <v/>
      </c>
      <c r="BD16" s="13" t="str">
        <f>IF($I$6=TRUE(),6681.7,"")</f>
        <v/>
      </c>
      <c r="BE16" s="13" t="str">
        <f>IF($I$6=TRUE(),6681.9,"")</f>
        <v/>
      </c>
      <c r="BF16" s="13" t="str">
        <f>IF($I$6=TRUE(),6682.6,"")</f>
        <v/>
      </c>
      <c r="BG16" s="13" t="str">
        <f>IF($I$6=TRUE(),7864.1,"")</f>
        <v/>
      </c>
      <c r="BH16" s="13" t="str">
        <f>IF($I$6=TRUE(),9217.4,"")</f>
        <v/>
      </c>
      <c r="BI16" s="13" t="str">
        <f>IF($I$6=TRUE(),8957.5,"")</f>
        <v/>
      </c>
      <c r="BJ16" s="13" t="str">
        <f>IF($I$6=TRUE(),9233.2,"")</f>
        <v/>
      </c>
      <c r="BK16" s="13" t="str">
        <f>IF($I$6=TRUE(),9233.5,"")</f>
        <v/>
      </c>
      <c r="BL16" s="13" t="str">
        <f>IF($I$6=TRUE(),9830.8,"")</f>
        <v/>
      </c>
      <c r="BM16" s="13" t="str">
        <f>IF($I$6=TRUE(),9970.8,"")</f>
        <v/>
      </c>
      <c r="BN16" s="14"/>
      <c r="BO16" s="14"/>
    </row>
    <row r="17" spans="1:67" ht="15" customHeight="1">
      <c r="A17" s="9" t="s">
        <v>226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0" t="str">
        <f>IF($J$6=TRUE(),3715.1,"")</f>
        <v/>
      </c>
      <c r="AV17" s="10" t="str">
        <f>IF($J$6=TRUE(),4050.5,"")</f>
        <v/>
      </c>
      <c r="AW17" s="10" t="str">
        <f>IF($J$6=TRUE(),4200.7,"")</f>
        <v/>
      </c>
      <c r="AX17" s="10" t="str">
        <f>IF($J$6=TRUE(),4127.3,"")</f>
        <v/>
      </c>
      <c r="AY17" s="10" t="str">
        <f>IF($J$6=TRUE(),4041.3,"")</f>
        <v/>
      </c>
      <c r="AZ17" s="10" t="str">
        <f>IF($J$6=TRUE(),4982.4,"")</f>
        <v/>
      </c>
      <c r="BA17" s="10" t="str">
        <f>IF($J$6=TRUE(),5545.7,"")</f>
        <v/>
      </c>
      <c r="BB17" s="10" t="str">
        <f>IF($J$6=TRUE(),6049.8,"")</f>
        <v/>
      </c>
      <c r="BC17" s="10" t="str">
        <f>IF($J$6=TRUE(),6721.9,"")</f>
        <v/>
      </c>
      <c r="BD17" s="10" t="str">
        <f>IF($J$6=TRUE(),7463.4,"")</f>
        <v/>
      </c>
      <c r="BE17" s="10" t="str">
        <f>IF($J$6=TRUE(),7463.4,"")</f>
        <v/>
      </c>
      <c r="BF17" s="10" t="str">
        <f>IF($J$6=TRUE(),7543,"")</f>
        <v/>
      </c>
      <c r="BG17" s="10" t="str">
        <f>IF($J$6=TRUE(),7914.5,"")</f>
        <v/>
      </c>
      <c r="BH17" s="10" t="str">
        <f>IF($J$6=TRUE(),8708.6,"")</f>
        <v/>
      </c>
      <c r="BI17" s="10" t="str">
        <f>IF($J$6=TRUE(),8709.7,"")</f>
        <v/>
      </c>
      <c r="BJ17" s="10" t="str">
        <f>IF($J$6=TRUE(),9294,"")</f>
        <v/>
      </c>
      <c r="BK17" s="10" t="str">
        <f>IF($J$6=TRUE(),9295.2,"")</f>
        <v/>
      </c>
      <c r="BL17" s="10" t="str">
        <f>IF($J$6=TRUE(),9895.4,"")</f>
        <v/>
      </c>
      <c r="BM17" s="10" t="str">
        <f>IF($J$6=TRUE(),10036.2,"")</f>
        <v/>
      </c>
      <c r="BN17" s="11"/>
      <c r="BO17" s="11"/>
    </row>
    <row r="18" spans="1:67" ht="15" customHeight="1">
      <c r="A18" s="12" t="s">
        <v>227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 t="str">
        <f>IF($K$6=TRUE(),3106.1,"")</f>
        <v/>
      </c>
      <c r="AV18" s="13" t="str">
        <f>IF($K$6=TRUE(),3935.1,"")</f>
        <v/>
      </c>
      <c r="AW18" s="13" t="str">
        <f>IF($K$6=TRUE(),4449.4,"")</f>
        <v/>
      </c>
      <c r="AX18" s="13" t="str">
        <f>IF($K$6=TRUE(),4582.9,"")</f>
        <v/>
      </c>
      <c r="AY18" s="13" t="str">
        <f>IF($K$6=TRUE(),4399.4,"")</f>
        <v/>
      </c>
      <c r="AZ18" s="13" t="str">
        <f>IF($K$6=TRUE(),5262.7,"")</f>
        <v/>
      </c>
      <c r="BA18" s="13" t="str">
        <f>IF($K$6=TRUE(),5648.9,"")</f>
        <v/>
      </c>
      <c r="BB18" s="13" t="str">
        <f>IF($K$6=TRUE(),6182.9,"")</f>
        <v/>
      </c>
      <c r="BC18" s="13" t="str">
        <f>IF($K$6=TRUE(),6894.8,"")</f>
        <v/>
      </c>
      <c r="BD18" s="13" t="str">
        <f>IF($K$6=TRUE(),7730.7,"")</f>
        <v/>
      </c>
      <c r="BE18" s="13" t="str">
        <f>IF($K$6=TRUE(),7765.9,"")</f>
        <v/>
      </c>
      <c r="BF18" s="13" t="str">
        <f>IF($K$6=TRUE(),8478.6,"")</f>
        <v/>
      </c>
      <c r="BG18" s="13" t="str">
        <f>IF($K$6=TRUE(),8508.2,"")</f>
        <v/>
      </c>
      <c r="BH18" s="13" t="str">
        <f>IF($K$6=TRUE(),9451.3,"")</f>
        <v/>
      </c>
      <c r="BI18" s="13" t="str">
        <f>IF($K$6=TRUE(),9491.1,"")</f>
        <v/>
      </c>
      <c r="BJ18" s="13" t="str">
        <f>IF($K$6=TRUE(),10970.3,"")</f>
        <v/>
      </c>
      <c r="BK18" s="13" t="str">
        <f>IF($K$6=TRUE(),12045.4,"")</f>
        <v/>
      </c>
      <c r="BL18" s="13" t="str">
        <f>IF($K$6=TRUE(),12304.9,"")</f>
        <v/>
      </c>
      <c r="BM18" s="13" t="str">
        <f>IF($K$6=TRUE(),12767.3,"")</f>
        <v/>
      </c>
      <c r="BN18" s="14"/>
      <c r="BO18" s="14"/>
    </row>
    <row r="19" spans="1:67" ht="15" customHeight="1">
      <c r="A19" s="9" t="s">
        <v>228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0" t="str">
        <f>IF($L$6=TRUE(),3307.7,"")</f>
        <v/>
      </c>
      <c r="AV19" s="10" t="str">
        <f>IF($L$6=TRUE(),3315.5,"")</f>
        <v/>
      </c>
      <c r="AW19" s="10" t="str">
        <f>IF($L$6=TRUE(),3438,"")</f>
        <v/>
      </c>
      <c r="AX19" s="10" t="str">
        <f>IF($L$6=TRUE(),3651.2,"")</f>
        <v/>
      </c>
      <c r="AY19" s="10" t="str">
        <f>IF($L$6=TRUE(),3670.7,"")</f>
        <v/>
      </c>
      <c r="AZ19" s="10" t="str">
        <f>IF($L$6=TRUE(),4051.7,"")</f>
        <v/>
      </c>
      <c r="BA19" s="10" t="str">
        <f>IF($L$6=TRUE(),4287.2,"")</f>
        <v/>
      </c>
      <c r="BB19" s="10" t="str">
        <f>IF($L$6=TRUE(),4699.7,"")</f>
        <v/>
      </c>
      <c r="BC19" s="10" t="str">
        <f>IF($L$6=TRUE(),5249.8,"")</f>
        <v/>
      </c>
      <c r="BD19" s="10" t="str">
        <f>IF($L$6=TRUE(),5483.8,"")</f>
        <v/>
      </c>
      <c r="BE19" s="10" t="str">
        <f>IF($L$6=TRUE(),5530.9,"")</f>
        <v/>
      </c>
      <c r="BF19" s="10" t="str">
        <f>IF($L$6=TRUE(),5567.5,"")</f>
        <v/>
      </c>
      <c r="BG19" s="10" t="str">
        <f>IF($L$6=TRUE(),6352.6,"")</f>
        <v/>
      </c>
      <c r="BH19" s="10" t="str">
        <f>IF($L$6=TRUE(),7546.9,"")</f>
        <v/>
      </c>
      <c r="BI19" s="10" t="str">
        <f>IF($L$6=TRUE(),7457.4,"")</f>
        <v/>
      </c>
      <c r="BJ19" s="10" t="str">
        <f>IF($L$6=TRUE(),8410,"")</f>
        <v/>
      </c>
      <c r="BK19" s="10" t="str">
        <f>IF($L$6=TRUE(),9593.2,"")</f>
        <v/>
      </c>
      <c r="BL19" s="10" t="str">
        <f>IF($L$6=TRUE(),9613.6,"")</f>
        <v/>
      </c>
      <c r="BM19" s="10" t="str">
        <f>IF($L$6=TRUE(),9633.5,"")</f>
        <v/>
      </c>
      <c r="BN19" s="11"/>
      <c r="BO19" s="11"/>
    </row>
    <row r="20" spans="1:67" ht="15" customHeight="1">
      <c r="A20" s="12" t="s">
        <v>229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 t="str">
        <f>IF($M$6=TRUE(),3125.4,"")</f>
        <v/>
      </c>
      <c r="AV20" s="13" t="str">
        <f>IF($M$6=TRUE(),3185.8,"")</f>
        <v/>
      </c>
      <c r="AW20" s="13" t="str">
        <f>IF($M$6=TRUE(),3300.2,"")</f>
        <v/>
      </c>
      <c r="AX20" s="13" t="str">
        <f>IF($M$6=TRUE(),3567.1,"")</f>
        <v/>
      </c>
      <c r="AY20" s="13" t="str">
        <f>IF($M$6=TRUE(),3619.5,"")</f>
        <v/>
      </c>
      <c r="AZ20" s="13" t="str">
        <f>IF($M$6=TRUE(),3992.1,"")</f>
        <v/>
      </c>
      <c r="BA20" s="13" t="str">
        <f>IF($M$6=TRUE(),4261.6,"")</f>
        <v/>
      </c>
      <c r="BB20" s="13" t="str">
        <f>IF($M$6=TRUE(),4657.6,"")</f>
        <v/>
      </c>
      <c r="BC20" s="13" t="str">
        <f>IF($M$6=TRUE(),5185.6,"")</f>
        <v/>
      </c>
      <c r="BD20" s="13" t="str">
        <f>IF($M$6=TRUE(),5195.9,"")</f>
        <v/>
      </c>
      <c r="BE20" s="13" t="str">
        <f>IF($M$6=TRUE(),4890.7,"")</f>
        <v/>
      </c>
      <c r="BF20" s="13" t="str">
        <f>IF($M$6=TRUE(),5457.1,"")</f>
        <v/>
      </c>
      <c r="BG20" s="13" t="str">
        <f>IF($M$6=TRUE(),5458.6,"")</f>
        <v/>
      </c>
      <c r="BH20" s="13" t="str">
        <f>IF($M$6=TRUE(),6012.3,"")</f>
        <v/>
      </c>
      <c r="BI20" s="13" t="str">
        <f>IF($M$6=TRUE(),5853.6,"")</f>
        <v/>
      </c>
      <c r="BJ20" s="13" t="str">
        <f>IF($M$6=TRUE(),6609.9,"")</f>
        <v/>
      </c>
      <c r="BK20" s="13" t="str">
        <f>IF($M$6=TRUE(),7854.5,"")</f>
        <v/>
      </c>
      <c r="BL20" s="13" t="str">
        <f>IF($M$6=TRUE(),8449.3,"")</f>
        <v/>
      </c>
      <c r="BM20" s="13" t="str">
        <f>IF($M$6=TRUE(),8687.7,"")</f>
        <v/>
      </c>
      <c r="BN20" s="14"/>
      <c r="BO20" s="14"/>
    </row>
    <row r="21" spans="1:67" ht="15" customHeight="1">
      <c r="A21" s="9" t="s">
        <v>230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0" t="str">
        <f>IF($N$6=TRUE(),3016.5,"")</f>
        <v/>
      </c>
      <c r="AV21" s="10" t="str">
        <f>IF($N$6=TRUE(),3142,"")</f>
        <v/>
      </c>
      <c r="AW21" s="10" t="str">
        <f>IF($N$6=TRUE(),3142.2,"")</f>
        <v/>
      </c>
      <c r="AX21" s="10" t="str">
        <f>IF($N$6=TRUE(),3208.1,"")</f>
        <v/>
      </c>
      <c r="AY21" s="10" t="str">
        <f>IF($N$6=TRUE(),3210.1,"")</f>
        <v/>
      </c>
      <c r="AZ21" s="10" t="str">
        <f>IF($N$6=TRUE(),3360.9,"")</f>
        <v/>
      </c>
      <c r="BA21" s="10" t="str">
        <f>IF($N$6=TRUE(),3466.5,"")</f>
        <v/>
      </c>
      <c r="BB21" s="10" t="str">
        <f>IF($N$6=TRUE(),3843.6,"")</f>
        <v/>
      </c>
      <c r="BC21" s="10" t="str">
        <f>IF($N$6=TRUE(),4346.3,"")</f>
        <v/>
      </c>
      <c r="BD21" s="10" t="str">
        <f>IF($N$6=TRUE(),4368,"")</f>
        <v/>
      </c>
      <c r="BE21" s="10" t="str">
        <f>IF($N$6=TRUE(),4937.8,"")</f>
        <v/>
      </c>
      <c r="BF21" s="10" t="str">
        <f>IF($N$6=TRUE(),6354.3,"")</f>
        <v/>
      </c>
      <c r="BG21" s="10" t="str">
        <f>IF($N$6=TRUE(),6509.9,"")</f>
        <v/>
      </c>
      <c r="BH21" s="10" t="str">
        <f>IF($N$6=TRUE(),6906.3,"")</f>
        <v/>
      </c>
      <c r="BI21" s="10" t="str">
        <f>IF($N$6=TRUE(),6914.2,"")</f>
        <v/>
      </c>
      <c r="BJ21" s="10" t="str">
        <f>IF($N$6=TRUE(),8278.6,"")</f>
        <v/>
      </c>
      <c r="BK21" s="10" t="str">
        <f>IF($N$6=TRUE(),8329.8,"")</f>
        <v/>
      </c>
      <c r="BL21" s="10" t="str">
        <f>IF($N$6=TRUE(),8334.1,"")</f>
        <v/>
      </c>
      <c r="BM21" s="10" t="str">
        <f>IF($N$6=TRUE(),8478.8,"")</f>
        <v/>
      </c>
      <c r="BN21" s="11"/>
      <c r="BO21" s="11"/>
    </row>
    <row r="22" spans="1:67" ht="15" customHeight="1">
      <c r="A22" s="12" t="s">
        <v>231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 t="str">
        <f>IF($O$6=TRUE(),3765,"")</f>
        <v/>
      </c>
      <c r="AV22" s="13" t="str">
        <f>IF($O$6=TRUE(),3837,"")</f>
        <v/>
      </c>
      <c r="AW22" s="13" t="str">
        <f>IF($O$6=TRUE(),3816,"")</f>
        <v/>
      </c>
      <c r="AX22" s="13" t="str">
        <f>IF($O$6=TRUE(),4279.5,"")</f>
        <v/>
      </c>
      <c r="AY22" s="13" t="str">
        <f>IF($O$6=TRUE(),4360.4,"")</f>
        <v/>
      </c>
      <c r="AZ22" s="13" t="str">
        <f>IF($O$6=TRUE(),4695.6,"")</f>
        <v/>
      </c>
      <c r="BA22" s="13" t="str">
        <f>IF($O$6=TRUE(),4731.8,"")</f>
        <v/>
      </c>
      <c r="BB22" s="13" t="str">
        <f>IF($O$6=TRUE(),4752.1,"")</f>
        <v/>
      </c>
      <c r="BC22" s="13" t="str">
        <f>IF($O$6=TRUE(),5362.6,"")</f>
        <v/>
      </c>
      <c r="BD22" s="13" t="str">
        <f>IF($O$6=TRUE(),6009.3,"")</f>
        <v/>
      </c>
      <c r="BE22" s="13" t="str">
        <f>IF($O$6=TRUE(),6010.5,"")</f>
        <v/>
      </c>
      <c r="BF22" s="13" t="str">
        <f>IF($O$6=TRUE(),6626.8,"")</f>
        <v/>
      </c>
      <c r="BG22" s="13" t="str">
        <f>IF($O$6=TRUE(),7239.7,"")</f>
        <v/>
      </c>
      <c r="BH22" s="13" t="str">
        <f>IF($O$6=TRUE(),8149.2,"")</f>
        <v/>
      </c>
      <c r="BI22" s="13" t="str">
        <f>IF($O$6=TRUE(),8151.2,"")</f>
        <v/>
      </c>
      <c r="BJ22" s="13" t="str">
        <f>IF($O$6=TRUE(),8763.3,"")</f>
        <v/>
      </c>
      <c r="BK22" s="13" t="str">
        <f>IF($O$6=TRUE(),10421,"")</f>
        <v/>
      </c>
      <c r="BL22" s="13" t="str">
        <f>IF($O$6=TRUE(),11213.5,"")</f>
        <v/>
      </c>
      <c r="BM22" s="13" t="str">
        <f>IF($O$6=TRUE(),11530.8,"")</f>
        <v/>
      </c>
      <c r="BN22" s="14"/>
      <c r="BO22" s="14"/>
    </row>
    <row r="23" spans="1:67" ht="15" customHeight="1">
      <c r="A23" s="9" t="s">
        <v>232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0" t="str">
        <f>IF($P$6=TRUE(),3656.9,"")</f>
        <v/>
      </c>
      <c r="AV23" s="10" t="str">
        <f>IF($P$6=TRUE(),3648.2,"")</f>
        <v/>
      </c>
      <c r="AW23" s="10" t="str">
        <f>IF($P$6=TRUE(),3492,"")</f>
        <v/>
      </c>
      <c r="AX23" s="10" t="str">
        <f>IF($P$6=TRUE(),3536.9,"")</f>
        <v/>
      </c>
      <c r="AY23" s="10" t="str">
        <f>IF($P$6=TRUE(),3617.3,"")</f>
        <v/>
      </c>
      <c r="AZ23" s="10" t="str">
        <f>IF($P$6=TRUE(),4132.8,"")</f>
        <v/>
      </c>
      <c r="BA23" s="10" t="str">
        <f>IF($P$6=TRUE(),4600.7,"")</f>
        <v/>
      </c>
      <c r="BB23" s="10" t="str">
        <f>IF($P$6=TRUE(),4700.2,"")</f>
        <v/>
      </c>
      <c r="BC23" s="10" t="str">
        <f>IF($P$6=TRUE(),5044.2,"")</f>
        <v/>
      </c>
      <c r="BD23" s="10" t="str">
        <f>IF($P$6=TRUE(),5478.1,"")</f>
        <v/>
      </c>
      <c r="BE23" s="10" t="str">
        <f>IF($P$6=TRUE(),5278.7,"")</f>
        <v/>
      </c>
      <c r="BF23" s="10" t="str">
        <f>IF($P$6=TRUE(),5621.4,"")</f>
        <v/>
      </c>
      <c r="BG23" s="10" t="str">
        <f>IF($P$6=TRUE(),5831.9,"")</f>
        <v/>
      </c>
      <c r="BH23" s="10" t="str">
        <f>IF($P$6=TRUE(),6262.3,"")</f>
        <v/>
      </c>
      <c r="BI23" s="10" t="str">
        <f>IF($P$6=TRUE(),6047.7,"")</f>
        <v/>
      </c>
      <c r="BJ23" s="10" t="str">
        <f>IF($P$6=TRUE(),5952.8,"")</f>
        <v/>
      </c>
      <c r="BK23" s="10" t="str">
        <f>IF($P$6=TRUE(),6154.8,"")</f>
        <v/>
      </c>
      <c r="BL23" s="10" t="str">
        <f>IF($P$6=TRUE(),6606.8,"")</f>
        <v/>
      </c>
      <c r="BM23" s="10" t="str">
        <f>IF($P$6=TRUE(),7027.2,"")</f>
        <v/>
      </c>
      <c r="BN23" s="11"/>
      <c r="BO23" s="11"/>
    </row>
    <row r="24" spans="1:67" ht="15" customHeight="1">
      <c r="A24" s="12" t="s">
        <v>233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>
        <f>IF($Q$6=TRUE(),3767.7,"")</f>
        <v>3767.7</v>
      </c>
      <c r="AV24" s="13">
        <f>IF($Q$6=TRUE(),3958.1,"")</f>
        <v>3958.1</v>
      </c>
      <c r="AW24" s="13">
        <f>IF($Q$6=TRUE(),4155.1,"")</f>
        <v>4155.1000000000004</v>
      </c>
      <c r="AX24" s="13">
        <f>IF($Q$6=TRUE(),3989.3,"")</f>
        <v>3989.3</v>
      </c>
      <c r="AY24" s="13">
        <f>IF($Q$6=TRUE(),3998.7,"")</f>
        <v>3998.7</v>
      </c>
      <c r="AZ24" s="13">
        <f>IF($Q$6=TRUE(),4926.1,"")</f>
        <v>4926.1000000000004</v>
      </c>
      <c r="BA24" s="13">
        <f>IF($Q$6=TRUE(),5489.3,"")</f>
        <v>5489.3</v>
      </c>
      <c r="BB24" s="13">
        <f>IF($Q$6=TRUE(),5987.9,"")</f>
        <v>5987.9</v>
      </c>
      <c r="BC24" s="13">
        <f>IF($Q$6=TRUE(),6652.7,"")</f>
        <v>6652.7</v>
      </c>
      <c r="BD24" s="13">
        <f>IF($Q$6=TRUE(),6974,"")</f>
        <v>6974</v>
      </c>
      <c r="BE24" s="13">
        <f>IF($Q$6=TRUE(),7021.1,"")</f>
        <v>7021.1</v>
      </c>
      <c r="BF24" s="13">
        <f>IF($Q$6=TRUE(),7921,"")</f>
        <v>7921</v>
      </c>
      <c r="BG24" s="13">
        <f>IF($Q$6=TRUE(),8633.5,"")</f>
        <v>8633.5</v>
      </c>
      <c r="BH24" s="13">
        <f>IF($Q$6=TRUE(),9585.5,"")</f>
        <v>9585.5</v>
      </c>
      <c r="BI24" s="13">
        <f>IF($Q$6=TRUE(),9131,"")</f>
        <v>9131</v>
      </c>
      <c r="BJ24" s="13">
        <f>IF($Q$6=TRUE(),9265.4,"")</f>
        <v>9265.4</v>
      </c>
      <c r="BK24" s="13">
        <f>IF($Q$6=TRUE(),9421.5,"")</f>
        <v>9421.5</v>
      </c>
      <c r="BL24" s="13">
        <f>IF($Q$6=TRUE(),9614.1,"")</f>
        <v>9614.1</v>
      </c>
      <c r="BM24" s="13">
        <f>IF($Q$6=TRUE(),9720.4,"")</f>
        <v>9720.4</v>
      </c>
      <c r="BN24" s="14"/>
      <c r="BO24" s="14"/>
    </row>
    <row r="25" spans="1:67" ht="15" customHeight="1">
      <c r="A25" s="9" t="s">
        <v>234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0" t="str">
        <f>IF($R$6=TRUE(),3650.5,"")</f>
        <v/>
      </c>
      <c r="AV25" s="10" t="str">
        <f>IF($R$6=TRUE(),4177.9,"")</f>
        <v/>
      </c>
      <c r="AW25" s="10" t="str">
        <f>IF($R$6=TRUE(),4137.3,"")</f>
        <v/>
      </c>
      <c r="AX25" s="10" t="str">
        <f>IF($R$6=TRUE(),4209.5,"")</f>
        <v/>
      </c>
      <c r="AY25" s="10" t="str">
        <f>IF($R$6=TRUE(),4232.1,"")</f>
        <v/>
      </c>
      <c r="AZ25" s="10" t="str">
        <f>IF($R$6=TRUE(),5337.1,"")</f>
        <v/>
      </c>
      <c r="BA25" s="10" t="str">
        <f>IF($R$6=TRUE(),5461.2,"")</f>
        <v/>
      </c>
      <c r="BB25" s="10" t="str">
        <f>IF($R$6=TRUE(),5461.2,"")</f>
        <v/>
      </c>
      <c r="BC25" s="10" t="str">
        <f>IF($R$6=TRUE(),5626.7,"")</f>
        <v/>
      </c>
      <c r="BD25" s="10" t="str">
        <f>IF($R$6=TRUE(),6161.2,"")</f>
        <v/>
      </c>
      <c r="BE25" s="10" t="str">
        <f>IF($R$6=TRUE(),6456.3,"")</f>
        <v/>
      </c>
      <c r="BF25" s="10" t="str">
        <f>IF($R$6=TRUE(),6574.7,"")</f>
        <v/>
      </c>
      <c r="BG25" s="10" t="str">
        <f>IF($R$6=TRUE(),6606.2,"")</f>
        <v/>
      </c>
      <c r="BH25" s="10" t="str">
        <f>IF($R$6=TRUE(),7437.1,"")</f>
        <v/>
      </c>
      <c r="BI25" s="10" t="str">
        <f>IF($R$6=TRUE(),7509.2,"")</f>
        <v/>
      </c>
      <c r="BJ25" s="10" t="str">
        <f>IF($R$6=TRUE(),7596.4,"")</f>
        <v/>
      </c>
      <c r="BK25" s="10" t="str">
        <f>IF($R$6=TRUE(),7665.8,"")</f>
        <v/>
      </c>
      <c r="BL25" s="10" t="str">
        <f>IF($R$6=TRUE(),7682.9,"")</f>
        <v/>
      </c>
      <c r="BM25" s="10" t="str">
        <f>IF($R$6=TRUE(),7699.9,"")</f>
        <v/>
      </c>
      <c r="BN25" s="11"/>
      <c r="BO25" s="11"/>
    </row>
    <row r="26" spans="1:67" ht="15" customHeight="1">
      <c r="A26" s="12" t="s">
        <v>235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 t="str">
        <f>IF($S$6=TRUE(),3650.8,"")</f>
        <v/>
      </c>
      <c r="AV26" s="13" t="str">
        <f>IF($S$6=TRUE(),3501.3,"")</f>
        <v/>
      </c>
      <c r="AW26" s="13" t="str">
        <f>IF($S$6=TRUE(),3981.1,"")</f>
        <v/>
      </c>
      <c r="AX26" s="13" t="str">
        <f>IF($S$6=TRUE(),4377.9,"")</f>
        <v/>
      </c>
      <c r="AY26" s="13" t="str">
        <f>IF($S$6=TRUE(),4402.3,"")</f>
        <v/>
      </c>
      <c r="AZ26" s="13" t="str">
        <f>IF($S$6=TRUE(),4920.7,"")</f>
        <v/>
      </c>
      <c r="BA26" s="13" t="str">
        <f>IF($S$6=TRUE(),4741.5,"")</f>
        <v/>
      </c>
      <c r="BB26" s="13" t="str">
        <f>IF($S$6=TRUE(),5271,"")</f>
        <v/>
      </c>
      <c r="BC26" s="13" t="str">
        <f>IF($S$6=TRUE(),5796.5,"")</f>
        <v/>
      </c>
      <c r="BD26" s="13" t="str">
        <f>IF($S$6=TRUE(),5971.3,"")</f>
        <v/>
      </c>
      <c r="BE26" s="13" t="str">
        <f>IF($S$6=TRUE(),5807.8,"")</f>
        <v/>
      </c>
      <c r="BF26" s="13" t="str">
        <f>IF($S$6=TRUE(),6335,"")</f>
        <v/>
      </c>
      <c r="BG26" s="13" t="str">
        <f>IF($S$6=TRUE(),6462.7,"")</f>
        <v/>
      </c>
      <c r="BH26" s="13" t="str">
        <f>IF($S$6=TRUE(),6760.9,"")</f>
        <v/>
      </c>
      <c r="BI26" s="13" t="str">
        <f>IF($S$6=TRUE(),6862.3,"")</f>
        <v/>
      </c>
      <c r="BJ26" s="13" t="str">
        <f>IF($S$6=TRUE(),7716.5,"")</f>
        <v/>
      </c>
      <c r="BK26" s="13" t="str">
        <f>IF($S$6=TRUE(),8369.2,"")</f>
        <v/>
      </c>
      <c r="BL26" s="13" t="str">
        <f>IF($S$6=TRUE(),8957.3,"")</f>
        <v/>
      </c>
      <c r="BM26" s="13" t="str">
        <f>IF($S$6=TRUE(),8983.2,"")</f>
        <v/>
      </c>
      <c r="BN26" s="14"/>
      <c r="BO26" s="14"/>
    </row>
    <row r="27" spans="1:67" ht="15" customHeight="1">
      <c r="A27" s="9" t="s">
        <v>236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0" t="str">
        <f>IF($T$6=TRUE(),3650.1,"")</f>
        <v/>
      </c>
      <c r="AV27" s="10" t="str">
        <f>IF($T$6=TRUE(),3699.5,"")</f>
        <v/>
      </c>
      <c r="AW27" s="10" t="str">
        <f>IF($T$6=TRUE(),3732.4,"")</f>
        <v/>
      </c>
      <c r="AX27" s="10" t="str">
        <f>IF($T$6=TRUE(),3867.9,"")</f>
        <v/>
      </c>
      <c r="AY27" s="10" t="str">
        <f>IF($T$6=TRUE(),4255.6,"")</f>
        <v/>
      </c>
      <c r="AZ27" s="10" t="str">
        <f>IF($T$6=TRUE(),4852.1,"")</f>
        <v/>
      </c>
      <c r="BA27" s="10" t="str">
        <f>IF($T$6=TRUE(),5221.6,"")</f>
        <v/>
      </c>
      <c r="BB27" s="10" t="str">
        <f>IF($T$6=TRUE(),6162.2,"")</f>
        <v/>
      </c>
      <c r="BC27" s="10" t="str">
        <f>IF($T$6=TRUE(),6569,"")</f>
        <v/>
      </c>
      <c r="BD27" s="10" t="str">
        <f>IF($T$6=TRUE(),6603.3,"")</f>
        <v/>
      </c>
      <c r="BE27" s="10" t="str">
        <f>IF($T$6=TRUE(),6686.7,"")</f>
        <v/>
      </c>
      <c r="BF27" s="10" t="str">
        <f>IF($T$6=TRUE(),6725.7,"")</f>
        <v/>
      </c>
      <c r="BG27" s="10" t="str">
        <f>IF($T$6=TRUE(),6899.6,"")</f>
        <v/>
      </c>
      <c r="BH27" s="10" t="str">
        <f>IF($T$6=TRUE(),8307.1,"")</f>
        <v/>
      </c>
      <c r="BI27" s="10" t="str">
        <f>IF($T$6=TRUE(),9321.7,"")</f>
        <v/>
      </c>
      <c r="BJ27" s="10" t="str">
        <f>IF($T$6=TRUE(),8060.1,"")</f>
        <v/>
      </c>
      <c r="BK27" s="10" t="str">
        <f>IF($T$6=TRUE(),8147,"")</f>
        <v/>
      </c>
      <c r="BL27" s="10" t="str">
        <f>IF($T$6=TRUE(),8167.4,"")</f>
        <v/>
      </c>
      <c r="BM27" s="10" t="str">
        <f>IF($T$6=TRUE(),8188.7,"")</f>
        <v/>
      </c>
      <c r="BN27" s="11"/>
      <c r="BO27" s="11"/>
    </row>
    <row r="28" spans="1:67" ht="15" customHeight="1">
      <c r="A28" s="12" t="s">
        <v>237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 t="str">
        <f>IF($U$6=TRUE(),3668.2,"")</f>
        <v/>
      </c>
      <c r="AV28" s="13" t="str">
        <f>IF($U$6=TRUE(),3902,"")</f>
        <v/>
      </c>
      <c r="AW28" s="13" t="str">
        <f>IF($U$6=TRUE(),4028.5,"")</f>
        <v/>
      </c>
      <c r="AX28" s="13" t="str">
        <f>IF($U$6=TRUE(),4125.1,"")</f>
        <v/>
      </c>
      <c r="AY28" s="13" t="str">
        <f>IF($U$6=TRUE(),3988.1,"")</f>
        <v/>
      </c>
      <c r="AZ28" s="13" t="str">
        <f>IF($U$6=TRUE(),4004.3,"")</f>
        <v/>
      </c>
      <c r="BA28" s="13" t="str">
        <f>IF($U$6=TRUE(),4375,"")</f>
        <v/>
      </c>
      <c r="BB28" s="13" t="str">
        <f>IF($U$6=TRUE(),4286.3,"")</f>
        <v/>
      </c>
      <c r="BC28" s="13" t="str">
        <f>IF($U$6=TRUE(),4209.8,"")</f>
        <v/>
      </c>
      <c r="BD28" s="13" t="str">
        <f>IF($U$6=TRUE(),4657.7,"")</f>
        <v/>
      </c>
      <c r="BE28" s="13" t="str">
        <f>IF($U$6=TRUE(),4702.8,"")</f>
        <v/>
      </c>
      <c r="BF28" s="13" t="str">
        <f>IF($U$6=TRUE(),4803.8,"")</f>
        <v/>
      </c>
      <c r="BG28" s="13" t="str">
        <f>IF($U$6=TRUE(),4861.2,"")</f>
        <v/>
      </c>
      <c r="BH28" s="13" t="str">
        <f>IF($U$6=TRUE(),5605,"")</f>
        <v/>
      </c>
      <c r="BI28" s="13" t="str">
        <f>IF($U$6=TRUE(),5794.6,"")</f>
        <v/>
      </c>
      <c r="BJ28" s="13" t="str">
        <f>IF($U$6=TRUE(),5958.2,"")</f>
        <v/>
      </c>
      <c r="BK28" s="13" t="str">
        <f>IF($U$6=TRUE(),6407.2,"")</f>
        <v/>
      </c>
      <c r="BL28" s="13" t="str">
        <f>IF($U$6=TRUE(),6525.9,"")</f>
        <v/>
      </c>
      <c r="BM28" s="13" t="str">
        <f>IF($U$6=TRUE(),6840,"")</f>
        <v/>
      </c>
      <c r="BN28" s="14"/>
      <c r="BO28" s="14"/>
    </row>
    <row r="29" spans="1:67" ht="15" customHeight="1">
      <c r="A29" s="9" t="s">
        <v>238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0" t="str">
        <f>IF($V$6=TRUE(),3588.1,"")</f>
        <v/>
      </c>
      <c r="AV29" s="10" t="str">
        <f>IF($V$6=TRUE(),3683.7,"")</f>
        <v/>
      </c>
      <c r="AW29" s="10" t="str">
        <f>IF($V$6=TRUE(),3801.1,"")</f>
        <v/>
      </c>
      <c r="AX29" s="10" t="str">
        <f>IF($V$6=TRUE(),3987.3,"")</f>
        <v/>
      </c>
      <c r="AY29" s="10" t="str">
        <f>IF($V$6=TRUE(),3998,"")</f>
        <v/>
      </c>
      <c r="AZ29" s="10" t="str">
        <f>IF($V$6=TRUE(),4995.2,"")</f>
        <v/>
      </c>
      <c r="BA29" s="10" t="str">
        <f>IF($V$6=TRUE(),4995.2,"")</f>
        <v/>
      </c>
      <c r="BB29" s="10" t="str">
        <f>IF($V$6=TRUE(),5396.1,"")</f>
        <v/>
      </c>
      <c r="BC29" s="10" t="str">
        <f>IF($V$6=TRUE(),6004.2,"")</f>
        <v/>
      </c>
      <c r="BD29" s="10" t="str">
        <f>IF($V$6=TRUE(),5718.2,"")</f>
        <v/>
      </c>
      <c r="BE29" s="10" t="str">
        <f>IF($V$6=TRUE(),5732.7,"")</f>
        <v/>
      </c>
      <c r="BF29" s="10" t="str">
        <f>IF($V$6=TRUE(),8433.4,"")</f>
        <v/>
      </c>
      <c r="BG29" s="10" t="str">
        <f>IF($V$6=TRUE(),9027.2,"")</f>
        <v/>
      </c>
      <c r="BH29" s="10" t="str">
        <f>IF($V$6=TRUE(),11162.2,"")</f>
        <v/>
      </c>
      <c r="BI29" s="10" t="str">
        <f>IF($V$6=TRUE(),11186.1,"")</f>
        <v/>
      </c>
      <c r="BJ29" s="10" t="str">
        <f>IF($V$6=TRUE(),11318.8,"")</f>
        <v/>
      </c>
      <c r="BK29" s="10" t="str">
        <f>IF($V$6=TRUE(),12301.6,"")</f>
        <v/>
      </c>
      <c r="BL29" s="10" t="str">
        <f>IF($V$6=TRUE(),12313.1,"")</f>
        <v/>
      </c>
      <c r="BM29" s="10" t="str">
        <f>IF($V$6=TRUE(),12323.5,"")</f>
        <v/>
      </c>
      <c r="BN29" s="11"/>
      <c r="BO29" s="11"/>
    </row>
    <row r="30" spans="1:67" ht="15" customHeight="1">
      <c r="A30" s="12" t="s">
        <v>239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3" t="str">
        <f>IF($W$6=TRUE(),3405.2,"")</f>
        <v/>
      </c>
      <c r="AV30" s="13" t="str">
        <f>IF($W$6=TRUE(),4916.7,"")</f>
        <v/>
      </c>
      <c r="AW30" s="13" t="str">
        <f>IF($W$6=TRUE(),3641.8,"")</f>
        <v/>
      </c>
      <c r="AX30" s="13" t="str">
        <f>IF($W$6=TRUE(),4130.7,"")</f>
        <v/>
      </c>
      <c r="AY30" s="13" t="str">
        <f>IF($W$6=TRUE(),4156.9,"")</f>
        <v/>
      </c>
      <c r="AZ30" s="13" t="str">
        <f>IF($W$6=TRUE(),4388.9,"")</f>
        <v/>
      </c>
      <c r="BA30" s="13" t="str">
        <f>IF($W$6=TRUE(),4389.5,"")</f>
        <v/>
      </c>
      <c r="BB30" s="13" t="str">
        <f>IF($W$6=TRUE(),4826.5,"")</f>
        <v/>
      </c>
      <c r="BC30" s="13" t="str">
        <f>IF($W$6=TRUE(),5409.2,"")</f>
        <v/>
      </c>
      <c r="BD30" s="13" t="str">
        <f>IF($W$6=TRUE(),6180.8,"")</f>
        <v/>
      </c>
      <c r="BE30" s="13" t="str">
        <f>IF($W$6=TRUE(),6320.6,"")</f>
        <v/>
      </c>
      <c r="BF30" s="13" t="str">
        <f>IF($W$6=TRUE(),6616.2,"")</f>
        <v/>
      </c>
      <c r="BG30" s="13" t="str">
        <f>IF($W$6=TRUE(),6533.2,"")</f>
        <v/>
      </c>
      <c r="BH30" s="13" t="str">
        <f>IF($W$6=TRUE(),7537.6,"")</f>
        <v/>
      </c>
      <c r="BI30" s="13" t="str">
        <f>IF($W$6=TRUE(),7799.9,"")</f>
        <v/>
      </c>
      <c r="BJ30" s="13" t="str">
        <f>IF($W$6=TRUE(),7855.1,"")</f>
        <v/>
      </c>
      <c r="BK30" s="13" t="str">
        <f>IF($W$6=TRUE(),8565.2,"")</f>
        <v/>
      </c>
      <c r="BL30" s="13" t="str">
        <f>IF($W$6=TRUE(),8813.3,"")</f>
        <v/>
      </c>
      <c r="BM30" s="13" t="str">
        <f>IF($W$6=TRUE(),9303.3,"")</f>
        <v/>
      </c>
      <c r="BN30" s="14"/>
      <c r="BO30" s="14"/>
    </row>
    <row r="31" spans="1:67" ht="15" customHeight="1">
      <c r="A31" s="9" t="s">
        <v>240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0" t="str">
        <f>IF($X$6=TRUE(),3683.6,"")</f>
        <v/>
      </c>
      <c r="AV31" s="10" t="str">
        <f>IF($X$6=TRUE(),3842.4,"")</f>
        <v/>
      </c>
      <c r="AW31" s="10" t="str">
        <f>IF($X$6=TRUE(),4387.9,"")</f>
        <v/>
      </c>
      <c r="AX31" s="10" t="str">
        <f>IF($X$6=TRUE(),4197,"")</f>
        <v/>
      </c>
      <c r="AY31" s="10" t="str">
        <f>IF($X$6=TRUE(),4229.5,"")</f>
        <v/>
      </c>
      <c r="AZ31" s="10" t="str">
        <f>IF($X$6=TRUE(),5221.6,"")</f>
        <v/>
      </c>
      <c r="BA31" s="10" t="str">
        <f>IF($X$6=TRUE(),5792,"")</f>
        <v/>
      </c>
      <c r="BB31" s="10" t="str">
        <f>IF($X$6=TRUE(),5923.7,"")</f>
        <v/>
      </c>
      <c r="BC31" s="10" t="str">
        <f>IF($X$6=TRUE(),6366.8,"")</f>
        <v/>
      </c>
      <c r="BD31" s="10" t="str">
        <f>IF($X$6=TRUE(),6668.3,"")</f>
        <v/>
      </c>
      <c r="BE31" s="10" t="str">
        <f>IF($X$6=TRUE(),6652,"")</f>
        <v/>
      </c>
      <c r="BF31" s="10" t="str">
        <f>IF($X$6=TRUE(),6933.8,"")</f>
        <v/>
      </c>
      <c r="BG31" s="10" t="str">
        <f>IF($X$6=TRUE(),7595.9,"")</f>
        <v/>
      </c>
      <c r="BH31" s="10" t="str">
        <f>IF($X$6=TRUE(),9077.1,"")</f>
        <v/>
      </c>
      <c r="BI31" s="10" t="str">
        <f>IF($X$6=TRUE(),9418.8,"")</f>
        <v/>
      </c>
      <c r="BJ31" s="10" t="str">
        <f>IF($X$6=TRUE(),10728.6,"")</f>
        <v/>
      </c>
      <c r="BK31" s="10" t="str">
        <f>IF($X$6=TRUE(),10769,"")</f>
        <v/>
      </c>
      <c r="BL31" s="10" t="str">
        <f>IF($X$6=TRUE(),11277.6,"")</f>
        <v/>
      </c>
      <c r="BM31" s="10" t="str">
        <f>IF($X$6=TRUE(),11544.1,"")</f>
        <v/>
      </c>
      <c r="BN31" s="11"/>
      <c r="BO31" s="11"/>
    </row>
    <row r="32" spans="1:67" ht="15" customHeight="1">
      <c r="A32" s="12" t="s">
        <v>241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3" t="str">
        <f>IF($Y$6=TRUE(),3161.7,"")</f>
        <v/>
      </c>
      <c r="AV32" s="13" t="str">
        <f>IF($Y$6=TRUE(),3255.6,"")</f>
        <v/>
      </c>
      <c r="AW32" s="13" t="str">
        <f>IF($Y$6=TRUE(),3321.3,"")</f>
        <v/>
      </c>
      <c r="AX32" s="13" t="str">
        <f>IF($Y$6=TRUE(),2898.5,"")</f>
        <v/>
      </c>
      <c r="AY32" s="13" t="str">
        <f>IF($Y$6=TRUE(),2900.5,"")</f>
        <v/>
      </c>
      <c r="AZ32" s="13" t="str">
        <f>IF($Y$6=TRUE(),3977.5,"")</f>
        <v/>
      </c>
      <c r="BA32" s="13" t="str">
        <f>IF($Y$6=TRUE(),4500.7,"")</f>
        <v/>
      </c>
      <c r="BB32" s="13" t="str">
        <f>IF($Y$6=TRUE(),4899.3,"")</f>
        <v/>
      </c>
      <c r="BC32" s="13" t="str">
        <f>IF($Y$6=TRUE(),5430.7,"")</f>
        <v/>
      </c>
      <c r="BD32" s="13" t="str">
        <f>IF($Y$6=TRUE(),6378.8,"")</f>
        <v/>
      </c>
      <c r="BE32" s="13" t="str">
        <f>IF($Y$6=TRUE(),6803.8,"")</f>
        <v/>
      </c>
      <c r="BF32" s="13" t="str">
        <f>IF($Y$6=TRUE(),7338.9,"")</f>
        <v/>
      </c>
      <c r="BG32" s="13" t="str">
        <f>IF($Y$6=TRUE(),7350.1,"")</f>
        <v/>
      </c>
      <c r="BH32" s="13" t="str">
        <f>IF($Y$6=TRUE(),8783.2,"")</f>
        <v/>
      </c>
      <c r="BI32" s="13" t="str">
        <f>IF($Y$6=TRUE(),9186.5,"")</f>
        <v/>
      </c>
      <c r="BJ32" s="13" t="str">
        <f>IF($Y$6=TRUE(),9694.3,"")</f>
        <v/>
      </c>
      <c r="BK32" s="13" t="str">
        <f>IF($Y$6=TRUE(),10002.2,"")</f>
        <v/>
      </c>
      <c r="BL32" s="13" t="str">
        <f>IF($Y$6=TRUE(),10284.4,"")</f>
        <v/>
      </c>
      <c r="BM32" s="13" t="str">
        <f>IF($Y$6=TRUE(),10668.2,"")</f>
        <v/>
      </c>
      <c r="BN32" s="14"/>
      <c r="BO32" s="14"/>
    </row>
    <row r="33" spans="1:67" ht="15" customHeight="1">
      <c r="A33" s="9" t="s">
        <v>242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0" t="str">
        <f>IF($Z$6=TRUE(),3155.1,"")</f>
        <v/>
      </c>
      <c r="AV33" s="10" t="str">
        <f>IF($Z$6=TRUE(),3245.4,"")</f>
        <v/>
      </c>
      <c r="AW33" s="10" t="str">
        <f>IF($Z$6=TRUE(),3304.8,"")</f>
        <v/>
      </c>
      <c r="AX33" s="10" t="str">
        <f>IF($Z$6=TRUE(),3415.7,"")</f>
        <v/>
      </c>
      <c r="AY33" s="10" t="str">
        <f>IF($Z$6=TRUE(),3419.5,"")</f>
        <v/>
      </c>
      <c r="AZ33" s="10" t="str">
        <f>IF($Z$6=TRUE(),3692.7,"")</f>
        <v/>
      </c>
      <c r="BA33" s="10" t="str">
        <f>IF($Z$6=TRUE(),3869.2,"")</f>
        <v/>
      </c>
      <c r="BB33" s="10" t="str">
        <f>IF($Z$6=TRUE(),4265.8,"")</f>
        <v/>
      </c>
      <c r="BC33" s="10" t="str">
        <f>IF($Z$6=TRUE(),4794.6,"")</f>
        <v/>
      </c>
      <c r="BD33" s="10" t="str">
        <f>IF($Z$6=TRUE(),5151.8,"")</f>
        <v/>
      </c>
      <c r="BE33" s="10" t="str">
        <f>IF($Z$6=TRUE(),4969.1,"")</f>
        <v/>
      </c>
      <c r="BF33" s="10" t="str">
        <f>IF($Z$6=TRUE(),6090.8,"")</f>
        <v/>
      </c>
      <c r="BG33" s="10" t="str">
        <f>IF($Z$6=TRUE(),6091.9,"")</f>
        <v/>
      </c>
      <c r="BH33" s="10" t="str">
        <f>IF($Z$6=TRUE(),6707,"")</f>
        <v/>
      </c>
      <c r="BI33" s="10" t="str">
        <f>IF($Z$6=TRUE(),6528,"")</f>
        <v/>
      </c>
      <c r="BJ33" s="10" t="str">
        <f>IF($Z$6=TRUE(),7375,"")</f>
        <v/>
      </c>
      <c r="BK33" s="10" t="str">
        <f>IF($Z$6=TRUE(),8767.8,"")</f>
        <v/>
      </c>
      <c r="BL33" s="10" t="str">
        <f>IF($Z$6=TRUE(),9433.7,"")</f>
        <v/>
      </c>
      <c r="BM33" s="10" t="str">
        <f>IF($Z$6=TRUE(),9700.4,"")</f>
        <v/>
      </c>
      <c r="BN33" s="11"/>
      <c r="BO33" s="11"/>
    </row>
    <row r="34" spans="1:67" ht="15" customHeight="1">
      <c r="A34" s="12" t="s">
        <v>243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3" t="str">
        <f>IF($AA$6=TRUE(),3810.6,"")</f>
        <v/>
      </c>
      <c r="AX34" s="13" t="str">
        <f>IF($AA$6=TRUE(),3233.3,"")</f>
        <v/>
      </c>
      <c r="AY34" s="13" t="str">
        <f>IF($AA$6=TRUE(),3237.6,"")</f>
        <v/>
      </c>
      <c r="AZ34" s="13" t="str">
        <f>IF($AA$6=TRUE(),4757.5,"")</f>
        <v/>
      </c>
      <c r="BA34" s="13" t="str">
        <f>IF($AA$6=TRUE(),5403.4,"")</f>
        <v/>
      </c>
      <c r="BB34" s="13" t="str">
        <f>IF($AA$6=TRUE(),5860.7,"")</f>
        <v/>
      </c>
      <c r="BC34" s="13" t="str">
        <f>IF($AA$6=TRUE(),6470.5,"")</f>
        <v/>
      </c>
      <c r="BD34" s="13" t="str">
        <f>IF($AA$6=TRUE(),6710.5,"")</f>
        <v/>
      </c>
      <c r="BE34" s="13" t="str">
        <f>IF($AA$6=TRUE(),6295.5,"")</f>
        <v/>
      </c>
      <c r="BF34" s="13" t="str">
        <f>IF($AA$6=TRUE(),6806.9,"")</f>
        <v/>
      </c>
      <c r="BG34" s="13" t="str">
        <f>IF($AA$6=TRUE(),7065.7,"")</f>
        <v/>
      </c>
      <c r="BH34" s="13" t="str">
        <f>IF($AA$6=TRUE(),7780.8,"")</f>
        <v/>
      </c>
      <c r="BI34" s="13" t="str">
        <f>IF($AA$6=TRUE(),7574.8,"")</f>
        <v/>
      </c>
      <c r="BJ34" s="13" t="str">
        <f>IF($AA$6=TRUE(),8554.4,"")</f>
        <v/>
      </c>
      <c r="BK34" s="13" t="str">
        <f>IF($AA$6=TRUE(),10168.1,"")</f>
        <v/>
      </c>
      <c r="BL34" s="13" t="str">
        <f>IF($AA$6=TRUE(),10938.5,"")</f>
        <v/>
      </c>
      <c r="BM34" s="13" t="str">
        <f>IF($AA$6=TRUE(),11247.5,"")</f>
        <v/>
      </c>
      <c r="BN34" s="14"/>
      <c r="BO34" s="14"/>
    </row>
    <row r="35" spans="1:67" ht="15" customHeight="1">
      <c r="A35" s="9" t="s">
        <v>244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0" t="str">
        <f>IF($AB$6=TRUE(),3810.6,"")</f>
        <v/>
      </c>
      <c r="AX35" s="10" t="str">
        <f>IF($AB$6=TRUE(),3221.7,"")</f>
        <v/>
      </c>
      <c r="AY35" s="10" t="str">
        <f>IF($AB$6=TRUE(),3225.7,"")</f>
        <v/>
      </c>
      <c r="AZ35" s="10" t="str">
        <f>IF($AB$6=TRUE(),4687.6,"")</f>
        <v/>
      </c>
      <c r="BA35" s="10" t="str">
        <f>IF($AB$6=TRUE(),5278.8,"")</f>
        <v/>
      </c>
      <c r="BB35" s="10" t="str">
        <f>IF($AB$6=TRUE(),5736.1,"")</f>
        <v/>
      </c>
      <c r="BC35" s="10" t="str">
        <f>IF($AB$6=TRUE(),6345.8,"")</f>
        <v/>
      </c>
      <c r="BD35" s="10" t="str">
        <f>IF($AB$6=TRUE(),6713.6,"")</f>
        <v/>
      </c>
      <c r="BE35" s="10" t="str">
        <f>IF($AB$6=TRUE(),6493.2,"")</f>
        <v/>
      </c>
      <c r="BF35" s="10" t="str">
        <f>IF($AB$6=TRUE(),8030.3,"")</f>
        <v/>
      </c>
      <c r="BG35" s="10" t="str">
        <f>IF($AB$6=TRUE(),8248.3,"")</f>
        <v/>
      </c>
      <c r="BH35" s="10" t="str">
        <f>IF($AB$6=TRUE(),9285.1,"")</f>
        <v/>
      </c>
      <c r="BI35" s="10" t="str">
        <f>IF($AB$6=TRUE(),9137.4,"")</f>
        <v/>
      </c>
      <c r="BJ35" s="10" t="str">
        <f>IF($AB$6=TRUE(),9980.4,"")</f>
        <v/>
      </c>
      <c r="BK35" s="10" t="str">
        <f>IF($AB$6=TRUE(),11258.4,"")</f>
        <v/>
      </c>
      <c r="BL35" s="10" t="str">
        <f>IF($AB$6=TRUE(),12020.3,"")</f>
        <v/>
      </c>
      <c r="BM35" s="10" t="str">
        <f>IF($AB$6=TRUE(),12300.2,"")</f>
        <v/>
      </c>
      <c r="BN35" s="11"/>
      <c r="BO35" s="11"/>
    </row>
    <row r="36" spans="1:67" ht="15" customHeight="1">
      <c r="A36" s="12" t="s">
        <v>245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3" t="str">
        <f>IF($AC$6=TRUE(),3810.6,"")</f>
        <v/>
      </c>
      <c r="AX36" s="13" t="str">
        <f>IF($AC$6=TRUE(),3326.7,"")</f>
        <v/>
      </c>
      <c r="AY36" s="13" t="str">
        <f>IF($AC$6=TRUE(),3332.7,"")</f>
        <v/>
      </c>
      <c r="AZ36" s="13" t="str">
        <f>IF($AC$6=TRUE(),4709.9,"")</f>
        <v/>
      </c>
      <c r="BA36" s="13" t="str">
        <f>IF($AC$6=TRUE(),4538.4,"")</f>
        <v/>
      </c>
      <c r="BB36" s="13" t="str">
        <f>IF($AC$6=TRUE(),5045.2,"")</f>
        <v/>
      </c>
      <c r="BC36" s="13" t="str">
        <f>IF($AC$6=TRUE(),5548.2,"")</f>
        <v/>
      </c>
      <c r="BD36" s="13" t="str">
        <f>IF($AC$6=TRUE(),6317.8,"")</f>
        <v/>
      </c>
      <c r="BE36" s="13" t="str">
        <f>IF($AC$6=TRUE(),6246.2,"")</f>
        <v/>
      </c>
      <c r="BF36" s="13" t="str">
        <f>IF($AC$6=TRUE(),6953.1,"")</f>
        <v/>
      </c>
      <c r="BG36" s="13" t="str">
        <f>IF($AC$6=TRUE(),7042.6,"")</f>
        <v/>
      </c>
      <c r="BH36" s="13" t="str">
        <f>IF($AC$6=TRUE(),8407.7,"")</f>
        <v/>
      </c>
      <c r="BI36" s="13" t="str">
        <f>IF($AC$6=TRUE(),8597.6,"")</f>
        <v/>
      </c>
      <c r="BJ36" s="13" t="str">
        <f>IF($AC$6=TRUE(),8859.8,"")</f>
        <v/>
      </c>
      <c r="BK36" s="13" t="str">
        <f>IF($AC$6=TRUE(),9781.9,"")</f>
        <v/>
      </c>
      <c r="BL36" s="13" t="str">
        <f>IF($AC$6=TRUE(),10188.7,"")</f>
        <v/>
      </c>
      <c r="BM36" s="13" t="str">
        <f>IF($AC$6=TRUE(),10369.5,"")</f>
        <v/>
      </c>
      <c r="BN36" s="14"/>
      <c r="BO36" s="14"/>
    </row>
    <row r="37" spans="1:67" ht="15" customHeight="1">
      <c r="A37" s="9" t="s">
        <v>353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ht="15" customHeight="1">
      <c r="A38" s="12" t="s">
        <v>353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spans="1:67" ht="15" customHeight="1">
      <c r="A39" s="9" t="s">
        <v>246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0" t="str">
        <f>IF($AF$6=TRUE(),3245.3,"")</f>
        <v/>
      </c>
      <c r="AV39" s="10" t="str">
        <f>IF($AF$6=TRUE(),3285.2,"")</f>
        <v/>
      </c>
      <c r="AW39" s="10" t="str">
        <f>IF($AF$6=TRUE(),3288,"")</f>
        <v/>
      </c>
      <c r="AX39" s="10" t="str">
        <f>IF($AF$6=TRUE(),3311.2,"")</f>
        <v/>
      </c>
      <c r="AY39" s="10" t="str">
        <f>IF($AF$6=TRUE(),3313.2,"")</f>
        <v/>
      </c>
      <c r="AZ39" s="10" t="str">
        <f>IF($AF$6=TRUE(),3881.4,"")</f>
        <v/>
      </c>
      <c r="BA39" s="10" t="str">
        <f>IF($AF$6=TRUE(),4359.8,"")</f>
        <v/>
      </c>
      <c r="BB39" s="10" t="str">
        <f>IF($AF$6=TRUE(),4754.4,"")</f>
        <v/>
      </c>
      <c r="BC39" s="10" t="str">
        <f>IF($AF$6=TRUE(),5280.5,"")</f>
        <v/>
      </c>
      <c r="BD39" s="10" t="str">
        <f>IF($AF$6=TRUE(),5568.3,"")</f>
        <v/>
      </c>
      <c r="BE39" s="10" t="str">
        <f>IF($AF$6=TRUE(),5295.4,"")</f>
        <v/>
      </c>
      <c r="BF39" s="10" t="str">
        <f>IF($AF$6=TRUE(),5702.5,"")</f>
        <v/>
      </c>
      <c r="BG39" s="10" t="str">
        <f>IF($AF$6=TRUE(),5906.4,"")</f>
        <v/>
      </c>
      <c r="BH39" s="10" t="str">
        <f>IF($AF$6=TRUE(),6577.1,"")</f>
        <v/>
      </c>
      <c r="BI39" s="10" t="str">
        <f>IF($AF$6=TRUE(),6455.4,"")</f>
        <v/>
      </c>
      <c r="BJ39" s="10" t="str">
        <f>IF($AF$6=TRUE(),7204.9,"")</f>
        <v/>
      </c>
      <c r="BK39" s="10" t="str">
        <f>IF($AF$6=TRUE(),8438.7,"")</f>
        <v/>
      </c>
      <c r="BL39" s="10" t="str">
        <f>IF($AF$6=TRUE(),9032.7,"")</f>
        <v/>
      </c>
      <c r="BM39" s="10" t="str">
        <f>IF($AF$6=TRUE(),9273.9,"")</f>
        <v/>
      </c>
      <c r="BN39" s="11"/>
      <c r="BO39" s="11"/>
    </row>
    <row r="40" spans="1:67" ht="15" customHeight="1">
      <c r="A40" s="12" t="s">
        <v>247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3" t="str">
        <f>IF($AG$6=TRUE(),3159.7,"")</f>
        <v/>
      </c>
      <c r="AV40" s="13" t="str">
        <f>IF($AG$6=TRUE(),3184.4,"")</f>
        <v/>
      </c>
      <c r="AW40" s="13" t="str">
        <f>IF($AG$6=TRUE(),3212.3,"")</f>
        <v/>
      </c>
      <c r="AX40" s="13" t="str">
        <f>IF($AG$6=TRUE(),3273.5,"")</f>
        <v/>
      </c>
      <c r="AY40" s="13" t="str">
        <f>IF($AG$6=TRUE(),3275.8,"")</f>
        <v/>
      </c>
      <c r="AZ40" s="13" t="str">
        <f>IF($AG$6=TRUE(),3340.9,"")</f>
        <v/>
      </c>
      <c r="BA40" s="13" t="str">
        <f>IF($AG$6=TRUE(),3213.6,"")</f>
        <v/>
      </c>
      <c r="BB40" s="13" t="str">
        <f>IF($AG$6=TRUE(),3213.6,"")</f>
        <v/>
      </c>
      <c r="BC40" s="13" t="str">
        <f>IF($AG$6=TRUE(),3213.6,"")</f>
        <v/>
      </c>
      <c r="BD40" s="13" t="str">
        <f>IF($AG$6=TRUE(),3333.9,"")</f>
        <v/>
      </c>
      <c r="BE40" s="13" t="str">
        <f>IF($AG$6=TRUE(),3128.9,"")</f>
        <v/>
      </c>
      <c r="BF40" s="13" t="str">
        <f>IF($AG$6=TRUE(),3383.1,"")</f>
        <v/>
      </c>
      <c r="BG40" s="13" t="str">
        <f>IF($AG$6=TRUE(),3513.6,"")</f>
        <v/>
      </c>
      <c r="BH40" s="13" t="str">
        <f>IF($AG$6=TRUE(),3877.9,"")</f>
        <v/>
      </c>
      <c r="BI40" s="13" t="str">
        <f>IF($AG$6=TRUE(),3782.9,"")</f>
        <v/>
      </c>
      <c r="BJ40" s="13" t="str">
        <f>IF($AG$6=TRUE(),4256.3,"")</f>
        <v/>
      </c>
      <c r="BK40" s="13" t="str">
        <f>IF($AG$6=TRUE(),5054,"")</f>
        <v/>
      </c>
      <c r="BL40" s="13" t="str">
        <f>IF($AG$6=TRUE(),5435.9,"")</f>
        <v/>
      </c>
      <c r="BM40" s="13" t="str">
        <f>IF($AG$6=TRUE(),5588.9,"")</f>
        <v/>
      </c>
      <c r="BN40" s="14"/>
      <c r="BO40" s="14"/>
    </row>
    <row r="41" spans="1:67" ht="15" customHeight="1">
      <c r="A41" s="9" t="s">
        <v>248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0" t="str">
        <f>IF($AH$6=TRUE(),3162,"")</f>
        <v/>
      </c>
      <c r="AV41" s="10" t="str">
        <f>IF($AH$6=TRUE(),3159,"")</f>
        <v/>
      </c>
      <c r="AW41" s="10" t="str">
        <f>IF($AH$6=TRUE(),3159,"")</f>
        <v/>
      </c>
      <c r="AX41" s="10" t="str">
        <f>IF($AH$6=TRUE(),3239.6,"")</f>
        <v/>
      </c>
      <c r="AY41" s="10" t="str">
        <f>IF($AH$6=TRUE(),3241.9,"")</f>
        <v/>
      </c>
      <c r="AZ41" s="10" t="str">
        <f>IF($AH$6=TRUE(),3967.7,"")</f>
        <v/>
      </c>
      <c r="BA41" s="10" t="str">
        <f>IF($AH$6=TRUE(),4643.7,"")</f>
        <v/>
      </c>
      <c r="BB41" s="10" t="str">
        <f>IF($AH$6=TRUE(),5022.8,"")</f>
        <v/>
      </c>
      <c r="BC41" s="10" t="str">
        <f>IF($AH$6=TRUE(),5528.3,"")</f>
        <v/>
      </c>
      <c r="BD41" s="10" t="str">
        <f>IF($AH$6=TRUE(),5735.2,"")</f>
        <v/>
      </c>
      <c r="BE41" s="10" t="str">
        <f>IF($AH$6=TRUE(),5382.6,"")</f>
        <v/>
      </c>
      <c r="BF41" s="10" t="str">
        <f>IF($AH$6=TRUE(),5819.9,"")</f>
        <v/>
      </c>
      <c r="BG41" s="10" t="str">
        <f>IF($AH$6=TRUE(),6042.4,"")</f>
        <v/>
      </c>
      <c r="BH41" s="10" t="str">
        <f>IF($AH$6=TRUE(),6668.9,"")</f>
        <v/>
      </c>
      <c r="BI41" s="10" t="str">
        <f>IF($AH$6=TRUE(),6505.5,"")</f>
        <v/>
      </c>
      <c r="BJ41" s="10" t="str">
        <f>IF($AH$6=TRUE(),7319.7,"")</f>
        <v/>
      </c>
      <c r="BK41" s="10" t="str">
        <f>IF($AH$6=TRUE(),8691.5,"")</f>
        <v/>
      </c>
      <c r="BL41" s="10" t="str">
        <f>IF($AH$6=TRUE(),9348.1,"")</f>
        <v/>
      </c>
      <c r="BM41" s="10" t="str">
        <f>IF($AH$6=TRUE(),9611.3,"")</f>
        <v/>
      </c>
      <c r="BN41" s="11"/>
      <c r="BO41" s="11"/>
    </row>
    <row r="42" spans="1:67" ht="15" customHeight="1">
      <c r="A42" s="12" t="s">
        <v>96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3" t="str">
        <f>IF($AI$6=TRUE(),4125,"")</f>
        <v/>
      </c>
      <c r="AV42" s="13" t="str">
        <f>IF($AI$6=TRUE(),4248,"")</f>
        <v/>
      </c>
      <c r="AW42" s="13" t="str">
        <f>IF($AI$6=TRUE(),4374,"")</f>
        <v/>
      </c>
      <c r="AX42" s="13" t="str">
        <f>IF($AI$6=TRUE(),4887.7,"")</f>
        <v/>
      </c>
      <c r="AY42" s="13" t="str">
        <f>IF($AI$6=TRUE(),4967.5,"")</f>
        <v/>
      </c>
      <c r="AZ42" s="13" t="str">
        <f>IF($AI$6=TRUE(),5548.2,"")</f>
        <v/>
      </c>
      <c r="BA42" s="13" t="str">
        <f>IF($AI$6=TRUE(),5758.2,"")</f>
        <v/>
      </c>
      <c r="BB42" s="13" t="str">
        <f>IF($AI$6=TRUE(),5758.2,"")</f>
        <v/>
      </c>
      <c r="BC42" s="13" t="str">
        <f>IF($AI$6=TRUE(),5758.2,"")</f>
        <v/>
      </c>
      <c r="BD42" s="13" t="str">
        <f>IF($AI$6=TRUE(),7157.4,"")</f>
        <v/>
      </c>
      <c r="BE42" s="13" t="str">
        <f>IF($AI$6=TRUE(),7393.5,"")</f>
        <v/>
      </c>
      <c r="BF42" s="13" t="str">
        <f>IF($AI$6=TRUE(),7646.9,"")</f>
        <v/>
      </c>
      <c r="BG42" s="13" t="str">
        <f>IF($AI$6=TRUE(),7820.8,"")</f>
        <v/>
      </c>
      <c r="BH42" s="13" t="str">
        <f>IF($AI$6=TRUE(),9822.9,"")</f>
        <v/>
      </c>
      <c r="BI42" s="13" t="str">
        <f>IF($AI$6=TRUE(),10182.7,"")</f>
        <v/>
      </c>
      <c r="BJ42" s="13" t="str">
        <f>IF($AI$6=TRUE(),10198.3,"")</f>
        <v/>
      </c>
      <c r="BK42" s="13" t="str">
        <f>IF($AI$6=TRUE(),10573.7,"")</f>
        <v/>
      </c>
      <c r="BL42" s="13" t="str">
        <f>IF($AI$6=TRUE(),10655.8,"")</f>
        <v/>
      </c>
      <c r="BM42" s="13" t="str">
        <f>IF($AI$6=TRUE(),10745.8,"")</f>
        <v/>
      </c>
      <c r="BN42" s="14"/>
      <c r="BO42" s="14"/>
    </row>
  </sheetData>
  <mergeCells count="1">
    <mergeCell ref="A1:BO1"/>
  </mergeCells>
  <dataValidations count="1">
    <dataValidation type="list" sqref="B6:AI6" xr:uid="{00000000-0002-0000-09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O41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BO1"/>
    </sheetView>
  </sheetViews>
  <sheetFormatPr defaultColWidth="8.6640625" defaultRowHeight="14.25"/>
  <cols>
    <col min="1" max="1" width="25" customWidth="1"/>
    <col min="2" max="34" width="8" customWidth="1"/>
  </cols>
  <sheetData>
    <row r="1" spans="1:67" ht="30" customHeight="1">
      <c r="A1" s="85" t="s">
        <v>360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250</v>
      </c>
      <c r="C5" s="4" t="s">
        <v>251</v>
      </c>
      <c r="D5" s="4" t="s">
        <v>252</v>
      </c>
      <c r="E5" s="4" t="s">
        <v>253</v>
      </c>
      <c r="F5" s="4" t="s">
        <v>254</v>
      </c>
      <c r="G5" s="4" t="s">
        <v>255</v>
      </c>
      <c r="H5" s="4" t="s">
        <v>256</v>
      </c>
      <c r="I5" s="4" t="s">
        <v>257</v>
      </c>
      <c r="J5" s="4" t="s">
        <v>258</v>
      </c>
      <c r="K5" s="4" t="s">
        <v>259</v>
      </c>
      <c r="L5" s="4" t="s">
        <v>260</v>
      </c>
      <c r="M5" s="4" t="s">
        <v>261</v>
      </c>
      <c r="N5" s="4" t="s">
        <v>262</v>
      </c>
      <c r="O5" s="4" t="s">
        <v>263</v>
      </c>
      <c r="P5" s="4" t="s">
        <v>264</v>
      </c>
      <c r="Q5" s="4" t="s">
        <v>265</v>
      </c>
      <c r="R5" s="4" t="s">
        <v>266</v>
      </c>
      <c r="S5" s="4" t="s">
        <v>267</v>
      </c>
      <c r="T5" s="4" t="s">
        <v>268</v>
      </c>
      <c r="U5" s="4" t="s">
        <v>269</v>
      </c>
      <c r="V5" s="4" t="s">
        <v>270</v>
      </c>
      <c r="W5" s="4" t="s">
        <v>271</v>
      </c>
      <c r="X5" s="4" t="s">
        <v>272</v>
      </c>
      <c r="Y5" s="4" t="s">
        <v>273</v>
      </c>
      <c r="Z5" s="4" t="s">
        <v>274</v>
      </c>
      <c r="AA5" s="4" t="s">
        <v>275</v>
      </c>
      <c r="AB5" s="4" t="s">
        <v>276</v>
      </c>
      <c r="AC5" s="4" t="s">
        <v>277</v>
      </c>
      <c r="AD5" s="4" t="s">
        <v>278</v>
      </c>
      <c r="AE5" s="4" t="s">
        <v>279</v>
      </c>
      <c r="AF5" s="4" t="s">
        <v>280</v>
      </c>
      <c r="AG5" s="4" t="s">
        <v>281</v>
      </c>
      <c r="AH5" s="4" t="s">
        <v>196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 t="b">
        <f>FALSE()</f>
        <v>0</v>
      </c>
      <c r="AF6" s="6" t="b">
        <f>FALSE()</f>
        <v>0</v>
      </c>
      <c r="AG6" s="6" t="b">
        <f>FALSE()</f>
        <v>0</v>
      </c>
      <c r="AH6" s="6" t="b">
        <f>FALSE()</f>
        <v>0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250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0">
        <f t="shared" ref="AN9:AS9" si="0">IF($B$6=TRUE(),1995,"")</f>
        <v>1995</v>
      </c>
      <c r="AO9" s="10">
        <f t="shared" si="0"/>
        <v>1995</v>
      </c>
      <c r="AP9" s="10">
        <f t="shared" si="0"/>
        <v>1995</v>
      </c>
      <c r="AQ9" s="10">
        <f t="shared" si="0"/>
        <v>1995</v>
      </c>
      <c r="AR9" s="10">
        <f t="shared" si="0"/>
        <v>1995</v>
      </c>
      <c r="AS9" s="10">
        <f t="shared" si="0"/>
        <v>1995</v>
      </c>
      <c r="AT9" s="10">
        <f>IF($B$6=TRUE(),2852.8,"")</f>
        <v>2852.8</v>
      </c>
      <c r="AU9" s="10">
        <f>IF($B$6=TRUE(),2852.8,"")</f>
        <v>2852.8</v>
      </c>
      <c r="AV9" s="10">
        <f>IF($B$6=TRUE(),2852.9,"")</f>
        <v>2852.9</v>
      </c>
      <c r="AW9" s="10">
        <f>IF($B$6=TRUE(),2852.9,"")</f>
        <v>2852.9</v>
      </c>
      <c r="AX9" s="10">
        <f>IF($B$6=TRUE(),3857.1,"")</f>
        <v>3857.1</v>
      </c>
      <c r="AY9" s="10">
        <f>IF($B$6=TRUE(),3885.6,"")</f>
        <v>3885.6</v>
      </c>
      <c r="AZ9" s="10">
        <f>IF($B$6=TRUE(),3908.4,"")</f>
        <v>3908.4</v>
      </c>
      <c r="BA9" s="10">
        <f>IF($B$6=TRUE(),3936.9,"")</f>
        <v>3936.9</v>
      </c>
      <c r="BB9" s="10">
        <f>IF($B$6=TRUE(),3936.9,"")</f>
        <v>3936.9</v>
      </c>
      <c r="BC9" s="10">
        <f>IF($B$6=TRUE(),3936.9,"")</f>
        <v>3936.9</v>
      </c>
      <c r="BD9" s="10">
        <f>IF($B$6=TRUE(),4842.4,"")</f>
        <v>4842.3999999999996</v>
      </c>
      <c r="BE9" s="10">
        <f>IF($B$6=TRUE(),4881.8,"")</f>
        <v>4881.8</v>
      </c>
      <c r="BF9" s="10">
        <f>IF($B$6=TRUE(),4960.5,"")</f>
        <v>4960.5</v>
      </c>
      <c r="BG9" s="10">
        <f>IF($B$6=TRUE(),5039.3,"")</f>
        <v>5039.3</v>
      </c>
      <c r="BH9" s="10">
        <f>IF($B$6=TRUE(),6903.8,"")</f>
        <v>6903.8</v>
      </c>
      <c r="BI9" s="10">
        <f>IF($B$6=TRUE(),6954.2,"")</f>
        <v>6954.2</v>
      </c>
      <c r="BJ9" s="10">
        <f>IF($B$6=TRUE(),6999.7,"")</f>
        <v>6999.7</v>
      </c>
      <c r="BK9" s="10">
        <f>IF($B$6=TRUE(),7019.9,"")</f>
        <v>7019.9</v>
      </c>
      <c r="BL9" s="10">
        <f>IF($B$6=TRUE(),7030,"")</f>
        <v>7030</v>
      </c>
      <c r="BM9" s="10">
        <f>IF($B$6=TRUE(),7050.1,"")</f>
        <v>7050.1</v>
      </c>
      <c r="BN9" s="11"/>
      <c r="BO9" s="11"/>
    </row>
    <row r="10" spans="1:67" ht="15" customHeight="1">
      <c r="A10" s="12" t="s">
        <v>251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3">
        <f>IF($C$6=TRUE(),1735.1,"")</f>
        <v>1735.1</v>
      </c>
      <c r="AO10" s="13">
        <f>IF($C$6=TRUE(),2051.5,"")</f>
        <v>2051.5</v>
      </c>
      <c r="AP10" s="13">
        <f>IF($C$6=TRUE(),2263.5,"")</f>
        <v>2263.5</v>
      </c>
      <c r="AQ10" s="13">
        <f>IF($C$6=TRUE(),2542.6,"")</f>
        <v>2542.6</v>
      </c>
      <c r="AR10" s="13">
        <f>IF($C$6=TRUE(),2850,"")</f>
        <v>2850</v>
      </c>
      <c r="AS10" s="13">
        <f>IF($C$6=TRUE(),2850,"")</f>
        <v>2850</v>
      </c>
      <c r="AT10" s="13">
        <f>IF($C$6=TRUE(),3008.5,"")</f>
        <v>3008.5</v>
      </c>
      <c r="AU10" s="13">
        <f>IF($C$6=TRUE(),3116.2,"")</f>
        <v>3116.2</v>
      </c>
      <c r="AV10" s="13">
        <f>IF($C$6=TRUE(),3333.3,"")</f>
        <v>3333.3</v>
      </c>
      <c r="AW10" s="13">
        <f>IF($C$6=TRUE(),3430.4,"")</f>
        <v>3430.4</v>
      </c>
      <c r="AX10" s="13">
        <f>IF($C$6=TRUE(),3829.9,"")</f>
        <v>3829.9</v>
      </c>
      <c r="AY10" s="13">
        <f>IF($C$6=TRUE(),4024.1,"")</f>
        <v>4024.1</v>
      </c>
      <c r="AZ10" s="13">
        <f>IF($C$6=TRUE(),4430.7,"")</f>
        <v>4430.7</v>
      </c>
      <c r="BA10" s="13">
        <f>IF($C$6=TRUE(),5042.2,"")</f>
        <v>5042.2</v>
      </c>
      <c r="BB10" s="13">
        <f>IF($C$6=TRUE(),5779.7,"")</f>
        <v>5779.7</v>
      </c>
      <c r="BC10" s="13">
        <f>IF($C$6=TRUE(),6232.2,"")</f>
        <v>6232.2</v>
      </c>
      <c r="BD10" s="13">
        <f>IF($C$6=TRUE(),6297,"")</f>
        <v>6297</v>
      </c>
      <c r="BE10" s="13">
        <f>IF($C$6=TRUE(),6271.1,"")</f>
        <v>6271.1</v>
      </c>
      <c r="BF10" s="13">
        <f>IF($C$6=TRUE(),6458,"")</f>
        <v>6458</v>
      </c>
      <c r="BG10" s="13">
        <f>IF($C$6=TRUE(),6744.6,"")</f>
        <v>6744.6</v>
      </c>
      <c r="BH10" s="13">
        <f>IF($C$6=TRUE(),7834.8,"")</f>
        <v>7834.8</v>
      </c>
      <c r="BI10" s="13">
        <f>IF($C$6=TRUE(),8181,"")</f>
        <v>8181</v>
      </c>
      <c r="BJ10" s="13">
        <f>IF($C$6=TRUE(),8484.7,"")</f>
        <v>8484.7000000000007</v>
      </c>
      <c r="BK10" s="13">
        <f>IF($C$6=TRUE(),10015.8,"")</f>
        <v>10015.799999999999</v>
      </c>
      <c r="BL10" s="13">
        <f>IF($C$6=TRUE(),10501.3,"")</f>
        <v>10501.3</v>
      </c>
      <c r="BM10" s="13">
        <f>IF($C$6=TRUE(),10919.5,"")</f>
        <v>10919.5</v>
      </c>
      <c r="BN10" s="14"/>
      <c r="BO10" s="14"/>
    </row>
    <row r="11" spans="1:67" ht="15" customHeight="1">
      <c r="A11" s="9" t="s">
        <v>252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0">
        <f>IF($D$6=TRUE(),1782.1,"")</f>
        <v>1782.1</v>
      </c>
      <c r="AO11" s="10">
        <f>IF($D$6=TRUE(),2028.4,"")</f>
        <v>2028.4</v>
      </c>
      <c r="AP11" s="10">
        <f>IF($D$6=TRUE(),2239.2,"")</f>
        <v>2239.1999999999998</v>
      </c>
      <c r="AQ11" s="10">
        <f>IF($D$6=TRUE(),2538.1,"")</f>
        <v>2538.1</v>
      </c>
      <c r="AR11" s="10">
        <f>IF($D$6=TRUE(),3075,"")</f>
        <v>3075</v>
      </c>
      <c r="AS11" s="10">
        <f>IF($D$6=TRUE(),3075,"")</f>
        <v>3075</v>
      </c>
      <c r="AT11" s="10">
        <f>IF($D$6=TRUE(),3225.3,"")</f>
        <v>3225.3</v>
      </c>
      <c r="AU11" s="10">
        <f>IF($D$6=TRUE(),3329.5,"")</f>
        <v>3329.5</v>
      </c>
      <c r="AV11" s="10">
        <f>IF($D$6=TRUE(),3599.6,"")</f>
        <v>3599.6</v>
      </c>
      <c r="AW11" s="10">
        <f>IF($D$6=TRUE(),3749.5,"")</f>
        <v>3749.5</v>
      </c>
      <c r="AX11" s="10">
        <f>IF($D$6=TRUE(),4219.8,"")</f>
        <v>4219.8</v>
      </c>
      <c r="AY11" s="10">
        <f>IF($D$6=TRUE(),4402.6,"")</f>
        <v>4402.6000000000004</v>
      </c>
      <c r="AZ11" s="10">
        <f>IF($D$6=TRUE(),4812.4,"")</f>
        <v>4812.3999999999996</v>
      </c>
      <c r="BA11" s="10">
        <f>IF($D$6=TRUE(),5478.8,"")</f>
        <v>5478.8</v>
      </c>
      <c r="BB11" s="10">
        <f>IF($D$6=TRUE(),6161.1,"")</f>
        <v>6161.1</v>
      </c>
      <c r="BC11" s="10">
        <f>IF($D$6=TRUE(),6505.6,"")</f>
        <v>6505.6</v>
      </c>
      <c r="BD11" s="10">
        <f>IF($D$6=TRUE(),6573.2,"")</f>
        <v>6573.2</v>
      </c>
      <c r="BE11" s="10">
        <f>IF($D$6=TRUE(),6546.1,"")</f>
        <v>6546.1</v>
      </c>
      <c r="BF11" s="10">
        <f>IF($D$6=TRUE(),6741.2,"")</f>
        <v>6741.2</v>
      </c>
      <c r="BG11" s="10">
        <f>IF($D$6=TRUE(),7040.5,"")</f>
        <v>7040.5</v>
      </c>
      <c r="BH11" s="10">
        <f>IF($D$6=TRUE(),8178.4,"")</f>
        <v>8178.4</v>
      </c>
      <c r="BI11" s="10">
        <f>IF($D$6=TRUE(),8539.8,"")</f>
        <v>8539.7999999999993</v>
      </c>
      <c r="BJ11" s="10">
        <f>IF($D$6=TRUE(),8857,"")</f>
        <v>8857</v>
      </c>
      <c r="BK11" s="10">
        <f>IF($D$6=TRUE(),10455.1,"")</f>
        <v>10455.1</v>
      </c>
      <c r="BL11" s="10">
        <f>IF($D$6=TRUE(),10940.9,"")</f>
        <v>10940.9</v>
      </c>
      <c r="BM11" s="10">
        <f>IF($D$6=TRUE(),11363.3,"")</f>
        <v>11363.3</v>
      </c>
      <c r="BN11" s="11"/>
      <c r="BO11" s="11"/>
    </row>
    <row r="12" spans="1:67" ht="15" customHeight="1">
      <c r="A12" s="12" t="s">
        <v>253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3">
        <f>IF($E$6=TRUE(),1756.6,"")</f>
        <v>1756.6</v>
      </c>
      <c r="AO12" s="13">
        <f>IF($E$6=TRUE(),2119.3,"")</f>
        <v>2119.3000000000002</v>
      </c>
      <c r="AP12" s="13">
        <f>IF($E$6=TRUE(),2364.2,"")</f>
        <v>2364.1999999999998</v>
      </c>
      <c r="AQ12" s="13">
        <f>IF($E$6=TRUE(),2714.8,"")</f>
        <v>2714.8</v>
      </c>
      <c r="AR12" s="13">
        <f>IF($E$6=TRUE(),3225,"")</f>
        <v>3225</v>
      </c>
      <c r="AS12" s="13">
        <f>IF($E$6=TRUE(),3165,"")</f>
        <v>3165</v>
      </c>
      <c r="AT12" s="13">
        <f>IF($E$6=TRUE(),3457.8,"")</f>
        <v>3457.8</v>
      </c>
      <c r="AU12" s="13">
        <f>IF($E$6=TRUE(),3522.3,"")</f>
        <v>3522.3</v>
      </c>
      <c r="AV12" s="13">
        <f>IF($E$6=TRUE(),3545,"")</f>
        <v>3545</v>
      </c>
      <c r="AW12" s="13">
        <f>IF($E$6=TRUE(),3557.1,"")</f>
        <v>3557.1</v>
      </c>
      <c r="AX12" s="13">
        <f>IF($E$6=TRUE(),3836.8,"")</f>
        <v>3836.8</v>
      </c>
      <c r="AY12" s="13">
        <f>IF($E$6=TRUE(),3881.8,"")</f>
        <v>3881.8</v>
      </c>
      <c r="AZ12" s="13">
        <f>IF($E$6=TRUE(),4399.2,"")</f>
        <v>4399.2</v>
      </c>
      <c r="BA12" s="13">
        <f>IF($E$6=TRUE(),5334.4,"")</f>
        <v>5334.4</v>
      </c>
      <c r="BB12" s="13">
        <f>IF($E$6=TRUE(),5533.6,"")</f>
        <v>5533.6</v>
      </c>
      <c r="BC12" s="13">
        <f>IF($E$6=TRUE(),5435.8,"")</f>
        <v>5435.8</v>
      </c>
      <c r="BD12" s="13">
        <f>IF($E$6=TRUE(),5689.4,"")</f>
        <v>5689.4</v>
      </c>
      <c r="BE12" s="13">
        <f>IF($E$6=TRUE(),5657.7,"")</f>
        <v>5657.7</v>
      </c>
      <c r="BF12" s="13">
        <f>IF($E$6=TRUE(),6072.1,"")</f>
        <v>6072.1</v>
      </c>
      <c r="BG12" s="13">
        <f>IF($E$6=TRUE(),6416.5,"")</f>
        <v>6416.5</v>
      </c>
      <c r="BH12" s="13">
        <f>IF($E$6=TRUE(),6856.6,"")</f>
        <v>6856.6</v>
      </c>
      <c r="BI12" s="13">
        <f>IF($E$6=TRUE(),7362.4,"")</f>
        <v>7362.4</v>
      </c>
      <c r="BJ12" s="13">
        <f>IF($E$6=TRUE(),7776.8,"")</f>
        <v>7776.8</v>
      </c>
      <c r="BK12" s="13">
        <f>IF($E$6=TRUE(),9425.8,"")</f>
        <v>9425.7999999999993</v>
      </c>
      <c r="BL12" s="13">
        <f>IF($E$6=TRUE(),9624.8,"")</f>
        <v>9624.7999999999993</v>
      </c>
      <c r="BM12" s="13">
        <f>IF($E$6=TRUE(),9753.1,"")</f>
        <v>9753.1</v>
      </c>
      <c r="BN12" s="14"/>
      <c r="BO12" s="14"/>
    </row>
    <row r="13" spans="1:67" ht="15" customHeight="1">
      <c r="A13" s="9" t="s">
        <v>254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0">
        <f>IF($F$6=TRUE(),1818.8,"")</f>
        <v>1818.8</v>
      </c>
      <c r="AO13" s="10">
        <f>IF($F$6=TRUE(),2121.5,"")</f>
        <v>2121.5</v>
      </c>
      <c r="AP13" s="10">
        <f>IF($F$6=TRUE(),2331.4,"")</f>
        <v>2331.4</v>
      </c>
      <c r="AQ13" s="10">
        <f>IF($F$6=TRUE(),2662.7,"")</f>
        <v>2662.7</v>
      </c>
      <c r="AR13" s="10">
        <f>IF($F$6=TRUE(),2955,"")</f>
        <v>2955</v>
      </c>
      <c r="AS13" s="10">
        <f>IF($F$6=TRUE(),2955,"")</f>
        <v>2955</v>
      </c>
      <c r="AT13" s="10">
        <f>IF($F$6=TRUE(),3097.6,"")</f>
        <v>3097.6</v>
      </c>
      <c r="AU13" s="10">
        <f>IF($F$6=TRUE(),3370.7,"")</f>
        <v>3370.7</v>
      </c>
      <c r="AV13" s="10">
        <f>IF($F$6=TRUE(),3399.2,"")</f>
        <v>3399.2</v>
      </c>
      <c r="AW13" s="10">
        <f>IF($F$6=TRUE(),3399.2,"")</f>
        <v>3399.2</v>
      </c>
      <c r="AX13" s="10">
        <f>IF($F$6=TRUE(),3861.7,"")</f>
        <v>3861.7</v>
      </c>
      <c r="AY13" s="10">
        <f>IF($F$6=TRUE(),3955.7,"")</f>
        <v>3955.7</v>
      </c>
      <c r="AZ13" s="10">
        <f>IF($F$6=TRUE(),4079,"")</f>
        <v>4079</v>
      </c>
      <c r="BA13" s="10">
        <f>IF($F$6=TRUE(),4713.6,"")</f>
        <v>4713.6000000000004</v>
      </c>
      <c r="BB13" s="10">
        <f>IF($F$6=TRUE(),4713.6,"")</f>
        <v>4713.6000000000004</v>
      </c>
      <c r="BC13" s="10">
        <f>IF($F$6=TRUE(),5635,"")</f>
        <v>5635</v>
      </c>
      <c r="BD13" s="10">
        <f>IF($F$6=TRUE(),5487.6,"")</f>
        <v>5487.6</v>
      </c>
      <c r="BE13" s="10">
        <f>IF($F$6=TRUE(),5487.6,"")</f>
        <v>5487.6</v>
      </c>
      <c r="BF13" s="10">
        <f>IF($F$6=TRUE(),6019.2,"")</f>
        <v>6019.2</v>
      </c>
      <c r="BG13" s="10">
        <f>IF($F$6=TRUE(),6467.5,"")</f>
        <v>6467.5</v>
      </c>
      <c r="BH13" s="10">
        <f>IF($F$6=TRUE(),7736.6,"")</f>
        <v>7736.6</v>
      </c>
      <c r="BI13" s="10">
        <f>IF($F$6=TRUE(),8165.6,"")</f>
        <v>8165.6</v>
      </c>
      <c r="BJ13" s="10">
        <f>IF($F$6=TRUE(),8407.8,"")</f>
        <v>8407.7999999999993</v>
      </c>
      <c r="BK13" s="10">
        <f>IF($F$6=TRUE(),9267.9,"")</f>
        <v>9267.9</v>
      </c>
      <c r="BL13" s="10">
        <f>IF($F$6=TRUE(),9753,"")</f>
        <v>9753</v>
      </c>
      <c r="BM13" s="10">
        <f>IF($F$6=TRUE(),10037.5,"")</f>
        <v>10037.5</v>
      </c>
      <c r="BN13" s="11"/>
      <c r="BO13" s="11"/>
    </row>
    <row r="14" spans="1:67" ht="15" customHeight="1">
      <c r="A14" s="12" t="s">
        <v>255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3" t="str">
        <f>IF($G$6=TRUE(),1815,"")</f>
        <v/>
      </c>
      <c r="AO14" s="13" t="str">
        <f>IF($G$6=TRUE(),2129.1,"")</f>
        <v/>
      </c>
      <c r="AP14" s="13" t="str">
        <f>IF($G$6=TRUE(),2358.4,"")</f>
        <v/>
      </c>
      <c r="AQ14" s="13" t="str">
        <f>IF($G$6=TRUE(),2655.3,"")</f>
        <v/>
      </c>
      <c r="AR14" s="13" t="str">
        <f>IF($G$6=TRUE(),2985,"")</f>
        <v/>
      </c>
      <c r="AS14" s="13" t="str">
        <f>IF($G$6=TRUE(),2985,"")</f>
        <v/>
      </c>
      <c r="AT14" s="13" t="str">
        <f>IF($G$6=TRUE(),3134.2,"")</f>
        <v/>
      </c>
      <c r="AU14" s="13" t="str">
        <f>IF($G$6=TRUE(),3435.1,"")</f>
        <v/>
      </c>
      <c r="AV14" s="13" t="str">
        <f>IF($G$6=TRUE(),3435.2,"")</f>
        <v/>
      </c>
      <c r="AW14" s="13" t="str">
        <f>IF($G$6=TRUE(),3435.2,"")</f>
        <v/>
      </c>
      <c r="AX14" s="13" t="str">
        <f>IF($G$6=TRUE(),4017.6,"")</f>
        <v/>
      </c>
      <c r="AY14" s="13" t="str">
        <f>IF($G$6=TRUE(),4035.6,"")</f>
        <v/>
      </c>
      <c r="AZ14" s="13" t="str">
        <f>IF($G$6=TRUE(),4122.4,"")</f>
        <v/>
      </c>
      <c r="BA14" s="13" t="str">
        <f>IF($G$6=TRUE(),5080.3,"")</f>
        <v/>
      </c>
      <c r="BB14" s="13" t="str">
        <f>IF($G$6=TRUE(),5194.1,"")</f>
        <v/>
      </c>
      <c r="BC14" s="13" t="str">
        <f>IF($G$6=TRUE(),6001.8,"")</f>
        <v/>
      </c>
      <c r="BD14" s="13" t="str">
        <f>IF($G$6=TRUE(),5845.6,"")</f>
        <v/>
      </c>
      <c r="BE14" s="13" t="str">
        <f>IF($G$6=TRUE(),5740.9,"")</f>
        <v/>
      </c>
      <c r="BF14" s="13" t="str">
        <f>IF($G$6=TRUE(),6415.5,"")</f>
        <v/>
      </c>
      <c r="BG14" s="13" t="str">
        <f>IF($G$6=TRUE(),6893.3,"")</f>
        <v/>
      </c>
      <c r="BH14" s="13" t="str">
        <f>IF($G$6=TRUE(),8309.4,"")</f>
        <v/>
      </c>
      <c r="BI14" s="13" t="str">
        <f>IF($G$6=TRUE(),8791.2,"")</f>
        <v/>
      </c>
      <c r="BJ14" s="13" t="str">
        <f>IF($G$6=TRUE(),8961.2,"")</f>
        <v/>
      </c>
      <c r="BK14" s="13" t="str">
        <f>IF($G$6=TRUE(),9857.4,"")</f>
        <v/>
      </c>
      <c r="BL14" s="13" t="str">
        <f>IF($G$6=TRUE(),10243.4,"")</f>
        <v/>
      </c>
      <c r="BM14" s="13" t="str">
        <f>IF($G$6=TRUE(),10698.4,"")</f>
        <v/>
      </c>
      <c r="BN14" s="14"/>
      <c r="BO14" s="14"/>
    </row>
    <row r="15" spans="1:67" ht="15" customHeight="1">
      <c r="A15" s="9" t="s">
        <v>256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0" t="str">
        <f>IF($H$6=TRUE(),1787.7,"")</f>
        <v/>
      </c>
      <c r="AO15" s="10" t="str">
        <f>IF($H$6=TRUE(),2205.8,"")</f>
        <v/>
      </c>
      <c r="AP15" s="10" t="str">
        <f>IF($H$6=TRUE(),2387,"")</f>
        <v/>
      </c>
      <c r="AQ15" s="10" t="str">
        <f>IF($H$6=TRUE(),2687.6,"")</f>
        <v/>
      </c>
      <c r="AR15" s="10" t="str">
        <f>IF($H$6=TRUE(),3106.5,"")</f>
        <v/>
      </c>
      <c r="AS15" s="10" t="str">
        <f>IF($H$6=TRUE(),3100.5,"")</f>
        <v/>
      </c>
      <c r="AT15" s="10" t="str">
        <f>IF($H$6=TRUE(),3131.5,"")</f>
        <v/>
      </c>
      <c r="AU15" s="10" t="str">
        <f>IF($H$6=TRUE(),3131.5,"")</f>
        <v/>
      </c>
      <c r="AV15" s="10" t="str">
        <f>IF($H$6=TRUE(),3522.2,"")</f>
        <v/>
      </c>
      <c r="AW15" s="10" t="str">
        <f>IF($H$6=TRUE(),3522.2,"")</f>
        <v/>
      </c>
      <c r="AX15" s="10" t="str">
        <f>IF($H$6=TRUE(),3896.7,"")</f>
        <v/>
      </c>
      <c r="AY15" s="10" t="str">
        <f>IF($H$6=TRUE(),4078.5,"")</f>
        <v/>
      </c>
      <c r="AZ15" s="10" t="str">
        <f>IF($H$6=TRUE(),4406.3,"")</f>
        <v/>
      </c>
      <c r="BA15" s="10" t="str">
        <f>IF($H$6=TRUE(),5341.5,"")</f>
        <v/>
      </c>
      <c r="BB15" s="10" t="str">
        <f>IF($H$6=TRUE(),5767.7,"")</f>
        <v/>
      </c>
      <c r="BC15" s="10" t="str">
        <f>IF($H$6=TRUE(),6302.5,"")</f>
        <v/>
      </c>
      <c r="BD15" s="10" t="str">
        <f>IF($H$6=TRUE(),7192.4,"")</f>
        <v/>
      </c>
      <c r="BE15" s="10" t="str">
        <f>IF($H$6=TRUE(),7066.4,"")</f>
        <v/>
      </c>
      <c r="BF15" s="10" t="str">
        <f>IF($H$6=TRUE(),8593.6,"")</f>
        <v/>
      </c>
      <c r="BG15" s="10" t="str">
        <f>IF($H$6=TRUE(),9034.8,"")</f>
        <v/>
      </c>
      <c r="BH15" s="10" t="str">
        <f>IF($H$6=TRUE(),10730.3,"")</f>
        <v/>
      </c>
      <c r="BI15" s="10" t="str">
        <f>IF($H$6=TRUE(),11894,"")</f>
        <v/>
      </c>
      <c r="BJ15" s="10" t="str">
        <f>IF($H$6=TRUE(),11925.9,"")</f>
        <v/>
      </c>
      <c r="BK15" s="10" t="str">
        <f>IF($H$6=TRUE(),13570.3,"")</f>
        <v/>
      </c>
      <c r="BL15" s="10" t="str">
        <f>IF($H$6=TRUE(),14103.3,"")</f>
        <v/>
      </c>
      <c r="BM15" s="10" t="str">
        <f>IF($H$6=TRUE(),14582.2,"")</f>
        <v/>
      </c>
      <c r="BN15" s="11"/>
      <c r="BO15" s="11"/>
    </row>
    <row r="16" spans="1:67" ht="15" customHeight="1">
      <c r="A16" s="12" t="s">
        <v>257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3" t="str">
        <f>IF($I$6=TRUE(),1787.7,"")</f>
        <v/>
      </c>
      <c r="AO16" s="13" t="str">
        <f>IF($I$6=TRUE(),2205.8,"")</f>
        <v/>
      </c>
      <c r="AP16" s="13" t="str">
        <f>IF($I$6=TRUE(),2387,"")</f>
        <v/>
      </c>
      <c r="AQ16" s="13" t="str">
        <f>IF($I$6=TRUE(),2687.6,"")</f>
        <v/>
      </c>
      <c r="AR16" s="13" t="str">
        <f>IF($I$6=TRUE(),2839.5,"")</f>
        <v/>
      </c>
      <c r="AS16" s="13" t="str">
        <f>IF($I$6=TRUE(),2823,"")</f>
        <v/>
      </c>
      <c r="AT16" s="13" t="str">
        <f>IF($I$6=TRUE(),2851.2,"")</f>
        <v/>
      </c>
      <c r="AU16" s="13" t="str">
        <f>IF($I$6=TRUE(),2851.2,"")</f>
        <v/>
      </c>
      <c r="AV16" s="13" t="str">
        <f>IF($I$6=TRUE(),3260.9,"")</f>
        <v/>
      </c>
      <c r="AW16" s="13" t="str">
        <f>IF($I$6=TRUE(),3206.9,"")</f>
        <v/>
      </c>
      <c r="AX16" s="13" t="str">
        <f>IF($I$6=TRUE(),3643.1,"")</f>
        <v/>
      </c>
      <c r="AY16" s="13" t="str">
        <f>IF($I$6=TRUE(),3643.1,"")</f>
        <v/>
      </c>
      <c r="AZ16" s="13" t="str">
        <f>IF($I$6=TRUE(),4005.1,"")</f>
        <v/>
      </c>
      <c r="BA16" s="13" t="str">
        <f>IF($I$6=TRUE(),4855.3,"")</f>
        <v/>
      </c>
      <c r="BB16" s="13" t="str">
        <f>IF($I$6=TRUE(),5243.4,"")</f>
        <v/>
      </c>
      <c r="BC16" s="13" t="str">
        <f>IF($I$6=TRUE(),5735.2,"")</f>
        <v/>
      </c>
      <c r="BD16" s="13" t="str">
        <f>IF($I$6=TRUE(),6541.2,"")</f>
        <v/>
      </c>
      <c r="BE16" s="13" t="str">
        <f>IF($I$6=TRUE(),6426.4,"")</f>
        <v/>
      </c>
      <c r="BF16" s="13" t="str">
        <f>IF($I$6=TRUE(),7793.9,"")</f>
        <v/>
      </c>
      <c r="BG16" s="13" t="str">
        <f>IF($I$6=TRUE(),8195.3,"")</f>
        <v/>
      </c>
      <c r="BH16" s="13" t="str">
        <f>IF($I$6=TRUE(),9731.1,"")</f>
        <v/>
      </c>
      <c r="BI16" s="13" t="str">
        <f>IF($I$6=TRUE(),10786.2,"")</f>
        <v/>
      </c>
      <c r="BJ16" s="13" t="str">
        <f>IF($I$6=TRUE(),10817.8,"")</f>
        <v/>
      </c>
      <c r="BK16" s="13" t="str">
        <f>IF($I$6=TRUE(),12309.3,"")</f>
        <v/>
      </c>
      <c r="BL16" s="13" t="str">
        <f>IF($I$6=TRUE(),12792.9,"")</f>
        <v/>
      </c>
      <c r="BM16" s="13" t="str">
        <f>IF($I$6=TRUE(),13227.2,"")</f>
        <v/>
      </c>
      <c r="BN16" s="14"/>
      <c r="BO16" s="14"/>
    </row>
    <row r="17" spans="1:67" ht="15" customHeight="1">
      <c r="A17" s="9" t="s">
        <v>258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0" t="str">
        <f>IF($J$6=TRUE(),1752.1,"")</f>
        <v/>
      </c>
      <c r="AO17" s="10" t="str">
        <f>IF($J$6=TRUE(),2167,"")</f>
        <v/>
      </c>
      <c r="AP17" s="10" t="str">
        <f>IF($J$6=TRUE(),2362.9,"")</f>
        <v/>
      </c>
      <c r="AQ17" s="10" t="str">
        <f>IF($J$6=TRUE(),2714.4,"")</f>
        <v/>
      </c>
      <c r="AR17" s="10" t="str">
        <f>IF($J$6=TRUE(),2547,"")</f>
        <v/>
      </c>
      <c r="AS17" s="10" t="str">
        <f>IF($J$6=TRUE(),2362.5,"")</f>
        <v/>
      </c>
      <c r="AT17" s="10" t="str">
        <f>IF($J$6=TRUE(),2645.3,"")</f>
        <v/>
      </c>
      <c r="AU17" s="10" t="str">
        <f>IF($J$6=TRUE(),2753.5,"")</f>
        <v/>
      </c>
      <c r="AV17" s="10" t="str">
        <f>IF($J$6=TRUE(),2888.8,"")</f>
        <v/>
      </c>
      <c r="AW17" s="10" t="str">
        <f>IF($J$6=TRUE(),2888.8,"")</f>
        <v/>
      </c>
      <c r="AX17" s="10" t="str">
        <f>IF($J$6=TRUE(),3034.3,"")</f>
        <v/>
      </c>
      <c r="AY17" s="10" t="str">
        <f>IF($J$6=TRUE(),3122.5,"")</f>
        <v/>
      </c>
      <c r="AZ17" s="10" t="str">
        <f>IF($J$6=TRUE(),3305.5,"")</f>
        <v/>
      </c>
      <c r="BA17" s="10" t="str">
        <f>IF($J$6=TRUE(),3610.8,"")</f>
        <v/>
      </c>
      <c r="BB17" s="10" t="str">
        <f>IF($J$6=TRUE(),4257.2,"")</f>
        <v/>
      </c>
      <c r="BC17" s="10" t="str">
        <f>IF($J$6=TRUE(),4540.6,"")</f>
        <v/>
      </c>
      <c r="BD17" s="10" t="str">
        <f>IF($J$6=TRUE(),5176,"")</f>
        <v/>
      </c>
      <c r="BE17" s="10" t="str">
        <f>IF($J$6=TRUE(),5172.2,"")</f>
        <v/>
      </c>
      <c r="BF17" s="10" t="str">
        <f>IF($J$6=TRUE(),5270,"")</f>
        <v/>
      </c>
      <c r="BG17" s="10" t="str">
        <f>IF($J$6=TRUE(),5609.7,"")</f>
        <v/>
      </c>
      <c r="BH17" s="10" t="str">
        <f>IF($J$6=TRUE(),6140.6,"")</f>
        <v/>
      </c>
      <c r="BI17" s="10" t="str">
        <f>IF($J$6=TRUE(),6172.6,"")</f>
        <v/>
      </c>
      <c r="BJ17" s="10" t="str">
        <f>IF($J$6=TRUE(),6939.2,"")</f>
        <v/>
      </c>
      <c r="BK17" s="10" t="str">
        <f>IF($J$6=TRUE(),8235,"")</f>
        <v/>
      </c>
      <c r="BL17" s="10" t="str">
        <f>IF($J$6=TRUE(),8459.4,"")</f>
        <v/>
      </c>
      <c r="BM17" s="10" t="str">
        <f>IF($J$6=TRUE(),8644.6,"")</f>
        <v/>
      </c>
      <c r="BN17" s="11"/>
      <c r="BO17" s="11"/>
    </row>
    <row r="18" spans="1:67" ht="15" customHeight="1">
      <c r="A18" s="12" t="s">
        <v>259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3" t="str">
        <f>IF($K$6=TRUE(),1875,"")</f>
        <v/>
      </c>
      <c r="AO18" s="13" t="str">
        <f>IF($K$6=TRUE(),1875,"")</f>
        <v/>
      </c>
      <c r="AP18" s="13" t="str">
        <f>IF($K$6=TRUE(),1875,"")</f>
        <v/>
      </c>
      <c r="AQ18" s="13" t="str">
        <f>IF($K$6=TRUE(),1875,"")</f>
        <v/>
      </c>
      <c r="AR18" s="13" t="str">
        <f>IF($K$6=TRUE(),2302.5,"")</f>
        <v/>
      </c>
      <c r="AS18" s="13" t="str">
        <f>IF($K$6=TRUE(),2302.5,"")</f>
        <v/>
      </c>
      <c r="AT18" s="13" t="str">
        <f>IF($K$6=TRUE(),2751.9,"")</f>
        <v/>
      </c>
      <c r="AU18" s="13" t="str">
        <f>IF($K$6=TRUE(),2896.2,"")</f>
        <v/>
      </c>
      <c r="AV18" s="13" t="str">
        <f>IF($K$6=TRUE(),2896.2,"")</f>
        <v/>
      </c>
      <c r="AW18" s="13" t="str">
        <f>IF($K$6=TRUE(),3090.9,"")</f>
        <v/>
      </c>
      <c r="AX18" s="13" t="str">
        <f>IF($K$6=TRUE(),3729.1,"")</f>
        <v/>
      </c>
      <c r="AY18" s="13" t="str">
        <f>IF($K$6=TRUE(),3762.8,"")</f>
        <v/>
      </c>
      <c r="AZ18" s="13" t="str">
        <f>IF($K$6=TRUE(),4319,"")</f>
        <v/>
      </c>
      <c r="BA18" s="13" t="str">
        <f>IF($K$6=TRUE(),4597.6,"")</f>
        <v/>
      </c>
      <c r="BB18" s="13" t="str">
        <f>IF($K$6=TRUE(),4697.4,"")</f>
        <v/>
      </c>
      <c r="BC18" s="13" t="str">
        <f>IF($K$6=TRUE(),5063.5,"")</f>
        <v/>
      </c>
      <c r="BD18" s="13" t="str">
        <f>IF($K$6=TRUE(),5556.5,"")</f>
        <v/>
      </c>
      <c r="BE18" s="13" t="str">
        <f>IF($K$6=TRUE(),5556.5,"")</f>
        <v/>
      </c>
      <c r="BF18" s="13" t="str">
        <f>IF($K$6=TRUE(),5614.2,"")</f>
        <v/>
      </c>
      <c r="BG18" s="13" t="str">
        <f>IF($K$6=TRUE(),5721.7,"")</f>
        <v/>
      </c>
      <c r="BH18" s="13" t="str">
        <f>IF($K$6=TRUE(),6061.3,"")</f>
        <v/>
      </c>
      <c r="BI18" s="13" t="str">
        <f>IF($K$6=TRUE(),6452.2,"")</f>
        <v/>
      </c>
      <c r="BJ18" s="13" t="str">
        <f>IF($K$6=TRUE(),7169.2,"")</f>
        <v/>
      </c>
      <c r="BK18" s="13" t="str">
        <f>IF($K$6=TRUE(),7764.3,"")</f>
        <v/>
      </c>
      <c r="BL18" s="13" t="str">
        <f>IF($K$6=TRUE(),7878.8,"")</f>
        <v/>
      </c>
      <c r="BM18" s="13" t="str">
        <f>IF($K$6=TRUE(),7987.5,"")</f>
        <v/>
      </c>
      <c r="BN18" s="14"/>
      <c r="BO18" s="14"/>
    </row>
    <row r="19" spans="1:67" ht="15" customHeight="1">
      <c r="A19" s="9" t="s">
        <v>260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0" t="str">
        <f>IF($L$6=TRUE(),1757.3,"")</f>
        <v/>
      </c>
      <c r="AO19" s="10" t="str">
        <f>IF($L$6=TRUE(),2139,"")</f>
        <v/>
      </c>
      <c r="AP19" s="10" t="str">
        <f>IF($L$6=TRUE(),2390.3,"")</f>
        <v/>
      </c>
      <c r="AQ19" s="10" t="str">
        <f>IF($L$6=TRUE(),2735.3,"")</f>
        <v/>
      </c>
      <c r="AR19" s="10" t="str">
        <f>IF($L$6=TRUE(),2814,"")</f>
        <v/>
      </c>
      <c r="AS19" s="10" t="str">
        <f>IF($L$6=TRUE(),2814,"")</f>
        <v/>
      </c>
      <c r="AT19" s="10" t="str">
        <f>IF($L$6=TRUE(),2842.1,"")</f>
        <v/>
      </c>
      <c r="AU19" s="10" t="str">
        <f>IF($L$6=TRUE(),2842.1,"")</f>
        <v/>
      </c>
      <c r="AV19" s="10" t="str">
        <f>IF($L$6=TRUE(),2926.6,"")</f>
        <v/>
      </c>
      <c r="AW19" s="10" t="str">
        <f>IF($L$6=TRUE(),2954.7,"")</f>
        <v/>
      </c>
      <c r="AX19" s="10" t="str">
        <f>IF($L$6=TRUE(),3260.2,"")</f>
        <v/>
      </c>
      <c r="AY19" s="10" t="str">
        <f>IF($L$6=TRUE(),3426.6,"")</f>
        <v/>
      </c>
      <c r="AZ19" s="10" t="str">
        <f>IF($L$6=TRUE(),3598.8,"")</f>
        <v/>
      </c>
      <c r="BA19" s="10" t="str">
        <f>IF($L$6=TRUE(),4320.7,"")</f>
        <v/>
      </c>
      <c r="BB19" s="10" t="str">
        <f>IF($L$6=TRUE(),4848.6,"")</f>
        <v/>
      </c>
      <c r="BC19" s="10" t="str">
        <f>IF($L$6=TRUE(),5303,"")</f>
        <v/>
      </c>
      <c r="BD19" s="10" t="str">
        <f>IF($L$6=TRUE(),5943.6,"")</f>
        <v/>
      </c>
      <c r="BE19" s="10" t="str">
        <f>IF($L$6=TRUE(),5894,"")</f>
        <v/>
      </c>
      <c r="BF19" s="10" t="str">
        <f>IF($L$6=TRUE(),6389.2,"")</f>
        <v/>
      </c>
      <c r="BG19" s="10" t="str">
        <f>IF($L$6=TRUE(),6626.3,"")</f>
        <v/>
      </c>
      <c r="BH19" s="10" t="str">
        <f>IF($L$6=TRUE(),7410.4,"")</f>
        <v/>
      </c>
      <c r="BI19" s="10" t="str">
        <f>IF($L$6=TRUE(),8131.3,"")</f>
        <v/>
      </c>
      <c r="BJ19" s="10" t="str">
        <f>IF($L$6=TRUE(),8276.3,"")</f>
        <v/>
      </c>
      <c r="BK19" s="10" t="str">
        <f>IF($L$6=TRUE(),10151.5,"")</f>
        <v/>
      </c>
      <c r="BL19" s="10" t="str">
        <f>IF($L$6=TRUE(),10502.7,"")</f>
        <v/>
      </c>
      <c r="BM19" s="10" t="str">
        <f>IF($L$6=TRUE(),10807.5,"")</f>
        <v/>
      </c>
      <c r="BN19" s="11"/>
      <c r="BO19" s="11"/>
    </row>
    <row r="20" spans="1:67" ht="15" customHeight="1">
      <c r="A20" s="12" t="s">
        <v>261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3" t="str">
        <f>IF($M$6=TRUE(),1646.3,"")</f>
        <v/>
      </c>
      <c r="AO20" s="13" t="str">
        <f>IF($M$6=TRUE(),2003,"")</f>
        <v/>
      </c>
      <c r="AP20" s="13" t="str">
        <f>IF($M$6=TRUE(),2176.8,"")</f>
        <v/>
      </c>
      <c r="AQ20" s="13" t="str">
        <f>IF($M$6=TRUE(),2411.9,"")</f>
        <v/>
      </c>
      <c r="AR20" s="13" t="str">
        <f>IF($M$6=TRUE(),2214,"")</f>
        <v/>
      </c>
      <c r="AS20" s="13" t="str">
        <f>IF($M$6=TRUE(),2173.5,"")</f>
        <v/>
      </c>
      <c r="AT20" s="13" t="str">
        <f>IF($M$6=TRUE(),2667.4,"")</f>
        <v/>
      </c>
      <c r="AU20" s="13" t="str">
        <f>IF($M$6=TRUE(),2990.3,"")</f>
        <v/>
      </c>
      <c r="AV20" s="13" t="str">
        <f>IF($M$6=TRUE(),3025.5,"")</f>
        <v/>
      </c>
      <c r="AW20" s="13" t="str">
        <f>IF($M$6=TRUE(),3251.6,"")</f>
        <v/>
      </c>
      <c r="AX20" s="13" t="str">
        <f>IF($M$6=TRUE(),3413.3,"")</f>
        <v/>
      </c>
      <c r="AY20" s="13" t="str">
        <f>IF($M$6=TRUE(),3375.1,"")</f>
        <v/>
      </c>
      <c r="AZ20" s="13" t="str">
        <f>IF($M$6=TRUE(),3382.3,"")</f>
        <v/>
      </c>
      <c r="BA20" s="13" t="str">
        <f>IF($M$6=TRUE(),3384.4,"")</f>
        <v/>
      </c>
      <c r="BB20" s="13" t="str">
        <f>IF($M$6=TRUE(),3768.6,"")</f>
        <v/>
      </c>
      <c r="BC20" s="13" t="str">
        <f>IF($M$6=TRUE(),4338.9,"")</f>
        <v/>
      </c>
      <c r="BD20" s="13" t="str">
        <f>IF($M$6=TRUE(),5136.6,"")</f>
        <v/>
      </c>
      <c r="BE20" s="13" t="str">
        <f>IF($M$6=TRUE(),4993,"")</f>
        <v/>
      </c>
      <c r="BF20" s="13" t="str">
        <f>IF($M$6=TRUE(),5079.9,"")</f>
        <v/>
      </c>
      <c r="BG20" s="13" t="str">
        <f>IF($M$6=TRUE(),5247.3,"")</f>
        <v/>
      </c>
      <c r="BH20" s="13" t="str">
        <f>IF($M$6=TRUE(),6375.6,"")</f>
        <v/>
      </c>
      <c r="BI20" s="13" t="str">
        <f>IF($M$6=TRUE(),6539.1,"")</f>
        <v/>
      </c>
      <c r="BJ20" s="13" t="str">
        <f>IF($M$6=TRUE(),6999.9,"")</f>
        <v/>
      </c>
      <c r="BK20" s="13" t="str">
        <f>IF($M$6=TRUE(),7844.7,"")</f>
        <v/>
      </c>
      <c r="BL20" s="13" t="str">
        <f>IF($M$6=TRUE(),8296,"")</f>
        <v/>
      </c>
      <c r="BM20" s="13" t="str">
        <f>IF($M$6=TRUE(),8710.5,"")</f>
        <v/>
      </c>
      <c r="BN20" s="14"/>
      <c r="BO20" s="14"/>
    </row>
    <row r="21" spans="1:67" ht="15" customHeight="1">
      <c r="A21" s="9" t="s">
        <v>262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0" t="str">
        <f>IF($N$6=TRUE(),1564.5,"")</f>
        <v/>
      </c>
      <c r="AO21" s="10" t="str">
        <f>IF($N$6=TRUE(),2064,"")</f>
        <v/>
      </c>
      <c r="AP21" s="10" t="str">
        <f>IF($N$6=TRUE(),2298,"")</f>
        <v/>
      </c>
      <c r="AQ21" s="10" t="str">
        <f>IF($N$6=TRUE(),2463,"")</f>
        <v/>
      </c>
      <c r="AR21" s="10" t="str">
        <f>IF($N$6=TRUE(),2746.5,"")</f>
        <v/>
      </c>
      <c r="AS21" s="10" t="str">
        <f>IF($N$6=TRUE(),2670.2,"")</f>
        <v/>
      </c>
      <c r="AT21" s="10" t="str">
        <f>IF($N$6=TRUE(),2980.7,"")</f>
        <v/>
      </c>
      <c r="AU21" s="10" t="str">
        <f>IF($N$6=TRUE(),3285.8,"")</f>
        <v/>
      </c>
      <c r="AV21" s="10" t="str">
        <f>IF($N$6=TRUE(),3866.4,"")</f>
        <v/>
      </c>
      <c r="AW21" s="10" t="str">
        <f>IF($N$6=TRUE(),4048.3,"")</f>
        <v/>
      </c>
      <c r="AX21" s="10" t="str">
        <f>IF($N$6=TRUE(),4129.2,"")</f>
        <v/>
      </c>
      <c r="AY21" s="10" t="str">
        <f>IF($N$6=TRUE(),3967.3,"")</f>
        <v/>
      </c>
      <c r="AZ21" s="10" t="str">
        <f>IF($N$6=TRUE(),4420.7,"")</f>
        <v/>
      </c>
      <c r="BA21" s="10" t="str">
        <f>IF($N$6=TRUE(),5242.5,"")</f>
        <v/>
      </c>
      <c r="BB21" s="10" t="str">
        <f>IF($N$6=TRUE(),5734.8,"")</f>
        <v/>
      </c>
      <c r="BC21" s="10" t="str">
        <f>IF($N$6=TRUE(),6241.2,"")</f>
        <v/>
      </c>
      <c r="BD21" s="10" t="str">
        <f>IF($N$6=TRUE(),6241.2,"")</f>
        <v/>
      </c>
      <c r="BE21" s="10" t="str">
        <f>IF($N$6=TRUE(),6178.8,"")</f>
        <v/>
      </c>
      <c r="BF21" s="10" t="str">
        <f>IF($N$6=TRUE(),6753.6,"")</f>
        <v/>
      </c>
      <c r="BG21" s="10" t="str">
        <f>IF($N$6=TRUE(),6998.3,"")</f>
        <v/>
      </c>
      <c r="BH21" s="10" t="str">
        <f>IF($N$6=TRUE(),7889,"")</f>
        <v/>
      </c>
      <c r="BI21" s="10" t="str">
        <f>IF($N$6=TRUE(),8110.7,"")</f>
        <v/>
      </c>
      <c r="BJ21" s="10" t="str">
        <f>IF($N$6=TRUE(),9839.6,"")</f>
        <v/>
      </c>
      <c r="BK21" s="10" t="str">
        <f>IF($N$6=TRUE(),10924.4,"")</f>
        <v/>
      </c>
      <c r="BL21" s="10" t="str">
        <f>IF($N$6=TRUE(),11463.2,"")</f>
        <v/>
      </c>
      <c r="BM21" s="10" t="str">
        <f>IF($N$6=TRUE(),12596.9,"")</f>
        <v/>
      </c>
      <c r="BN21" s="11"/>
      <c r="BO21" s="11"/>
    </row>
    <row r="22" spans="1:67" ht="15" customHeight="1">
      <c r="A22" s="12" t="s">
        <v>263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3" t="str">
        <f>IF($O$6=TRUE(),1661.2,"")</f>
        <v/>
      </c>
      <c r="AO22" s="13" t="str">
        <f>IF($O$6=TRUE(),2133.3,"")</f>
        <v/>
      </c>
      <c r="AP22" s="13" t="str">
        <f>IF($O$6=TRUE(),2340.9,"")</f>
        <v/>
      </c>
      <c r="AQ22" s="13" t="str">
        <f>IF($O$6=TRUE(),2533,"")</f>
        <v/>
      </c>
      <c r="AR22" s="13" t="str">
        <f>IF($O$6=TRUE(),2700,"")</f>
        <v/>
      </c>
      <c r="AS22" s="13" t="str">
        <f>IF($O$6=TRUE(),2700,"")</f>
        <v/>
      </c>
      <c r="AT22" s="13" t="str">
        <f>IF($O$6=TRUE(),3190.2,"")</f>
        <v/>
      </c>
      <c r="AU22" s="13" t="str">
        <f>IF($O$6=TRUE(),3559.9,"")</f>
        <v/>
      </c>
      <c r="AV22" s="13" t="str">
        <f>IF($O$6=TRUE(),3563.4,"")</f>
        <v/>
      </c>
      <c r="AW22" s="13" t="str">
        <f>IF($O$6=TRUE(),3669.3,"")</f>
        <v/>
      </c>
      <c r="AX22" s="13" t="str">
        <f>IF($O$6=TRUE(),4251,"")</f>
        <v/>
      </c>
      <c r="AY22" s="13" t="str">
        <f>IF($O$6=TRUE(),4127,"")</f>
        <v/>
      </c>
      <c r="AZ22" s="13" t="str">
        <f>IF($O$6=TRUE(),4127,"")</f>
        <v/>
      </c>
      <c r="BA22" s="13" t="str">
        <f>IF($O$6=TRUE(),4582.8,"")</f>
        <v/>
      </c>
      <c r="BB22" s="13" t="str">
        <f>IF($O$6=TRUE(),4689.6,"")</f>
        <v/>
      </c>
      <c r="BC22" s="13" t="str">
        <f>IF($O$6=TRUE(),4891.8,"")</f>
        <v/>
      </c>
      <c r="BD22" s="13" t="str">
        <f>IF($O$6=TRUE(),5163.6,"")</f>
        <v/>
      </c>
      <c r="BE22" s="13" t="str">
        <f>IF($O$6=TRUE(),5337.5,"")</f>
        <v/>
      </c>
      <c r="BF22" s="13" t="str">
        <f>IF($O$6=TRUE(),5674.5,"")</f>
        <v/>
      </c>
      <c r="BG22" s="13" t="str">
        <f>IF($O$6=TRUE(),5938.7,"")</f>
        <v/>
      </c>
      <c r="BH22" s="13" t="str">
        <f>IF($O$6=TRUE(),6571.6,"")</f>
        <v/>
      </c>
      <c r="BI22" s="13" t="str">
        <f>IF($O$6=TRUE(),6880.7,"")</f>
        <v/>
      </c>
      <c r="BJ22" s="13" t="str">
        <f>IF($O$6=TRUE(),8041,"")</f>
        <v/>
      </c>
      <c r="BK22" s="13" t="str">
        <f>IF($O$6=TRUE(),8789.3,"")</f>
        <v/>
      </c>
      <c r="BL22" s="13" t="str">
        <f>IF($O$6=TRUE(),9288.1,"")</f>
        <v/>
      </c>
      <c r="BM22" s="13" t="str">
        <f>IF($O$6=TRUE(),9543.5,"")</f>
        <v/>
      </c>
      <c r="BN22" s="14"/>
      <c r="BO22" s="14"/>
    </row>
    <row r="23" spans="1:67" ht="15" customHeight="1">
      <c r="A23" s="9" t="s">
        <v>264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0" t="str">
        <f>IF($P$6=TRUE(),1765.9,"")</f>
        <v/>
      </c>
      <c r="AO23" s="10" t="str">
        <f>IF($P$6=TRUE(),2254.8,"")</f>
        <v/>
      </c>
      <c r="AP23" s="10" t="str">
        <f>IF($P$6=TRUE(),2351.6,"")</f>
        <v/>
      </c>
      <c r="AQ23" s="10" t="str">
        <f>IF($P$6=TRUE(),2646.9,"")</f>
        <v/>
      </c>
      <c r="AR23" s="10" t="str">
        <f>IF($P$6=TRUE(),2775,"")</f>
        <v/>
      </c>
      <c r="AS23" s="10" t="str">
        <f>IF($P$6=TRUE(),2850,"")</f>
        <v/>
      </c>
      <c r="AT23" s="10" t="str">
        <f>IF($P$6=TRUE(),3230.8,"")</f>
        <v/>
      </c>
      <c r="AU23" s="10" t="str">
        <f>IF($P$6=TRUE(),3881.7,"")</f>
        <v/>
      </c>
      <c r="AV23" s="10" t="str">
        <f>IF($P$6=TRUE(),3883.1,"")</f>
        <v/>
      </c>
      <c r="AW23" s="10" t="str">
        <f>IF($P$6=TRUE(),3883.1,"")</f>
        <v/>
      </c>
      <c r="AX23" s="10" t="str">
        <f>IF($P$6=TRUE(),4586.6,"")</f>
        <v/>
      </c>
      <c r="AY23" s="10" t="str">
        <f>IF($P$6=TRUE(),4516.5,"")</f>
        <v/>
      </c>
      <c r="AZ23" s="10" t="str">
        <f>IF($P$6=TRUE(),4977.5,"")</f>
        <v/>
      </c>
      <c r="BA23" s="10" t="str">
        <f>IF($P$6=TRUE(),5200.8,"")</f>
        <v/>
      </c>
      <c r="BB23" s="10" t="str">
        <f>IF($P$6=TRUE(),5441.5,"")</f>
        <v/>
      </c>
      <c r="BC23" s="10" t="str">
        <f>IF($P$6=TRUE(),5737.2,"")</f>
        <v/>
      </c>
      <c r="BD23" s="10" t="str">
        <f>IF($P$6=TRUE(),6117.1,"")</f>
        <v/>
      </c>
      <c r="BE23" s="10" t="str">
        <f>IF($P$6=TRUE(),6512.3,"")</f>
        <v/>
      </c>
      <c r="BF23" s="10" t="str">
        <f>IF($P$6=TRUE(),6698.7,"")</f>
        <v/>
      </c>
      <c r="BG23" s="10" t="str">
        <f>IF($P$6=TRUE(),6873.1,"")</f>
        <v/>
      </c>
      <c r="BH23" s="10" t="str">
        <f>IF($P$6=TRUE(),7761.1,"")</f>
        <v/>
      </c>
      <c r="BI23" s="10" t="str">
        <f>IF($P$6=TRUE(),8101.4,"")</f>
        <v/>
      </c>
      <c r="BJ23" s="10" t="str">
        <f>IF($P$6=TRUE(),8412.6,"")</f>
        <v/>
      </c>
      <c r="BK23" s="10" t="str">
        <f>IF($P$6=TRUE(),8831.9,"")</f>
        <v/>
      </c>
      <c r="BL23" s="10" t="str">
        <f>IF($P$6=TRUE(),9244.3,"")</f>
        <v/>
      </c>
      <c r="BM23" s="10" t="str">
        <f>IF($P$6=TRUE(),9484.8,"")</f>
        <v/>
      </c>
      <c r="BN23" s="11"/>
      <c r="BO23" s="11"/>
    </row>
    <row r="24" spans="1:67" ht="15" customHeight="1">
      <c r="A24" s="12" t="s">
        <v>265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3" t="str">
        <f>IF($Q$6=TRUE(),1761,"")</f>
        <v/>
      </c>
      <c r="AO24" s="13" t="str">
        <f>IF($Q$6=TRUE(),2151,"")</f>
        <v/>
      </c>
      <c r="AP24" s="13" t="str">
        <f>IF($Q$6=TRUE(),2362.5,"")</f>
        <v/>
      </c>
      <c r="AQ24" s="13" t="str">
        <f>IF($Q$6=TRUE(),2645.7,"")</f>
        <v/>
      </c>
      <c r="AR24" s="13" t="str">
        <f>IF($Q$6=TRUE(),3141,"")</f>
        <v/>
      </c>
      <c r="AS24" s="13" t="str">
        <f>IF($Q$6=TRUE(),3141,"")</f>
        <v/>
      </c>
      <c r="AT24" s="13" t="str">
        <f>IF($Q$6=TRUE(),3288.6,"")</f>
        <v/>
      </c>
      <c r="AU24" s="13" t="str">
        <f>IF($Q$6=TRUE(),3401.7,"")</f>
        <v/>
      </c>
      <c r="AV24" s="13" t="str">
        <f>IF($Q$6=TRUE(),4094.4,"")</f>
        <v/>
      </c>
      <c r="AW24" s="13" t="str">
        <f>IF($Q$6=TRUE(),4094.4,"")</f>
        <v/>
      </c>
      <c r="AX24" s="13" t="str">
        <f>IF($Q$6=TRUE(),4744.3,"")</f>
        <v/>
      </c>
      <c r="AY24" s="13" t="str">
        <f>IF($Q$6=TRUE(),4744.3,"")</f>
        <v/>
      </c>
      <c r="AZ24" s="13" t="str">
        <f>IF($Q$6=TRUE(),4995.1,"")</f>
        <v/>
      </c>
      <c r="BA24" s="13" t="str">
        <f>IF($Q$6=TRUE(),5994.2,"")</f>
        <v/>
      </c>
      <c r="BB24" s="13" t="str">
        <f>IF($Q$6=TRUE(),6285.7,"")</f>
        <v/>
      </c>
      <c r="BC24" s="13" t="str">
        <f>IF($Q$6=TRUE(),6849.2,"")</f>
        <v/>
      </c>
      <c r="BD24" s="13" t="str">
        <f>IF($Q$6=TRUE(),6849.2,"")</f>
        <v/>
      </c>
      <c r="BE24" s="13" t="str">
        <f>IF($Q$6=TRUE(),6913.6,"")</f>
        <v/>
      </c>
      <c r="BF24" s="13" t="str">
        <f>IF($Q$6=TRUE(),7877.1,"")</f>
        <v/>
      </c>
      <c r="BG24" s="13" t="str">
        <f>IF($Q$6=TRUE(),8483.6,"")</f>
        <v/>
      </c>
      <c r="BH24" s="13" t="str">
        <f>IF($Q$6=TRUE(),9125.4,"")</f>
        <v/>
      </c>
      <c r="BI24" s="13" t="str">
        <f>IF($Q$6=TRUE(),9479.4,"")</f>
        <v/>
      </c>
      <c r="BJ24" s="13" t="str">
        <f>IF($Q$6=TRUE(),10197.3,"")</f>
        <v/>
      </c>
      <c r="BK24" s="13" t="str">
        <f>IF($Q$6=TRUE(),11868.6,"")</f>
        <v/>
      </c>
      <c r="BL24" s="13" t="str">
        <f>IF($Q$6=TRUE(),12292.7,"")</f>
        <v/>
      </c>
      <c r="BM24" s="13" t="str">
        <f>IF($Q$6=TRUE(),12445.4,"")</f>
        <v/>
      </c>
      <c r="BN24" s="14"/>
      <c r="BO24" s="14"/>
    </row>
    <row r="25" spans="1:67" ht="15" customHeight="1">
      <c r="A25" s="9" t="s">
        <v>266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0" t="str">
        <f>IF($R$6=TRUE(),1763.3,"")</f>
        <v/>
      </c>
      <c r="AO25" s="10" t="str">
        <f>IF($R$6=TRUE(),2148.3,"")</f>
        <v/>
      </c>
      <c r="AP25" s="10" t="str">
        <f>IF($R$6=TRUE(),2446.4,"")</f>
        <v/>
      </c>
      <c r="AQ25" s="10" t="str">
        <f>IF($R$6=TRUE(),2865.7,"")</f>
        <v/>
      </c>
      <c r="AR25" s="10" t="str">
        <f>IF($R$6=TRUE(),2700,"")</f>
        <v/>
      </c>
      <c r="AS25" s="10" t="str">
        <f>IF($R$6=TRUE(),2880,"")</f>
        <v/>
      </c>
      <c r="AT25" s="10" t="str">
        <f>IF($R$6=TRUE(),3269.3,"")</f>
        <v/>
      </c>
      <c r="AU25" s="10" t="str">
        <f>IF($R$6=TRUE(),3736,"")</f>
        <v/>
      </c>
      <c r="AV25" s="10" t="str">
        <f>IF($R$6=TRUE(),3745.1,"")</f>
        <v/>
      </c>
      <c r="AW25" s="10" t="str">
        <f>IF($R$6=TRUE(),3890.5,"")</f>
        <v/>
      </c>
      <c r="AX25" s="10" t="str">
        <f>IF($R$6=TRUE(),4064.6,"")</f>
        <v/>
      </c>
      <c r="AY25" s="10" t="str">
        <f>IF($R$6=TRUE(),4201.9,"")</f>
        <v/>
      </c>
      <c r="AZ25" s="10" t="str">
        <f>IF($R$6=TRUE(),4538,"")</f>
        <v/>
      </c>
      <c r="BA25" s="10" t="str">
        <f>IF($R$6=TRUE(),5324.1,"")</f>
        <v/>
      </c>
      <c r="BB25" s="10" t="str">
        <f>IF($R$6=TRUE(),5786.6,"")</f>
        <v/>
      </c>
      <c r="BC25" s="10" t="str">
        <f>IF($R$6=TRUE(),6011.1,"")</f>
        <v/>
      </c>
      <c r="BD25" s="10" t="str">
        <f>IF($R$6=TRUE(),6628.1,"")</f>
        <v/>
      </c>
      <c r="BE25" s="10" t="str">
        <f>IF($R$6=TRUE(),6495.5,"")</f>
        <v/>
      </c>
      <c r="BF25" s="10" t="str">
        <f>IF($R$6=TRUE(),6879.4,"")</f>
        <v/>
      </c>
      <c r="BG25" s="10" t="str">
        <f>IF($R$6=TRUE(),7378,"")</f>
        <v/>
      </c>
      <c r="BH25" s="10" t="str">
        <f>IF($R$6=TRUE(),8033.8,"")</f>
        <v/>
      </c>
      <c r="BI25" s="10" t="str">
        <f>IF($R$6=TRUE(),8047.8,"")</f>
        <v/>
      </c>
      <c r="BJ25" s="10" t="str">
        <f>IF($R$6=TRUE(),8211.7,"")</f>
        <v/>
      </c>
      <c r="BK25" s="10" t="str">
        <f>IF($R$6=TRUE(),8610.1,"")</f>
        <v/>
      </c>
      <c r="BL25" s="10" t="str">
        <f>IF($R$6=TRUE(),9252,"")</f>
        <v/>
      </c>
      <c r="BM25" s="10" t="str">
        <f>IF($R$6=TRUE(),9443.8,"")</f>
        <v/>
      </c>
      <c r="BN25" s="11"/>
      <c r="BO25" s="11"/>
    </row>
    <row r="26" spans="1:67" ht="15" customHeight="1">
      <c r="A26" s="12" t="s">
        <v>267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3" t="str">
        <f>IF($S$6=TRUE(),1614,"")</f>
        <v/>
      </c>
      <c r="AO26" s="13" t="str">
        <f>IF($S$6=TRUE(),2109,"")</f>
        <v/>
      </c>
      <c r="AP26" s="13" t="str">
        <f>IF($S$6=TRUE(),2422.5,"")</f>
        <v/>
      </c>
      <c r="AQ26" s="13" t="str">
        <f>IF($S$6=TRUE(),2751.8,"")</f>
        <v/>
      </c>
      <c r="AR26" s="13" t="str">
        <f>IF($S$6=TRUE(),3225,"")</f>
        <v/>
      </c>
      <c r="AS26" s="13" t="str">
        <f>IF($S$6=TRUE(),3735,"")</f>
        <v/>
      </c>
      <c r="AT26" s="13" t="str">
        <f>IF($S$6=TRUE(),4295.2,"")</f>
        <v/>
      </c>
      <c r="AU26" s="13" t="str">
        <f>IF($S$6=TRUE(),4354,"")</f>
        <v/>
      </c>
      <c r="AV26" s="13" t="str">
        <f>IF($S$6=TRUE(),4630.9,"")</f>
        <v/>
      </c>
      <c r="AW26" s="13" t="str">
        <f>IF($S$6=TRUE(),4678.1,"")</f>
        <v/>
      </c>
      <c r="AX26" s="13" t="str">
        <f>IF($S$6=TRUE(),4587.2,"")</f>
        <v/>
      </c>
      <c r="AY26" s="13" t="str">
        <f>IF($S$6=TRUE(),4525.3,"")</f>
        <v/>
      </c>
      <c r="AZ26" s="13" t="str">
        <f>IF($S$6=TRUE(),5231.7,"")</f>
        <v/>
      </c>
      <c r="BA26" s="13" t="str">
        <f>IF($S$6=TRUE(),5795.3,"")</f>
        <v/>
      </c>
      <c r="BB26" s="13" t="str">
        <f>IF($S$6=TRUE(),7158.4,"")</f>
        <v/>
      </c>
      <c r="BC26" s="13" t="str">
        <f>IF($S$6=TRUE(),7932,"")</f>
        <v/>
      </c>
      <c r="BD26" s="13" t="str">
        <f>IF($S$6=TRUE(),7932.4,"")</f>
        <v/>
      </c>
      <c r="BE26" s="13" t="str">
        <f>IF($S$6=TRUE(),7615.9,"")</f>
        <v/>
      </c>
      <c r="BF26" s="13" t="str">
        <f>IF($S$6=TRUE(),8288.8,"")</f>
        <v/>
      </c>
      <c r="BG26" s="13" t="str">
        <f>IF($S$6=TRUE(),8936.8,"")</f>
        <v/>
      </c>
      <c r="BH26" s="13" t="str">
        <f>IF($S$6=TRUE(),9108.9,"")</f>
        <v/>
      </c>
      <c r="BI26" s="13" t="str">
        <f>IF($S$6=TRUE(),9555.7,"")</f>
        <v/>
      </c>
      <c r="BJ26" s="13" t="str">
        <f>IF($S$6=TRUE(),11171,"")</f>
        <v/>
      </c>
      <c r="BK26" s="13" t="str">
        <f>IF($S$6=TRUE(),14039.7,"")</f>
        <v/>
      </c>
      <c r="BL26" s="13" t="str">
        <f>IF($S$6=TRUE(),14325.7,"")</f>
        <v/>
      </c>
      <c r="BM26" s="13" t="str">
        <f>IF($S$6=TRUE(),15469.6,"")</f>
        <v/>
      </c>
      <c r="BN26" s="14"/>
      <c r="BO26" s="14"/>
    </row>
    <row r="27" spans="1:67" ht="15" customHeight="1">
      <c r="A27" s="9" t="s">
        <v>268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0" t="str">
        <f>IF($T$6=TRUE(),1702.4,"")</f>
        <v/>
      </c>
      <c r="AO27" s="10" t="str">
        <f>IF($T$6=TRUE(),2385.6,"")</f>
        <v/>
      </c>
      <c r="AP27" s="10" t="str">
        <f>IF($T$6=TRUE(),2773.2,"")</f>
        <v/>
      </c>
      <c r="AQ27" s="10" t="str">
        <f>IF($T$6=TRUE(),2852.3,"")</f>
        <v/>
      </c>
      <c r="AR27" s="10" t="str">
        <f>IF($T$6=TRUE(),2949,"")</f>
        <v/>
      </c>
      <c r="AS27" s="10" t="str">
        <f>IF($T$6=TRUE(),3054,"")</f>
        <v/>
      </c>
      <c r="AT27" s="10" t="str">
        <f>IF($T$6=TRUE(),3369.9,"")</f>
        <v/>
      </c>
      <c r="AU27" s="10" t="str">
        <f>IF($T$6=TRUE(),3896.5,"")</f>
        <v/>
      </c>
      <c r="AV27" s="10" t="str">
        <f>IF($T$6=TRUE(),3879,"")</f>
        <v/>
      </c>
      <c r="AW27" s="10" t="str">
        <f>IF($T$6=TRUE(),3879,"")</f>
        <v/>
      </c>
      <c r="AX27" s="10" t="str">
        <f>IF($T$6=TRUE(),4085,"")</f>
        <v/>
      </c>
      <c r="AY27" s="10" t="str">
        <f>IF($T$6=TRUE(),4034.3,"")</f>
        <v/>
      </c>
      <c r="AZ27" s="10" t="str">
        <f>IF($T$6=TRUE(),4851.8,"")</f>
        <v/>
      </c>
      <c r="BA27" s="10" t="str">
        <f>IF($T$6=TRUE(),5415.6,"")</f>
        <v/>
      </c>
      <c r="BB27" s="10" t="str">
        <f>IF($T$6=TRUE(),5938.9,"")</f>
        <v/>
      </c>
      <c r="BC27" s="10" t="str">
        <f>IF($T$6=TRUE(),6160,"")</f>
        <v/>
      </c>
      <c r="BD27" s="10" t="str">
        <f>IF($T$6=TRUE(),5981.4,"")</f>
        <v/>
      </c>
      <c r="BE27" s="10" t="str">
        <f>IF($T$6=TRUE(),5919.8,"")</f>
        <v/>
      </c>
      <c r="BF27" s="10" t="str">
        <f>IF($T$6=TRUE(),6533.1,"")</f>
        <v/>
      </c>
      <c r="BG27" s="10" t="str">
        <f>IF($T$6=TRUE(),7034.3,"")</f>
        <v/>
      </c>
      <c r="BH27" s="10" t="str">
        <f>IF($T$6=TRUE(),7369,"")</f>
        <v/>
      </c>
      <c r="BI27" s="10" t="str">
        <f>IF($T$6=TRUE(),7268.6,"")</f>
        <v/>
      </c>
      <c r="BJ27" s="10" t="str">
        <f>IF($T$6=TRUE(),8061.3,"")</f>
        <v/>
      </c>
      <c r="BK27" s="10" t="str">
        <f>IF($T$6=TRUE(),9130.5,"")</f>
        <v/>
      </c>
      <c r="BL27" s="10" t="str">
        <f>IF($T$6=TRUE(),9214.9,"")</f>
        <v/>
      </c>
      <c r="BM27" s="10" t="str">
        <f>IF($T$6=TRUE(),9313.4,"")</f>
        <v/>
      </c>
      <c r="BN27" s="11"/>
      <c r="BO27" s="11"/>
    </row>
    <row r="28" spans="1:67" ht="15" customHeight="1">
      <c r="A28" s="12" t="s">
        <v>269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3" t="str">
        <f>IF($U$6=TRUE(),1673.4,"")</f>
        <v/>
      </c>
      <c r="AO28" s="13" t="str">
        <f>IF($U$6=TRUE(),2085.8,"")</f>
        <v/>
      </c>
      <c r="AP28" s="13" t="str">
        <f>IF($U$6=TRUE(),2241.3,"")</f>
        <v/>
      </c>
      <c r="AQ28" s="13" t="str">
        <f>IF($U$6=TRUE(),2731.3,"")</f>
        <v/>
      </c>
      <c r="AR28" s="13" t="str">
        <f>IF($U$6=TRUE(),3294,"")</f>
        <v/>
      </c>
      <c r="AS28" s="13" t="str">
        <f>IF($U$6=TRUE(),3721.5,"")</f>
        <v/>
      </c>
      <c r="AT28" s="13" t="str">
        <f>IF($U$6=TRUE(),3821.5,"")</f>
        <v/>
      </c>
      <c r="AU28" s="13" t="str">
        <f>IF($U$6=TRUE(),3818.1,"")</f>
        <v/>
      </c>
      <c r="AV28" s="13" t="str">
        <f>IF($U$6=TRUE(),4290.6,"")</f>
        <v/>
      </c>
      <c r="AW28" s="13" t="str">
        <f>IF($U$6=TRUE(),4399.3,"")</f>
        <v/>
      </c>
      <c r="AX28" s="13" t="str">
        <f>IF($U$6=TRUE(),4448.3,"")</f>
        <v/>
      </c>
      <c r="AY28" s="13" t="str">
        <f>IF($U$6=TRUE(),4451.2,"")</f>
        <v/>
      </c>
      <c r="AZ28" s="13" t="str">
        <f>IF($U$6=TRUE(),4986.4,"")</f>
        <v/>
      </c>
      <c r="BA28" s="13" t="str">
        <f>IF($U$6=TRUE(),5827.6,"")</f>
        <v/>
      </c>
      <c r="BB28" s="13" t="str">
        <f>IF($U$6=TRUE(),6973.2,"")</f>
        <v/>
      </c>
      <c r="BC28" s="13" t="str">
        <f>IF($U$6=TRUE(),7416.6,"")</f>
        <v/>
      </c>
      <c r="BD28" s="13" t="str">
        <f>IF($U$6=TRUE(),7720.7,"")</f>
        <v/>
      </c>
      <c r="BE28" s="13" t="str">
        <f>IF($U$6=TRUE(),7524.5,"")</f>
        <v/>
      </c>
      <c r="BF28" s="13" t="str">
        <f>IF($U$6=TRUE(),8221.9,"")</f>
        <v/>
      </c>
      <c r="BG28" s="13" t="str">
        <f>IF($U$6=TRUE(),8558.6,"")</f>
        <v/>
      </c>
      <c r="BH28" s="13" t="str">
        <f>IF($U$6=TRUE(),10259.2,"")</f>
        <v/>
      </c>
      <c r="BI28" s="13" t="str">
        <f>IF($U$6=TRUE(),10348.7,"")</f>
        <v/>
      </c>
      <c r="BJ28" s="13" t="str">
        <f>IF($U$6=TRUE(),10698.3,"")</f>
        <v/>
      </c>
      <c r="BK28" s="13" t="str">
        <f>IF($U$6=TRUE(),12067.6,"")</f>
        <v/>
      </c>
      <c r="BL28" s="13" t="str">
        <f>IF($U$6=TRUE(),12992,"")</f>
        <v/>
      </c>
      <c r="BM28" s="13" t="str">
        <f>IF($U$6=TRUE(),13864.9,"")</f>
        <v/>
      </c>
      <c r="BN28" s="14"/>
      <c r="BO28" s="14"/>
    </row>
    <row r="29" spans="1:67" ht="15" customHeight="1">
      <c r="A29" s="9" t="s">
        <v>270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0" t="str">
        <f>IF($V$6=TRUE(),1702.4,"")</f>
        <v/>
      </c>
      <c r="AO29" s="10" t="str">
        <f>IF($V$6=TRUE(),2066.9,"")</f>
        <v/>
      </c>
      <c r="AP29" s="10" t="str">
        <f>IF($V$6=TRUE(),2466.2,"")</f>
        <v/>
      </c>
      <c r="AQ29" s="10" t="str">
        <f>IF($V$6=TRUE(),2701.1,"")</f>
        <v/>
      </c>
      <c r="AR29" s="10" t="str">
        <f>IF($V$6=TRUE(),2910,"")</f>
        <v/>
      </c>
      <c r="AS29" s="10" t="str">
        <f>IF($V$6=TRUE(),3000,"")</f>
        <v/>
      </c>
      <c r="AT29" s="10" t="str">
        <f>IF($V$6=TRUE(),3888.5,"")</f>
        <v/>
      </c>
      <c r="AU29" s="10" t="str">
        <f>IF($V$6=TRUE(),4104.9,"")</f>
        <v/>
      </c>
      <c r="AV29" s="10" t="str">
        <f>IF($V$6=TRUE(),4327.8,"")</f>
        <v/>
      </c>
      <c r="AW29" s="10" t="str">
        <f>IF($V$6=TRUE(),4327.8,"")</f>
        <v/>
      </c>
      <c r="AX29" s="10" t="str">
        <f>IF($V$6=TRUE(),4890.4,"")</f>
        <v/>
      </c>
      <c r="AY29" s="10" t="str">
        <f>IF($V$6=TRUE(),4933.7,"")</f>
        <v/>
      </c>
      <c r="AZ29" s="10" t="str">
        <f>IF($V$6=TRUE(),5259,"")</f>
        <v/>
      </c>
      <c r="BA29" s="10" t="str">
        <f>IF($V$6=TRUE(),5688.7,"")</f>
        <v/>
      </c>
      <c r="BB29" s="10" t="str">
        <f>IF($V$6=TRUE(),5922,"")</f>
        <v/>
      </c>
      <c r="BC29" s="10" t="str">
        <f>IF($V$6=TRUE(),5551.4,"")</f>
        <v/>
      </c>
      <c r="BD29" s="10" t="str">
        <f>IF($V$6=TRUE(),7230.1,"")</f>
        <v/>
      </c>
      <c r="BE29" s="10" t="str">
        <f>IF($V$6=TRUE(),6927.9,"")</f>
        <v/>
      </c>
      <c r="BF29" s="10" t="str">
        <f>IF($V$6=TRUE(),6927.97324,"")</f>
        <v/>
      </c>
      <c r="BG29" s="10" t="str">
        <f>IF($V$6=TRUE(),7733.9,"")</f>
        <v/>
      </c>
      <c r="BH29" s="10" t="str">
        <f>IF($V$6=TRUE(),8286.4,"")</f>
        <v/>
      </c>
      <c r="BI29" s="10" t="str">
        <f>IF($V$6=TRUE(),8297.6,"")</f>
        <v/>
      </c>
      <c r="BJ29" s="10" t="str">
        <f>IF($V$6=TRUE(),8486,"")</f>
        <v/>
      </c>
      <c r="BK29" s="10" t="str">
        <f>IF($V$6=TRUE(),9149.2,"")</f>
        <v/>
      </c>
      <c r="BL29" s="10" t="str">
        <f>IF($V$6=TRUE(),9613.2,"")</f>
        <v/>
      </c>
      <c r="BM29" s="10" t="str">
        <f>IF($V$6=TRUE(),9961.3,"")</f>
        <v/>
      </c>
      <c r="BN29" s="11"/>
      <c r="BO29" s="11"/>
    </row>
    <row r="30" spans="1:67" ht="15" customHeight="1">
      <c r="A30" s="12" t="s">
        <v>271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3" t="str">
        <f>IF($W$6=TRUE(),1761.1,"")</f>
        <v/>
      </c>
      <c r="AO30" s="13" t="str">
        <f>IF($W$6=TRUE(),2135.1,"")</f>
        <v/>
      </c>
      <c r="AP30" s="13" t="str">
        <f>IF($W$6=TRUE(),2370.8,"")</f>
        <v/>
      </c>
      <c r="AQ30" s="13" t="str">
        <f>IF($W$6=TRUE(),2647.9,"")</f>
        <v/>
      </c>
      <c r="AR30" s="13" t="str">
        <f>IF($W$6=TRUE(),2923.5,"")</f>
        <v/>
      </c>
      <c r="AS30" s="13" t="str">
        <f>IF($W$6=TRUE(),2886,"")</f>
        <v/>
      </c>
      <c r="AT30" s="13" t="str">
        <f>IF($W$6=TRUE(),3161.8,"")</f>
        <v/>
      </c>
      <c r="AU30" s="13" t="str">
        <f>IF($W$6=TRUE(),3301,"")</f>
        <v/>
      </c>
      <c r="AV30" s="13" t="str">
        <f>IF($W$6=TRUE(),3489.2,"")</f>
        <v/>
      </c>
      <c r="AW30" s="13" t="str">
        <f>IF($W$6=TRUE(),3561.7,"")</f>
        <v/>
      </c>
      <c r="AX30" s="13" t="str">
        <f>IF($W$6=TRUE(),3816.1,"")</f>
        <v/>
      </c>
      <c r="AY30" s="13" t="str">
        <f>IF($W$6=TRUE(),3954.2,"")</f>
        <v/>
      </c>
      <c r="AZ30" s="13" t="str">
        <f>IF($W$6=TRUE(),4117.8,"")</f>
        <v/>
      </c>
      <c r="BA30" s="13" t="str">
        <f>IF($W$6=TRUE(),4854,"")</f>
        <v/>
      </c>
      <c r="BB30" s="13" t="str">
        <f>IF($W$6=TRUE(),5245.2,"")</f>
        <v/>
      </c>
      <c r="BC30" s="13" t="str">
        <f>IF($W$6=TRUE(),5551.4,"")</f>
        <v/>
      </c>
      <c r="BD30" s="13" t="str">
        <f>IF($W$6=TRUE(),5966.4,"")</f>
        <v/>
      </c>
      <c r="BE30" s="13" t="str">
        <f>IF($W$6=TRUE(),5956.7,"")</f>
        <v/>
      </c>
      <c r="BF30" s="13" t="str">
        <f>IF($W$6=TRUE(),6875.8,"")</f>
        <v/>
      </c>
      <c r="BG30" s="13" t="str">
        <f>IF($W$6=TRUE(),7215.8,"")</f>
        <v/>
      </c>
      <c r="BH30" s="13" t="str">
        <f>IF($W$6=TRUE(),7977.8,"")</f>
        <v/>
      </c>
      <c r="BI30" s="13" t="str">
        <f>IF($W$6=TRUE(),8062.5,"")</f>
        <v/>
      </c>
      <c r="BJ30" s="13" t="str">
        <f>IF($W$6=TRUE(),8897.1,"")</f>
        <v/>
      </c>
      <c r="BK30" s="13" t="str">
        <f>IF($W$6=TRUE(),10289.7,"")</f>
        <v/>
      </c>
      <c r="BL30" s="13" t="str">
        <f>IF($W$6=TRUE(),10484.6,"")</f>
        <v/>
      </c>
      <c r="BM30" s="13" t="str">
        <f>IF($W$6=TRUE(),10650.5,"")</f>
        <v/>
      </c>
      <c r="BN30" s="14"/>
      <c r="BO30" s="14"/>
    </row>
    <row r="31" spans="1:67" ht="15" customHeight="1">
      <c r="A31" s="9" t="s">
        <v>272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0" t="str">
        <f>IF($X$6=TRUE(),1777.3,"")</f>
        <v/>
      </c>
      <c r="AO31" s="10" t="str">
        <f>IF($X$6=TRUE(),2144.3,"")</f>
        <v/>
      </c>
      <c r="AP31" s="10" t="str">
        <f>IF($X$6=TRUE(),2392.8,"")</f>
        <v/>
      </c>
      <c r="AQ31" s="10" t="str">
        <f>IF($X$6=TRUE(),2750.4,"")</f>
        <v/>
      </c>
      <c r="AR31" s="10" t="str">
        <f>IF($X$6=TRUE(),2856,"")</f>
        <v/>
      </c>
      <c r="AS31" s="10" t="str">
        <f>IF($X$6=TRUE(),2830.5,"")</f>
        <v/>
      </c>
      <c r="AT31" s="10" t="str">
        <f>IF($X$6=TRUE(),2966.6,"")</f>
        <v/>
      </c>
      <c r="AU31" s="10" t="str">
        <f>IF($X$6=TRUE(),2999.5,"")</f>
        <v/>
      </c>
      <c r="AV31" s="10" t="str">
        <f>IF($X$6=TRUE(),3047,"")</f>
        <v/>
      </c>
      <c r="AW31" s="10" t="str">
        <f>IF($X$6=TRUE(),3175.2,"")</f>
        <v/>
      </c>
      <c r="AX31" s="10" t="str">
        <f>IF($X$6=TRUE(),3444.5,"")</f>
        <v/>
      </c>
      <c r="AY31" s="10" t="str">
        <f>IF($X$6=TRUE(),3477.1,"")</f>
        <v/>
      </c>
      <c r="AZ31" s="10" t="str">
        <f>IF($X$6=TRUE(),3892.3,"")</f>
        <v/>
      </c>
      <c r="BA31" s="10" t="str">
        <f>IF($X$6=TRUE(),3997.3,"")</f>
        <v/>
      </c>
      <c r="BB31" s="10" t="str">
        <f>IF($X$6=TRUE(),4018.1,"")</f>
        <v/>
      </c>
      <c r="BC31" s="10" t="str">
        <f>IF($X$6=TRUE(),4076.4,"")</f>
        <v/>
      </c>
      <c r="BD31" s="10" t="str">
        <f>IF($X$6=TRUE(),4813.5,"")</f>
        <v/>
      </c>
      <c r="BE31" s="10" t="str">
        <f>IF($X$6=TRUE(),4803.3,"")</f>
        <v/>
      </c>
      <c r="BF31" s="10" t="str">
        <f>IF($X$6=TRUE(),4929.1,"")</f>
        <v/>
      </c>
      <c r="BG31" s="10" t="str">
        <f>IF($X$6=TRUE(),5219.5,"")</f>
        <v/>
      </c>
      <c r="BH31" s="10" t="str">
        <f>IF($X$6=TRUE(),5836.3,"")</f>
        <v/>
      </c>
      <c r="BI31" s="10" t="str">
        <f>IF($X$6=TRUE(),6204.6,"")</f>
        <v/>
      </c>
      <c r="BJ31" s="10" t="str">
        <f>IF($X$6=TRUE(),6806.2,"")</f>
        <v/>
      </c>
      <c r="BK31" s="10" t="str">
        <f>IF($X$6=TRUE(),7276,"")</f>
        <v/>
      </c>
      <c r="BL31" s="10" t="str">
        <f>IF($X$6=TRUE(),7343.8,"")</f>
        <v/>
      </c>
      <c r="BM31" s="10" t="str">
        <f>IF($X$6=TRUE(),7401.3,"")</f>
        <v/>
      </c>
      <c r="BN31" s="11"/>
      <c r="BO31" s="11"/>
    </row>
    <row r="32" spans="1:67" ht="15" customHeight="1">
      <c r="A32" s="12" t="s">
        <v>273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3" t="str">
        <f>IF($Y$6=TRUE(),1791.6,"")</f>
        <v/>
      </c>
      <c r="AO32" s="13" t="str">
        <f>IF($Y$6=TRUE(),2216.4,"")</f>
        <v/>
      </c>
      <c r="AP32" s="13" t="str">
        <f>IF($Y$6=TRUE(),2529.6,"")</f>
        <v/>
      </c>
      <c r="AQ32" s="13" t="str">
        <f>IF($Y$6=TRUE(),2918.4,"")</f>
        <v/>
      </c>
      <c r="AR32" s="13" t="str">
        <f>IF($Y$6=TRUE(),3165,"")</f>
        <v/>
      </c>
      <c r="AS32" s="13" t="str">
        <f>IF($Y$6=TRUE(),3090,"")</f>
        <v/>
      </c>
      <c r="AT32" s="13" t="str">
        <f>IF($Y$6=TRUE(),3196.3,"")</f>
        <v/>
      </c>
      <c r="AU32" s="13" t="str">
        <f>IF($Y$6=TRUE(),3379.7,"")</f>
        <v/>
      </c>
      <c r="AV32" s="13" t="str">
        <f>IF($Y$6=TRUE(),3593.6,"")</f>
        <v/>
      </c>
      <c r="AW32" s="13" t="str">
        <f>IF($Y$6=TRUE(),3593.6,"")</f>
        <v/>
      </c>
      <c r="AX32" s="13" t="str">
        <f>IF($Y$6=TRUE(),3752.2,"")</f>
        <v/>
      </c>
      <c r="AY32" s="13" t="str">
        <f>IF($Y$6=TRUE(),3933.1,"")</f>
        <v/>
      </c>
      <c r="AZ32" s="13" t="str">
        <f>IF($Y$6=TRUE(),4336.4,"")</f>
        <v/>
      </c>
      <c r="BA32" s="13" t="str">
        <f>IF($Y$6=TRUE(),5092.8,"")</f>
        <v/>
      </c>
      <c r="BB32" s="13" t="str">
        <f>IF($Y$6=TRUE(),5140.1,"")</f>
        <v/>
      </c>
      <c r="BC32" s="13" t="str">
        <f>IF($Y$6=TRUE(),5187.5,"")</f>
        <v/>
      </c>
      <c r="BD32" s="13" t="str">
        <f>IF($Y$6=TRUE(),5438.5,"")</f>
        <v/>
      </c>
      <c r="BE32" s="13" t="str">
        <f>IF($Y$6=TRUE(),5435.8,"")</f>
        <v/>
      </c>
      <c r="BF32" s="13" t="str">
        <f>IF($Y$6=TRUE(),6564,"")</f>
        <v/>
      </c>
      <c r="BG32" s="13" t="str">
        <f>IF($Y$6=TRUE(),6872.7,"")</f>
        <v/>
      </c>
      <c r="BH32" s="13" t="str">
        <f>IF($Y$6=TRUE(),7182.1,"")</f>
        <v/>
      </c>
      <c r="BI32" s="13" t="str">
        <f>IF($Y$6=TRUE(),7638.2,"")</f>
        <v/>
      </c>
      <c r="BJ32" s="13" t="str">
        <f>IF($Y$6=TRUE(),8123.5,"")</f>
        <v/>
      </c>
      <c r="BK32" s="13" t="str">
        <f>IF($Y$6=TRUE(),9367.5,"")</f>
        <v/>
      </c>
      <c r="BL32" s="13" t="str">
        <f>IF($Y$6=TRUE(),9937.9,"")</f>
        <v/>
      </c>
      <c r="BM32" s="13" t="str">
        <f>IF($Y$6=TRUE(),10109.7,"")</f>
        <v/>
      </c>
      <c r="BN32" s="14"/>
      <c r="BO32" s="14"/>
    </row>
    <row r="33" spans="1:67" ht="15" customHeight="1">
      <c r="A33" s="9" t="s">
        <v>274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0" t="str">
        <f>IF($Z$6=TRUE(),1790.8,"")</f>
        <v/>
      </c>
      <c r="AO33" s="10" t="str">
        <f>IF($Z$6=TRUE(),2212.4,"")</f>
        <v/>
      </c>
      <c r="AP33" s="10" t="str">
        <f>IF($Z$6=TRUE(),2523.8,"")</f>
        <v/>
      </c>
      <c r="AQ33" s="10" t="str">
        <f>IF($Z$6=TRUE(),2910.5,"")</f>
        <v/>
      </c>
      <c r="AR33" s="10" t="str">
        <f>IF($Z$6=TRUE(),3024,"")</f>
        <v/>
      </c>
      <c r="AS33" s="10" t="str">
        <f>IF($Z$6=TRUE(),2922,"")</f>
        <v/>
      </c>
      <c r="AT33" s="10" t="str">
        <f>IF($Z$6=TRUE(),3015.9,"")</f>
        <v/>
      </c>
      <c r="AU33" s="10" t="str">
        <f>IF($Z$6=TRUE(),3129.3,"")</f>
        <v/>
      </c>
      <c r="AV33" s="10" t="str">
        <f>IF($Z$6=TRUE(),3398.2,"")</f>
        <v/>
      </c>
      <c r="AW33" s="10" t="str">
        <f>IF($Z$6=TRUE(),3398.2,"")</f>
        <v/>
      </c>
      <c r="AX33" s="10" t="str">
        <f>IF($Z$6=TRUE(),3548.2,"")</f>
        <v/>
      </c>
      <c r="AY33" s="10" t="str">
        <f>IF($Z$6=TRUE(),3719.3,"")</f>
        <v/>
      </c>
      <c r="AZ33" s="10" t="str">
        <f>IF($Z$6=TRUE(),4100.6,"")</f>
        <v/>
      </c>
      <c r="BA33" s="10" t="str">
        <f>IF($Z$6=TRUE(),5200.5,"")</f>
        <v/>
      </c>
      <c r="BB33" s="10" t="str">
        <f>IF($Z$6=TRUE(),5257.4,"")</f>
        <v/>
      </c>
      <c r="BC33" s="10" t="str">
        <f>IF($Z$6=TRUE(),5314.3,"")</f>
        <v/>
      </c>
      <c r="BD33" s="10" t="str">
        <f>IF($Z$6=TRUE(),5778,"")</f>
        <v/>
      </c>
      <c r="BE33" s="10" t="str">
        <f>IF($Z$6=TRUE(),5812.2,"")</f>
        <v/>
      </c>
      <c r="BF33" s="10" t="str">
        <f>IF($Z$6=TRUE(),6724.5,"")</f>
        <v/>
      </c>
      <c r="BG33" s="10" t="str">
        <f>IF($Z$6=TRUE(),7040.7,"")</f>
        <v/>
      </c>
      <c r="BH33" s="10" t="str">
        <f>IF($Z$6=TRUE(),7334.1,"")</f>
        <v/>
      </c>
      <c r="BI33" s="10" t="str">
        <f>IF($Z$6=TRUE(),7045.7,"")</f>
        <v/>
      </c>
      <c r="BJ33" s="10" t="str">
        <f>IF($Z$6=TRUE(),8484,"")</f>
        <v/>
      </c>
      <c r="BK33" s="10" t="str">
        <f>IF($Z$6=TRUE(),9962.6,"")</f>
        <v/>
      </c>
      <c r="BL33" s="10" t="str">
        <f>IF($Z$6=TRUE(),10378,"")</f>
        <v/>
      </c>
      <c r="BM33" s="10" t="str">
        <f>IF($Z$6=TRUE(),10568.1,"")</f>
        <v/>
      </c>
      <c r="BN33" s="11"/>
      <c r="BO33" s="11"/>
    </row>
    <row r="34" spans="1:67" ht="15" customHeight="1">
      <c r="A34" s="12" t="s">
        <v>275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3" t="str">
        <f>IF($AA$6=TRUE(),1566.8,"")</f>
        <v/>
      </c>
      <c r="AO34" s="13" t="str">
        <f>IF($AA$6=TRUE(),2190.2,"")</f>
        <v/>
      </c>
      <c r="AP34" s="13" t="str">
        <f>IF($AA$6=TRUE(),2268.3,"")</f>
        <v/>
      </c>
      <c r="AQ34" s="13" t="str">
        <f>IF($AA$6=TRUE(),2712.1,"")</f>
        <v/>
      </c>
      <c r="AR34" s="13" t="str">
        <f>IF($AA$6=TRUE(),3031.5,"")</f>
        <v/>
      </c>
      <c r="AS34" s="13" t="str">
        <f>IF($AA$6=TRUE(),2938.5,"")</f>
        <v/>
      </c>
      <c r="AT34" s="13" t="str">
        <f>IF($AA$6=TRUE(),2938.5,"")</f>
        <v/>
      </c>
      <c r="AU34" s="13" t="str">
        <f>IF($AA$6=TRUE(),3040,"")</f>
        <v/>
      </c>
      <c r="AV34" s="13" t="str">
        <f>IF($AA$6=TRUE(),3555.6,"")</f>
        <v/>
      </c>
      <c r="AW34" s="13" t="str">
        <f>IF($AA$6=TRUE(),3467.4,"")</f>
        <v/>
      </c>
      <c r="AX34" s="13" t="str">
        <f>IF($AA$6=TRUE(),3412.9,"")</f>
        <v/>
      </c>
      <c r="AY34" s="13" t="str">
        <f>IF($AA$6=TRUE(),3491.5,"")</f>
        <v/>
      </c>
      <c r="AZ34" s="13" t="str">
        <f>IF($AA$6=TRUE(),4370.1,"")</f>
        <v/>
      </c>
      <c r="BA34" s="13" t="str">
        <f>IF($AA$6=TRUE(),5235.9,"")</f>
        <v/>
      </c>
      <c r="BB34" s="13" t="str">
        <f>IF($AA$6=TRUE(),5291.7,"")</f>
        <v/>
      </c>
      <c r="BC34" s="13" t="str">
        <f>IF($AA$6=TRUE(),5347.6,"")</f>
        <v/>
      </c>
      <c r="BD34" s="13" t="str">
        <f>IF($AA$6=TRUE(),5995.3,"")</f>
        <v/>
      </c>
      <c r="BE34" s="13" t="str">
        <f>IF($AA$6=TRUE(),6040.2,"")</f>
        <v/>
      </c>
      <c r="BF34" s="13" t="str">
        <f>IF($AA$6=TRUE(),6078.1,"")</f>
        <v/>
      </c>
      <c r="BG34" s="13" t="str">
        <f>IF($AA$6=TRUE(),6774.4,"")</f>
        <v/>
      </c>
      <c r="BH34" s="13" t="str">
        <f>IF($AA$6=TRUE(),7333.3,"")</f>
        <v/>
      </c>
      <c r="BI34" s="13" t="str">
        <f>IF($AA$6=TRUE(),7756.7,"")</f>
        <v/>
      </c>
      <c r="BJ34" s="13" t="str">
        <f>IF($AA$6=TRUE(),8468,"")</f>
        <v/>
      </c>
      <c r="BK34" s="13" t="str">
        <f>IF($AA$6=TRUE(),9836.4,"")</f>
        <v/>
      </c>
      <c r="BL34" s="13" t="str">
        <f>IF($AA$6=TRUE(),10039.6,"")</f>
        <v/>
      </c>
      <c r="BM34" s="13" t="str">
        <f>IF($AA$6=TRUE(),10195.5,"")</f>
        <v/>
      </c>
      <c r="BN34" s="14"/>
      <c r="BO34" s="14"/>
    </row>
    <row r="35" spans="1:67" ht="15" customHeight="1">
      <c r="A35" s="9" t="s">
        <v>276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0" t="str">
        <f>IF($AB$6=TRUE(),1755.2,"")</f>
        <v/>
      </c>
      <c r="AO35" s="10" t="str">
        <f>IF($AB$6=TRUE(),2126.9,"")</f>
        <v/>
      </c>
      <c r="AP35" s="10" t="str">
        <f>IF($AB$6=TRUE(),2400.9,"")</f>
        <v/>
      </c>
      <c r="AQ35" s="10" t="str">
        <f>IF($AB$6=TRUE(),2741.1,"")</f>
        <v/>
      </c>
      <c r="AR35" s="10" t="str">
        <f>IF($AB$6=TRUE(),3073.5,"")</f>
        <v/>
      </c>
      <c r="AS35" s="10" t="str">
        <f>IF($AB$6=TRUE(),3030,"")</f>
        <v/>
      </c>
      <c r="AT35" s="10" t="str">
        <f>IF($AB$6=TRUE(),3184.5,"")</f>
        <v/>
      </c>
      <c r="AU35" s="10" t="str">
        <f>IF($AB$6=TRUE(),3305,"")</f>
        <v/>
      </c>
      <c r="AV35" s="10" t="str">
        <f>IF($AB$6=TRUE(),3333.2,"")</f>
        <v/>
      </c>
      <c r="AW35" s="10" t="str">
        <f>IF($AB$6=TRUE(),3394.4,"")</f>
        <v/>
      </c>
      <c r="AX35" s="10" t="str">
        <f>IF($AB$6=TRUE(),3450.8,"")</f>
        <v/>
      </c>
      <c r="AY35" s="10" t="str">
        <f>IF($AB$6=TRUE(),3450.8,"")</f>
        <v/>
      </c>
      <c r="AZ35" s="10" t="str">
        <f>IF($AB$6=TRUE(),4096.1,"")</f>
        <v/>
      </c>
      <c r="BA35" s="10" t="str">
        <f>IF($AB$6=TRUE(),5445.3,"")</f>
        <v/>
      </c>
      <c r="BB35" s="10" t="str">
        <f>IF($AB$6=TRUE(),5510.1,"")</f>
        <v/>
      </c>
      <c r="BC35" s="10" t="str">
        <f>IF($AB$6=TRUE(),5574.9,"")</f>
        <v/>
      </c>
      <c r="BD35" s="10" t="str">
        <f>IF($AB$6=TRUE(),6223.6,"")</f>
        <v/>
      </c>
      <c r="BE35" s="10" t="str">
        <f>IF($AB$6=TRUE(),6223.6,"")</f>
        <v/>
      </c>
      <c r="BF35" s="10" t="str">
        <f>IF($AB$6=TRUE(),6612.4,"")</f>
        <v/>
      </c>
      <c r="BG35" s="10" t="str">
        <f>IF($AB$6=TRUE(),7198.3,"")</f>
        <v/>
      </c>
      <c r="BH35" s="10" t="str">
        <f>IF($AB$6=TRUE(),7423.4,"")</f>
        <v/>
      </c>
      <c r="BI35" s="10" t="str">
        <f>IF($AB$6=TRUE(),7558.5,"")</f>
        <v/>
      </c>
      <c r="BJ35" s="10" t="str">
        <f>IF($AB$6=TRUE(),8508.4,"")</f>
        <v/>
      </c>
      <c r="BK35" s="10" t="str">
        <f>IF($AB$6=TRUE(),10372.8,"")</f>
        <v/>
      </c>
      <c r="BL35" s="10" t="str">
        <f>IF($AB$6=TRUE(),10811.9,"")</f>
        <v/>
      </c>
      <c r="BM35" s="10" t="str">
        <f>IF($AB$6=TRUE(),11013.4,"")</f>
        <v/>
      </c>
      <c r="BN35" s="11"/>
      <c r="BO35" s="11"/>
    </row>
    <row r="36" spans="1:67" ht="15" customHeight="1">
      <c r="A36" s="12" t="s">
        <v>277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3" t="str">
        <f>IF($AC$6=TRUE(),1749.5,"")</f>
        <v/>
      </c>
      <c r="AO36" s="13" t="str">
        <f>IF($AC$6=TRUE(),2076.8,"")</f>
        <v/>
      </c>
      <c r="AP36" s="13" t="str">
        <f>IF($AC$6=TRUE(),2273.3,"")</f>
        <v/>
      </c>
      <c r="AQ36" s="13" t="str">
        <f>IF($AC$6=TRUE(),2591.6,"")</f>
        <v/>
      </c>
      <c r="AR36" s="13" t="str">
        <f>IF($AC$6=TRUE(),2837.1,"")</f>
        <v/>
      </c>
      <c r="AS36" s="13" t="str">
        <f>IF($AC$6=TRUE(),2730,"")</f>
        <v/>
      </c>
      <c r="AT36" s="13" t="str">
        <f>IF($AC$6=TRUE(),3352.7,"")</f>
        <v/>
      </c>
      <c r="AU36" s="13" t="str">
        <f>IF($AC$6=TRUE(),3353.7,"")</f>
        <v/>
      </c>
      <c r="AV36" s="13" t="str">
        <f>IF($AC$6=TRUE(),4093.1,"")</f>
        <v/>
      </c>
      <c r="AW36" s="13" t="str">
        <f>IF($AC$6=TRUE(),4094.5,"")</f>
        <v/>
      </c>
      <c r="AX36" s="13" t="str">
        <f>IF($AC$6=TRUE(),4175.6,"")</f>
        <v/>
      </c>
      <c r="AY36" s="13" t="str">
        <f>IF($AC$6=TRUE(),4520.3,"")</f>
        <v/>
      </c>
      <c r="AZ36" s="13" t="str">
        <f>IF($AC$6=TRUE(),5322.9,"")</f>
        <v/>
      </c>
      <c r="BA36" s="13" t="str">
        <f>IF($AC$6=TRUE(),5589.1,"")</f>
        <v/>
      </c>
      <c r="BB36" s="13" t="str">
        <f>IF($AC$6=TRUE(),5743.2,"")</f>
        <v/>
      </c>
      <c r="BC36" s="13" t="str">
        <f>IF($AC$6=TRUE(),5897.3,"")</f>
        <v/>
      </c>
      <c r="BD36" s="13" t="str">
        <f>IF($AC$6=TRUE(),7100.4,"")</f>
        <v/>
      </c>
      <c r="BE36" s="13" t="str">
        <f>IF($AC$6=TRUE(),7051,"")</f>
        <v/>
      </c>
      <c r="BF36" s="13" t="str">
        <f>IF($AC$6=TRUE(),7759.2,"")</f>
        <v/>
      </c>
      <c r="BG36" s="13" t="str">
        <f>IF($AC$6=TRUE(),7759.2,"")</f>
        <v/>
      </c>
      <c r="BH36" s="13" t="str">
        <f>IF($AC$6=TRUE(),8867.9,"")</f>
        <v/>
      </c>
      <c r="BI36" s="13" t="str">
        <f>IF($AC$6=TRUE(),8983.8,"")</f>
        <v/>
      </c>
      <c r="BJ36" s="13" t="str">
        <f>IF($AC$6=TRUE(),9365.4,"")</f>
        <v/>
      </c>
      <c r="BK36" s="13" t="str">
        <f>IF($AC$6=TRUE(),10801.6,"")</f>
        <v/>
      </c>
      <c r="BL36" s="13" t="str">
        <f>IF($AC$6=TRUE(),10940.5,"")</f>
        <v/>
      </c>
      <c r="BM36" s="13" t="str">
        <f>IF($AC$6=TRUE(),11235.3,"")</f>
        <v/>
      </c>
      <c r="BN36" s="14"/>
      <c r="BO36" s="14"/>
    </row>
    <row r="37" spans="1:67" ht="15" customHeight="1">
      <c r="A37" s="9" t="s">
        <v>278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0" t="str">
        <f>IF($AD$6=TRUE(),1665,"")</f>
        <v/>
      </c>
      <c r="AO37" s="10" t="str">
        <f>IF($AD$6=TRUE(),2110.5,"")</f>
        <v/>
      </c>
      <c r="AP37" s="10" t="str">
        <f>IF($AD$6=TRUE(),2347.5,"")</f>
        <v/>
      </c>
      <c r="AQ37" s="10" t="str">
        <f>IF($AD$6=TRUE(),2687.3,"")</f>
        <v/>
      </c>
      <c r="AR37" s="10" t="str">
        <f>IF($AD$6=TRUE(),2763,"")</f>
        <v/>
      </c>
      <c r="AS37" s="10" t="str">
        <f>IF($AD$6=TRUE(),2635.5,"")</f>
        <v/>
      </c>
      <c r="AT37" s="10" t="str">
        <f>IF($AD$6=TRUE(),2970.3,"")</f>
        <v/>
      </c>
      <c r="AU37" s="10" t="str">
        <f>IF($AD$6=TRUE(),3097.1,"")</f>
        <v/>
      </c>
      <c r="AV37" s="10" t="str">
        <f>IF($AD$6=TRUE(),3431.2,"")</f>
        <v/>
      </c>
      <c r="AW37" s="10" t="str">
        <f>IF($AD$6=TRUE(),3431.2,"")</f>
        <v/>
      </c>
      <c r="AX37" s="10" t="str">
        <f>IF($AD$6=TRUE(),3774.3,"")</f>
        <v/>
      </c>
      <c r="AY37" s="10" t="str">
        <f>IF($AD$6=TRUE(),3963,"")</f>
        <v/>
      </c>
      <c r="AZ37" s="10" t="str">
        <f>IF($AD$6=TRUE(),4350.4,"")</f>
        <v/>
      </c>
      <c r="BA37" s="10" t="str">
        <f>IF($AD$6=TRUE(),4746.4,"")</f>
        <v/>
      </c>
      <c r="BB37" s="10" t="str">
        <f>IF($AD$6=TRUE(),4883.6,"")</f>
        <v/>
      </c>
      <c r="BC37" s="10" t="str">
        <f>IF($AD$6=TRUE(),5397.7,"")</f>
        <v/>
      </c>
      <c r="BD37" s="10" t="str">
        <f>IF($AD$6=TRUE(),5668.3,"")</f>
        <v/>
      </c>
      <c r="BE37" s="10" t="str">
        <f>IF($AD$6=TRUE(),5853.1,"")</f>
        <v/>
      </c>
      <c r="BF37" s="10" t="str">
        <f>IF($AD$6=TRUE(),5970.2,"")</f>
        <v/>
      </c>
      <c r="BG37" s="10" t="str">
        <f>IF($AD$6=TRUE(),6328.4,"")</f>
        <v/>
      </c>
      <c r="BH37" s="10" t="str">
        <f>IF($AD$6=TRUE(),6961.4,"")</f>
        <v/>
      </c>
      <c r="BI37" s="10" t="str">
        <f>IF($AD$6=TRUE(),7679.5,"")</f>
        <v/>
      </c>
      <c r="BJ37" s="10" t="str">
        <f>IF($AD$6=TRUE(),8062.3,"")</f>
        <v/>
      </c>
      <c r="BK37" s="10" t="str">
        <f>IF($AD$6=TRUE(),8986.3,"")</f>
        <v/>
      </c>
      <c r="BL37" s="10" t="str">
        <f>IF($AD$6=TRUE(),9138.2,"")</f>
        <v/>
      </c>
      <c r="BM37" s="10" t="str">
        <f>IF($AD$6=TRUE(),9695.1,"")</f>
        <v/>
      </c>
      <c r="BN37" s="11"/>
      <c r="BO37" s="11"/>
    </row>
    <row r="38" spans="1:67" ht="15" customHeight="1">
      <c r="A38" s="12" t="s">
        <v>279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3" t="str">
        <f>IF($AE$6=TRUE(),1743,"")</f>
        <v/>
      </c>
      <c r="AO38" s="13" t="str">
        <f>IF($AE$6=TRUE(),2097,"")</f>
        <v/>
      </c>
      <c r="AP38" s="13" t="str">
        <f>IF($AE$6=TRUE(),2358,"")</f>
        <v/>
      </c>
      <c r="AQ38" s="13" t="str">
        <f>IF($AE$6=TRUE(),2682,"")</f>
        <v/>
      </c>
      <c r="AR38" s="13" t="str">
        <f>IF($AE$6=TRUE(),3105,"")</f>
        <v/>
      </c>
      <c r="AS38" s="13" t="str">
        <f>IF($AE$6=TRUE(),3045,"")</f>
        <v/>
      </c>
      <c r="AT38" s="13" t="str">
        <f>IF($AE$6=TRUE(),3197.2,"")</f>
        <v/>
      </c>
      <c r="AU38" s="13" t="str">
        <f>IF($AE$6=TRUE(),3258.1,"")</f>
        <v/>
      </c>
      <c r="AV38" s="13" t="str">
        <f>IF($AE$6=TRUE(),3389.1,"")</f>
        <v/>
      </c>
      <c r="AW38" s="13" t="str">
        <f>IF($AE$6=TRUE(),3285.6,"")</f>
        <v/>
      </c>
      <c r="AX38" s="13" t="str">
        <f>IF($AE$6=TRUE(),3598.5,"")</f>
        <v/>
      </c>
      <c r="AY38" s="13" t="str">
        <f>IF($AE$6=TRUE(),3794,"")</f>
        <v/>
      </c>
      <c r="AZ38" s="13" t="str">
        <f>IF($AE$6=TRUE(),4108.5,"")</f>
        <v/>
      </c>
      <c r="BA38" s="13" t="str">
        <f>IF($AE$6=TRUE(),5020.3,"")</f>
        <v/>
      </c>
      <c r="BB38" s="13" t="str">
        <f>IF($AE$6=TRUE(),5511.9,"")</f>
        <v/>
      </c>
      <c r="BC38" s="13" t="str">
        <f>IF($AE$6=TRUE(),5436.9,"")</f>
        <v/>
      </c>
      <c r="BD38" s="13" t="str">
        <f>IF($AE$6=TRUE(),5708.8,"")</f>
        <v/>
      </c>
      <c r="BE38" s="13" t="str">
        <f>IF($AE$6=TRUE(),5893.6,"")</f>
        <v/>
      </c>
      <c r="BF38" s="13" t="str">
        <f>IF($AE$6=TRUE(),6649.4,"")</f>
        <v/>
      </c>
      <c r="BG38" s="13" t="str">
        <f>IF($AE$6=TRUE(),6926.7,"")</f>
        <v/>
      </c>
      <c r="BH38" s="13" t="str">
        <f>IF($AE$6=TRUE(),8471.3,"")</f>
        <v/>
      </c>
      <c r="BI38" s="13" t="str">
        <f>IF($AE$6=TRUE(),8824.6,"")</f>
        <v/>
      </c>
      <c r="BJ38" s="13" t="str">
        <f>IF($AE$6=TRUE(),8553.3,"")</f>
        <v/>
      </c>
      <c r="BK38" s="13" t="str">
        <f>IF($AE$6=TRUE(),9766.6,"")</f>
        <v/>
      </c>
      <c r="BL38" s="13" t="str">
        <f>IF($AE$6=TRUE(),9974.4,"")</f>
        <v/>
      </c>
      <c r="BM38" s="13" t="str">
        <f>IF($AE$6=TRUE(),10182.2,"")</f>
        <v/>
      </c>
      <c r="BN38" s="14"/>
      <c r="BO38" s="14"/>
    </row>
    <row r="39" spans="1:67" ht="15" customHeight="1">
      <c r="A39" s="9" t="s">
        <v>280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0" t="str">
        <f>IF($AF$6=TRUE(),1831.5,"")</f>
        <v/>
      </c>
      <c r="AO39" s="10" t="str">
        <f>IF($AF$6=TRUE(),2001,"")</f>
        <v/>
      </c>
      <c r="AP39" s="10" t="str">
        <f>IF($AF$6=TRUE(),2014.5,"")</f>
        <v/>
      </c>
      <c r="AQ39" s="10" t="str">
        <f>IF($AF$6=TRUE(),2044.5,"")</f>
        <v/>
      </c>
      <c r="AR39" s="10" t="str">
        <f>IF($AF$6=TRUE(),2257.5,"")</f>
        <v/>
      </c>
      <c r="AS39" s="10" t="str">
        <f>IF($AF$6=TRUE(),2373,"")</f>
        <v/>
      </c>
      <c r="AT39" s="10" t="str">
        <f>IF($AF$6=TRUE(),3097.1,"")</f>
        <v/>
      </c>
      <c r="AU39" s="10" t="str">
        <f>IF($AF$6=TRUE(),3268.2,"")</f>
        <v/>
      </c>
      <c r="AV39" s="10" t="str">
        <f>IF($AF$6=TRUE(),3279.8,"")</f>
        <v/>
      </c>
      <c r="AW39" s="10" t="str">
        <f>IF($AF$6=TRUE(),3308.6,"")</f>
        <v/>
      </c>
      <c r="AX39" s="10" t="str">
        <f>IF($AF$6=TRUE(),4350.5,"")</f>
        <v/>
      </c>
      <c r="AY39" s="10" t="str">
        <f>IF($AF$6=TRUE(),4445.2,"")</f>
        <v/>
      </c>
      <c r="AZ39" s="10" t="str">
        <f>IF($AF$6=TRUE(),4722.2,"")</f>
        <v/>
      </c>
      <c r="BA39" s="10" t="str">
        <f>IF($AF$6=TRUE(),4893.1,"")</f>
        <v/>
      </c>
      <c r="BB39" s="10" t="str">
        <f>IF($AF$6=TRUE(),4893.1,"")</f>
        <v/>
      </c>
      <c r="BC39" s="10" t="str">
        <f>IF($AF$6=TRUE(),4905.5,"")</f>
        <v/>
      </c>
      <c r="BD39" s="10" t="str">
        <f>IF($AF$6=TRUE(),6046.3,"")</f>
        <v/>
      </c>
      <c r="BE39" s="10" t="str">
        <f>IF($AF$6=TRUE(),6270.1,"")</f>
        <v/>
      </c>
      <c r="BF39" s="10" t="str">
        <f>IF($AF$6=TRUE(),6439,"")</f>
        <v/>
      </c>
      <c r="BG39" s="10" t="str">
        <f>IF($AF$6=TRUE(),6620.2,"")</f>
        <v/>
      </c>
      <c r="BH39" s="10" t="str">
        <f>IF($AF$6=TRUE(),8253.4,"")</f>
        <v/>
      </c>
      <c r="BI39" s="10" t="str">
        <f>IF($AF$6=TRUE(),8565.1,"")</f>
        <v/>
      </c>
      <c r="BJ39" s="10" t="str">
        <f>IF($AF$6=TRUE(),8573.2,"")</f>
        <v/>
      </c>
      <c r="BK39" s="10" t="str">
        <f>IF($AF$6=TRUE(),8897.6,"")</f>
        <v/>
      </c>
      <c r="BL39" s="10" t="str">
        <f>IF($AF$6=TRUE(),9030,"")</f>
        <v/>
      </c>
      <c r="BM39" s="10" t="str">
        <f>IF($AF$6=TRUE(),9116,"")</f>
        <v/>
      </c>
      <c r="BN39" s="11"/>
      <c r="BO39" s="11"/>
    </row>
    <row r="40" spans="1:67" ht="15" customHeight="1">
      <c r="A40" s="12" t="s">
        <v>281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3" t="str">
        <f>IF($AG$6=TRUE(),1831.5,"")</f>
        <v/>
      </c>
      <c r="AO40" s="13" t="str">
        <f>IF($AG$6=TRUE(),2001,"")</f>
        <v/>
      </c>
      <c r="AP40" s="13" t="str">
        <f>IF($AG$6=TRUE(),2014.5,"")</f>
        <v/>
      </c>
      <c r="AQ40" s="13" t="str">
        <f>IF($AG$6=TRUE(),2044.5,"")</f>
        <v/>
      </c>
      <c r="AR40" s="13" t="str">
        <f>IF($AG$6=TRUE(),2167.5,"")</f>
        <v/>
      </c>
      <c r="AS40" s="13" t="str">
        <f>IF($AG$6=TRUE(),2274,"")</f>
        <v/>
      </c>
      <c r="AT40" s="13" t="str">
        <f>IF($AG$6=TRUE(),2976.8,"")</f>
        <v/>
      </c>
      <c r="AU40" s="13" t="str">
        <f>IF($AG$6=TRUE(),3118.6,"")</f>
        <v/>
      </c>
      <c r="AV40" s="13" t="str">
        <f>IF($AG$6=TRUE(),3120.8,"")</f>
        <v/>
      </c>
      <c r="AW40" s="13" t="str">
        <f>IF($AG$6=TRUE(),3126.3,"")</f>
        <v/>
      </c>
      <c r="AX40" s="13" t="str">
        <f>IF($AG$6=TRUE(),4167.8,"")</f>
        <v/>
      </c>
      <c r="AY40" s="13" t="str">
        <f>IF($AG$6=TRUE(),4249.1,"")</f>
        <v/>
      </c>
      <c r="AZ40" s="13" t="str">
        <f>IF($AG$6=TRUE(),4509.1,"")</f>
        <v/>
      </c>
      <c r="BA40" s="13" t="str">
        <f>IF($AG$6=TRUE(),4641.3,"")</f>
        <v/>
      </c>
      <c r="BB40" s="13" t="str">
        <f>IF($AG$6=TRUE(),4641.3,"")</f>
        <v/>
      </c>
      <c r="BC40" s="13" t="str">
        <f>IF($AG$6=TRUE(),4638.9,"")</f>
        <v/>
      </c>
      <c r="BD40" s="13" t="str">
        <f>IF($AG$6=TRUE(),5774.9,"")</f>
        <v/>
      </c>
      <c r="BE40" s="13" t="str">
        <f>IF($AG$6=TRUE(),5970,"")</f>
        <v/>
      </c>
      <c r="BF40" s="13" t="str">
        <f>IF($AG$6=TRUE(),6154.7,"")</f>
        <v/>
      </c>
      <c r="BG40" s="13" t="str">
        <f>IF($AG$6=TRUE(),6319.4,"")</f>
        <v/>
      </c>
      <c r="BH40" s="13" t="str">
        <f>IF($AG$6=TRUE(),7956,"")</f>
        <v/>
      </c>
      <c r="BI40" s="13" t="str">
        <f>IF($AG$6=TRUE(),8227.8,"")</f>
        <v/>
      </c>
      <c r="BJ40" s="13" t="str">
        <f>IF($AG$6=TRUE(),8196.3,"")</f>
        <v/>
      </c>
      <c r="BK40" s="13" t="str">
        <f>IF($AG$6=TRUE(),8393.3,"")</f>
        <v/>
      </c>
      <c r="BL40" s="13" t="str">
        <f>IF($AG$6=TRUE(),8556.5,"")</f>
        <v/>
      </c>
      <c r="BM40" s="13" t="str">
        <f>IF($AG$6=TRUE(),8625.9,"")</f>
        <v/>
      </c>
      <c r="BN40" s="14"/>
      <c r="BO40" s="14"/>
    </row>
    <row r="41" spans="1:67" ht="15" customHeight="1">
      <c r="A41" s="9" t="s">
        <v>196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0" t="str">
        <f>IF($AH$6=TRUE(),1922.3,"")</f>
        <v/>
      </c>
      <c r="AO41" s="10" t="str">
        <f>IF($AH$6=TRUE(),2325,"")</f>
        <v/>
      </c>
      <c r="AP41" s="10" t="str">
        <f>IF($AH$6=TRUE(),2426.3,"")</f>
        <v/>
      </c>
      <c r="AQ41" s="10" t="str">
        <f>IF($AH$6=TRUE(),2662.5,"")</f>
        <v/>
      </c>
      <c r="AR41" s="10" t="str">
        <f>IF($AH$6=TRUE(),2700,"")</f>
        <v/>
      </c>
      <c r="AS41" s="10" t="str">
        <f>IF($AH$6=TRUE(),2814,"")</f>
        <v/>
      </c>
      <c r="AT41" s="10" t="str">
        <f>IF($AH$6=TRUE(),3904.7,"")</f>
        <v/>
      </c>
      <c r="AU41" s="10" t="str">
        <f>IF($AH$6=TRUE(),4124.2,"")</f>
        <v/>
      </c>
      <c r="AV41" s="10" t="str">
        <f>IF($AH$6=TRUE(),4241.1,"")</f>
        <v/>
      </c>
      <c r="AW41" s="10" t="str">
        <f>IF($AH$6=TRUE(),4344.8,"")</f>
        <v/>
      </c>
      <c r="AX41" s="10" t="str">
        <f>IF($AH$6=TRUE(),5491.8,"")</f>
        <v/>
      </c>
      <c r="AY41" s="10" t="str">
        <f>IF($AH$6=TRUE(),6169.6,"")</f>
        <v/>
      </c>
      <c r="AZ41" s="10" t="str">
        <f>IF($AH$6=TRUE(),6252.3,"")</f>
        <v/>
      </c>
      <c r="BA41" s="10" t="str">
        <f>IF($AH$6=TRUE(),6334.7,"")</f>
        <v/>
      </c>
      <c r="BB41" s="10" t="str">
        <f>IF($AH$6=TRUE(),6395.5,"")</f>
        <v/>
      </c>
      <c r="BC41" s="10" t="str">
        <f>IF($AH$6=TRUE(),6538.9,"")</f>
        <v/>
      </c>
      <c r="BD41" s="10" t="str">
        <f>IF($AH$6=TRUE(),7794.4,"")</f>
        <v/>
      </c>
      <c r="BE41" s="10" t="str">
        <f>IF($AH$6=TRUE(),8311,"")</f>
        <v/>
      </c>
      <c r="BF41" s="10" t="str">
        <f>IF($AH$6=TRUE(),8827.6,"")</f>
        <v/>
      </c>
      <c r="BG41" s="10" t="str">
        <f>IF($AH$6=TRUE(),8958.3,"")</f>
        <v/>
      </c>
      <c r="BH41" s="10" t="str">
        <f>IF($AH$6=TRUE(),11153.1,"")</f>
        <v/>
      </c>
      <c r="BI41" s="10" t="str">
        <f>IF($AH$6=TRUE(),11592.1,"")</f>
        <v/>
      </c>
      <c r="BJ41" s="10" t="str">
        <f>IF($AH$6=TRUE(),11717.5,"")</f>
        <v/>
      </c>
      <c r="BK41" s="10" t="str">
        <f>IF($AH$6=TRUE(),11986.2,"")</f>
        <v/>
      </c>
      <c r="BL41" s="10" t="str">
        <f>IF($AH$6=TRUE(),12344.5,"")</f>
        <v/>
      </c>
      <c r="BM41" s="10" t="str">
        <f>IF($AH$6=TRUE(),12541.6,"")</f>
        <v/>
      </c>
      <c r="BN41" s="11"/>
      <c r="BO41" s="11"/>
    </row>
  </sheetData>
  <mergeCells count="1">
    <mergeCell ref="A1:BO1"/>
  </mergeCells>
  <dataValidations count="1">
    <dataValidation type="list" sqref="B6:AH6" xr:uid="{00000000-0002-0000-0A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O38"/>
  <sheetViews>
    <sheetView rightToLeft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8.6640625" defaultRowHeight="14.25"/>
  <cols>
    <col min="1" max="1" width="25" customWidth="1"/>
    <col min="2" max="31" width="8" customWidth="1"/>
  </cols>
  <sheetData>
    <row r="1" spans="1:67" ht="30" customHeight="1">
      <c r="A1" s="85" t="s">
        <v>361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3"/>
    </row>
    <row r="3" spans="1:67" ht="15" customHeight="1">
      <c r="A3" s="2" t="s">
        <v>342</v>
      </c>
    </row>
    <row r="5" spans="1:67" ht="34.5" customHeight="1">
      <c r="A5" s="3" t="s">
        <v>343</v>
      </c>
      <c r="B5" s="4" t="s">
        <v>283</v>
      </c>
      <c r="C5" s="4" t="s">
        <v>284</v>
      </c>
      <c r="D5" s="4" t="s">
        <v>285</v>
      </c>
      <c r="E5" s="4" t="s">
        <v>286</v>
      </c>
      <c r="F5" s="4" t="s">
        <v>287</v>
      </c>
      <c r="G5" s="4" t="s">
        <v>288</v>
      </c>
      <c r="H5" s="4" t="s">
        <v>289</v>
      </c>
      <c r="I5" s="4" t="s">
        <v>290</v>
      </c>
      <c r="J5" s="4" t="s">
        <v>291</v>
      </c>
      <c r="K5" s="4" t="s">
        <v>292</v>
      </c>
      <c r="L5" s="4" t="s">
        <v>293</v>
      </c>
      <c r="M5" s="4" t="s">
        <v>294</v>
      </c>
      <c r="N5" s="4" t="s">
        <v>295</v>
      </c>
      <c r="O5" s="4" t="s">
        <v>296</v>
      </c>
      <c r="P5" s="4" t="s">
        <v>297</v>
      </c>
      <c r="Q5" s="4" t="s">
        <v>298</v>
      </c>
      <c r="R5" s="4" t="s">
        <v>299</v>
      </c>
      <c r="S5" s="4" t="s">
        <v>300</v>
      </c>
      <c r="T5" s="4" t="s">
        <v>301</v>
      </c>
      <c r="U5" s="4" t="s">
        <v>302</v>
      </c>
      <c r="V5" s="4" t="s">
        <v>303</v>
      </c>
      <c r="W5" s="4" t="s">
        <v>304</v>
      </c>
      <c r="X5" s="4" t="s">
        <v>305</v>
      </c>
      <c r="Y5" s="4" t="s">
        <v>306</v>
      </c>
      <c r="Z5" s="4" t="s">
        <v>307</v>
      </c>
      <c r="AA5" s="4" t="s">
        <v>308</v>
      </c>
      <c r="AB5" s="4" t="s">
        <v>309</v>
      </c>
      <c r="AC5" s="4" t="s">
        <v>310</v>
      </c>
      <c r="AD5" s="4" t="s">
        <v>311</v>
      </c>
      <c r="AE5" s="4" t="s">
        <v>196</v>
      </c>
    </row>
    <row r="6" spans="1:67" ht="19.5" customHeight="1">
      <c r="A6" s="5" t="s">
        <v>344</v>
      </c>
      <c r="B6" s="6" t="b">
        <f>TRUE()</f>
        <v>1</v>
      </c>
      <c r="C6" s="6" t="b">
        <f>TRUE()</f>
        <v>1</v>
      </c>
      <c r="D6" s="6" t="b">
        <f>TRUE()</f>
        <v>1</v>
      </c>
      <c r="E6" s="6" t="b">
        <f>TRUE()</f>
        <v>1</v>
      </c>
      <c r="F6" s="6" t="b">
        <f>TRUE()</f>
        <v>1</v>
      </c>
      <c r="G6" s="6" t="b">
        <f>FALSE()</f>
        <v>0</v>
      </c>
      <c r="H6" s="6" t="b">
        <f>FALSE()</f>
        <v>0</v>
      </c>
      <c r="I6" s="6" t="b">
        <f>FALSE()</f>
        <v>0</v>
      </c>
      <c r="J6" s="6" t="b">
        <f>FALSE()</f>
        <v>0</v>
      </c>
      <c r="K6" s="6" t="b">
        <f>FALSE()</f>
        <v>0</v>
      </c>
      <c r="L6" s="6" t="b">
        <f>FALSE()</f>
        <v>0</v>
      </c>
      <c r="M6" s="6" t="b">
        <f>FALSE()</f>
        <v>0</v>
      </c>
      <c r="N6" s="6" t="b">
        <f>FALSE()</f>
        <v>0</v>
      </c>
      <c r="O6" s="6" t="b">
        <f>FALSE()</f>
        <v>0</v>
      </c>
      <c r="P6" s="6" t="b">
        <f>FALSE()</f>
        <v>0</v>
      </c>
      <c r="Q6" s="6" t="b">
        <f>FALSE()</f>
        <v>0</v>
      </c>
      <c r="R6" s="6" t="b">
        <f>FALSE()</f>
        <v>0</v>
      </c>
      <c r="S6" s="6" t="b">
        <f>FALSE()</f>
        <v>0</v>
      </c>
      <c r="T6" s="6" t="b">
        <f>FALSE()</f>
        <v>0</v>
      </c>
      <c r="U6" s="6" t="b">
        <f>FALSE()</f>
        <v>0</v>
      </c>
      <c r="V6" s="6" t="b">
        <f>FALSE()</f>
        <v>0</v>
      </c>
      <c r="W6" s="6" t="b">
        <f>FALSE()</f>
        <v>0</v>
      </c>
      <c r="X6" s="6" t="b">
        <f>FALSE()</f>
        <v>0</v>
      </c>
      <c r="Y6" s="6" t="b">
        <f>FALSE()</f>
        <v>0</v>
      </c>
      <c r="Z6" s="6" t="b">
        <f>FALSE()</f>
        <v>0</v>
      </c>
      <c r="AA6" s="6" t="b">
        <f>FALSE()</f>
        <v>0</v>
      </c>
      <c r="AB6" s="6" t="b">
        <f>FALSE()</f>
        <v>0</v>
      </c>
      <c r="AC6" s="6" t="b">
        <f>FALSE()</f>
        <v>0</v>
      </c>
      <c r="AD6" s="6" t="b">
        <f>FALSE()</f>
        <v>0</v>
      </c>
      <c r="AE6" s="6" t="b">
        <f>FALSE()</f>
        <v>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8" spans="1:67" ht="30" customHeight="1">
      <c r="A8" s="7" t="s">
        <v>345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  <c r="M8" s="8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  <c r="AA8" s="8" t="s">
        <v>36</v>
      </c>
      <c r="AB8" s="8" t="s">
        <v>37</v>
      </c>
      <c r="AC8" s="8" t="s">
        <v>38</v>
      </c>
      <c r="AD8" s="8" t="s">
        <v>39</v>
      </c>
      <c r="AE8" s="8" t="s">
        <v>40</v>
      </c>
      <c r="AF8" s="8" t="s">
        <v>41</v>
      </c>
      <c r="AG8" s="8" t="s">
        <v>42</v>
      </c>
      <c r="AH8" s="8" t="s">
        <v>43</v>
      </c>
      <c r="AI8" s="8" t="s">
        <v>44</v>
      </c>
      <c r="AJ8" s="8" t="s">
        <v>45</v>
      </c>
      <c r="AK8" s="8" t="s">
        <v>46</v>
      </c>
      <c r="AL8" s="8" t="s">
        <v>47</v>
      </c>
      <c r="AM8" s="8" t="s">
        <v>48</v>
      </c>
      <c r="AN8" s="8" t="s">
        <v>49</v>
      </c>
      <c r="AO8" s="8" t="s">
        <v>50</v>
      </c>
      <c r="AP8" s="8" t="s">
        <v>51</v>
      </c>
      <c r="AQ8" s="8" t="s">
        <v>52</v>
      </c>
      <c r="AR8" s="8" t="s">
        <v>53</v>
      </c>
      <c r="AS8" s="8" t="s">
        <v>54</v>
      </c>
      <c r="AT8" s="8" t="s">
        <v>55</v>
      </c>
      <c r="AU8" s="8" t="s">
        <v>56</v>
      </c>
      <c r="AV8" s="8" t="s">
        <v>57</v>
      </c>
      <c r="AW8" s="8" t="s">
        <v>58</v>
      </c>
      <c r="AX8" s="8" t="s">
        <v>59</v>
      </c>
      <c r="AY8" s="8" t="s">
        <v>60</v>
      </c>
      <c r="AZ8" s="8" t="s">
        <v>61</v>
      </c>
      <c r="BA8" s="8" t="s">
        <v>62</v>
      </c>
      <c r="BB8" s="8" t="s">
        <v>63</v>
      </c>
      <c r="BC8" s="8" t="s">
        <v>64</v>
      </c>
      <c r="BD8" s="8" t="s">
        <v>65</v>
      </c>
      <c r="BE8" s="8" t="s">
        <v>66</v>
      </c>
      <c r="BF8" s="8" t="s">
        <v>67</v>
      </c>
      <c r="BG8" s="8" t="s">
        <v>68</v>
      </c>
      <c r="BH8" s="8" t="s">
        <v>346</v>
      </c>
      <c r="BI8" s="8" t="s">
        <v>347</v>
      </c>
      <c r="BJ8" s="8" t="s">
        <v>348</v>
      </c>
      <c r="BK8" s="8" t="s">
        <v>349</v>
      </c>
      <c r="BL8" s="8" t="s">
        <v>350</v>
      </c>
      <c r="BM8" s="8" t="s">
        <v>351</v>
      </c>
    </row>
    <row r="9" spans="1:67" ht="15" customHeight="1">
      <c r="A9" s="9" t="s">
        <v>283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0">
        <f>IF($B$6=TRUE(),2800,"")</f>
        <v>2800</v>
      </c>
      <c r="AT9" s="10">
        <f>IF($B$6=TRUE(),3052,"")</f>
        <v>3052</v>
      </c>
      <c r="AU9" s="10">
        <f>IF($B$6=TRUE(),3780,"")</f>
        <v>3780</v>
      </c>
      <c r="AV9" s="10">
        <f>IF($B$6=TRUE(),3777.8,"")</f>
        <v>3777.8</v>
      </c>
      <c r="AW9" s="10">
        <f>IF($B$6=TRUE(),3781.4,"")</f>
        <v>3781.4</v>
      </c>
      <c r="AX9" s="10">
        <f>IF($B$6=TRUE(),4344.3,"")</f>
        <v>4344.3</v>
      </c>
      <c r="AY9" s="10">
        <f>IF($B$6=TRUE(),4528.9,"")</f>
        <v>4528.8999999999996</v>
      </c>
      <c r="AZ9" s="10">
        <f>IF($B$6=TRUE(),4656.6,"")</f>
        <v>4656.6000000000004</v>
      </c>
      <c r="BA9" s="10">
        <f>IF($B$6=TRUE(),4953.6,"")</f>
        <v>4953.6000000000004</v>
      </c>
      <c r="BB9" s="10">
        <f>IF($B$6=TRUE(),5180.5,"")</f>
        <v>5180.5</v>
      </c>
      <c r="BC9" s="10">
        <f>IF($B$6=TRUE(),5933.3,"")</f>
        <v>5933.3</v>
      </c>
      <c r="BD9" s="10">
        <f>IF($B$6=TRUE(),6478.9,"")</f>
        <v>6478.9</v>
      </c>
      <c r="BE9" s="10">
        <f>IF($B$6=TRUE(),6574.9,"")</f>
        <v>6574.9</v>
      </c>
      <c r="BF9" s="10">
        <f>IF($B$6=TRUE(),6759.8,"")</f>
        <v>6759.8</v>
      </c>
      <c r="BG9" s="10">
        <f>IF($B$6=TRUE(),6901.7,"")</f>
        <v>6901.7</v>
      </c>
      <c r="BH9" s="10">
        <f>IF($B$6=TRUE(),7369,"")</f>
        <v>7369</v>
      </c>
      <c r="BI9" s="10">
        <f>IF($B$6=TRUE(),7770.5,"")</f>
        <v>7770.5</v>
      </c>
      <c r="BJ9" s="10">
        <f>IF($B$6=TRUE(),8337.3,"")</f>
        <v>8337.2999999999993</v>
      </c>
      <c r="BK9" s="10">
        <f>IF($B$6=TRUE(),8861.8,"")</f>
        <v>8861.7999999999993</v>
      </c>
      <c r="BL9" s="10">
        <f>IF($B$6=TRUE(),9096.4,"")</f>
        <v>9096.4</v>
      </c>
      <c r="BM9" s="10">
        <f>IF($B$6=TRUE(),9552,"")</f>
        <v>9552</v>
      </c>
      <c r="BN9" s="11"/>
      <c r="BO9" s="11"/>
    </row>
    <row r="10" spans="1:67" ht="15" customHeight="1">
      <c r="A10" s="12" t="s">
        <v>284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3">
        <f>IF($C$6=TRUE(),2397.1,"")</f>
        <v>2397.1</v>
      </c>
      <c r="AT10" s="13">
        <f>IF($C$6=TRUE(),2540.9,"")</f>
        <v>2540.9</v>
      </c>
      <c r="AU10" s="13">
        <f>IF($C$6=TRUE(),2660.8,"")</f>
        <v>2660.8</v>
      </c>
      <c r="AV10" s="13">
        <f>IF($C$6=TRUE(),2812.5,"")</f>
        <v>2812.5</v>
      </c>
      <c r="AW10" s="13">
        <f>IF($C$6=TRUE(),2812.5,"")</f>
        <v>2812.5</v>
      </c>
      <c r="AX10" s="13">
        <f>IF($C$6=TRUE(),3121.9,"")</f>
        <v>3121.9</v>
      </c>
      <c r="AY10" s="13">
        <f>IF($C$6=TRUE(),3121.9,"")</f>
        <v>3121.9</v>
      </c>
      <c r="AZ10" s="13">
        <f>IF($C$6=TRUE(),3564.3,"")</f>
        <v>3564.3</v>
      </c>
      <c r="BA10" s="13">
        <f>IF($C$6=TRUE(),3564.3,"")</f>
        <v>3564.3</v>
      </c>
      <c r="BB10" s="13">
        <f>IF($C$6=TRUE(),3564.3,"")</f>
        <v>3564.3</v>
      </c>
      <c r="BC10" s="13">
        <f>IF($C$6=TRUE(),3564.3,"")</f>
        <v>3564.3</v>
      </c>
      <c r="BD10" s="13">
        <f>IF($C$6=TRUE(),3599.9,"")</f>
        <v>3599.9</v>
      </c>
      <c r="BE10" s="13">
        <f>IF($C$6=TRUE(),3564.3,"")</f>
        <v>3564.3</v>
      </c>
      <c r="BF10" s="13">
        <f>IF($C$6=TRUE(),4039,"")</f>
        <v>4039</v>
      </c>
      <c r="BG10" s="13">
        <f>IF($C$6=TRUE(),4039,"")</f>
        <v>4039</v>
      </c>
      <c r="BH10" s="13">
        <f>IF($C$6=TRUE(),4442.9,"")</f>
        <v>4442.8999999999996</v>
      </c>
      <c r="BI10" s="13">
        <f>IF($C$6=TRUE(),4584.3,"")</f>
        <v>4584.3</v>
      </c>
      <c r="BJ10" s="13">
        <f>IF($C$6=TRUE(),4564.1,"")</f>
        <v>4564.1000000000004</v>
      </c>
      <c r="BK10" s="13">
        <f>IF($C$6=TRUE(),4725.6,"")</f>
        <v>4725.6000000000004</v>
      </c>
      <c r="BL10" s="13">
        <f>IF($C$6=TRUE(),4846.8,"")</f>
        <v>4846.8</v>
      </c>
      <c r="BM10" s="13">
        <f>IF($C$6=TRUE(),4887.2,"")</f>
        <v>4887.2</v>
      </c>
      <c r="BN10" s="14"/>
      <c r="BO10" s="14"/>
    </row>
    <row r="11" spans="1:67" ht="15" customHeight="1">
      <c r="A11" s="9" t="s">
        <v>285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0">
        <f>IF($D$6=TRUE(),2272.7,"")</f>
        <v>2272.6999999999998</v>
      </c>
      <c r="AT11" s="10">
        <f>IF($D$6=TRUE(),2477.2,"")</f>
        <v>2477.1999999999998</v>
      </c>
      <c r="AU11" s="10">
        <f>IF($D$6=TRUE(),2613.6,"")</f>
        <v>2613.6</v>
      </c>
      <c r="AV11" s="10">
        <f>IF($D$6=TRUE(),3074.9,"")</f>
        <v>3074.9</v>
      </c>
      <c r="AW11" s="10">
        <f>IF($D$6=TRUE(),3079.4,"")</f>
        <v>3079.4</v>
      </c>
      <c r="AX11" s="10">
        <f>IF($D$6=TRUE(),3418.2,"")</f>
        <v>3418.2</v>
      </c>
      <c r="AY11" s="10">
        <f>IF($D$6=TRUE(),3454.2,"")</f>
        <v>3454.2</v>
      </c>
      <c r="AZ11" s="10">
        <f>IF($D$6=TRUE(),3845.6,"")</f>
        <v>3845.6</v>
      </c>
      <c r="BA11" s="10">
        <f>IF($D$6=TRUE(),4506.8,"")</f>
        <v>4506.8</v>
      </c>
      <c r="BB11" s="10">
        <f>IF($D$6=TRUE(),4663.7,"")</f>
        <v>4663.7</v>
      </c>
      <c r="BC11" s="10">
        <f>IF($D$6=TRUE(),5005.6,"")</f>
        <v>5005.6000000000004</v>
      </c>
      <c r="BD11" s="10">
        <f>IF($D$6=TRUE(),5652.5,"")</f>
        <v>5652.5</v>
      </c>
      <c r="BE11" s="10">
        <f>IF($D$6=TRUE(),5579.6,"")</f>
        <v>5579.6</v>
      </c>
      <c r="BF11" s="10">
        <f>IF($D$6=TRUE(),5684.3,"")</f>
        <v>5684.3</v>
      </c>
      <c r="BG11" s="10">
        <f>IF($D$6=TRUE(),6089.8,"")</f>
        <v>6089.8</v>
      </c>
      <c r="BH11" s="10">
        <f>IF($D$6=TRUE(),7349,"")</f>
        <v>7349</v>
      </c>
      <c r="BI11" s="10">
        <f>IF($D$6=TRUE(),7349,"")</f>
        <v>7349</v>
      </c>
      <c r="BJ11" s="10">
        <f>IF($D$6=TRUE(),7508.7,"")</f>
        <v>7508.7</v>
      </c>
      <c r="BK11" s="10">
        <f>IF($D$6=TRUE(),8050.7,"")</f>
        <v>8050.7</v>
      </c>
      <c r="BL11" s="10">
        <f>IF($D$6=TRUE(),8495.3,"")</f>
        <v>8495.2999999999993</v>
      </c>
      <c r="BM11" s="10">
        <f>IF($D$6=TRUE(),8647.5,"")</f>
        <v>8647.5</v>
      </c>
      <c r="BN11" s="11"/>
      <c r="BO11" s="11"/>
    </row>
    <row r="12" spans="1:67" ht="15" customHeight="1">
      <c r="A12" s="12" t="s">
        <v>286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3">
        <f>IF($E$6=TRUE(),3210.2,"")</f>
        <v>3210.2</v>
      </c>
      <c r="AT12" s="13">
        <f>IF($E$6=TRUE(),3467,"")</f>
        <v>3467</v>
      </c>
      <c r="AU12" s="13">
        <f>IF($E$6=TRUE(),3434.9,"")</f>
        <v>3434.9</v>
      </c>
      <c r="AV12" s="13">
        <f>IF($E$6=TRUE(),4046,"")</f>
        <v>4046</v>
      </c>
      <c r="AW12" s="13">
        <f>IF($E$6=TRUE(),4112.9,"")</f>
        <v>4112.8999999999996</v>
      </c>
      <c r="AX12" s="13">
        <f>IF($E$6=TRUE(),4158,"")</f>
        <v>4158</v>
      </c>
      <c r="AY12" s="13">
        <f>IF($E$6=TRUE(),4069.1,"")</f>
        <v>4069.1</v>
      </c>
      <c r="AZ12" s="13">
        <f>IF($E$6=TRUE(),4528.3,"")</f>
        <v>4528.3</v>
      </c>
      <c r="BA12" s="13">
        <f>IF($E$6=TRUE(),5159.6,"")</f>
        <v>5159.6000000000004</v>
      </c>
      <c r="BB12" s="13">
        <f>IF($E$6=TRUE(),6288.6,"")</f>
        <v>6288.6</v>
      </c>
      <c r="BC12" s="13">
        <f>IF($E$6=TRUE(),6798.2,"")</f>
        <v>6798.2</v>
      </c>
      <c r="BD12" s="13">
        <f>IF($E$6=TRUE(),6659.4,"")</f>
        <v>6659.4</v>
      </c>
      <c r="BE12" s="13">
        <f>IF($E$6=TRUE(),6569,"")</f>
        <v>6569</v>
      </c>
      <c r="BF12" s="13">
        <f>IF($E$6=TRUE(),7478,"")</f>
        <v>7478</v>
      </c>
      <c r="BG12" s="13">
        <f>IF($E$6=TRUE(),8129,"")</f>
        <v>8129</v>
      </c>
      <c r="BH12" s="13">
        <f>IF($E$6=TRUE(),9352.8,"")</f>
        <v>9352.7999999999993</v>
      </c>
      <c r="BI12" s="13">
        <f>IF($E$6=TRUE(),9245.8,"")</f>
        <v>9245.7999999999993</v>
      </c>
      <c r="BJ12" s="13">
        <f>IF($E$6=TRUE(),10080,"")</f>
        <v>10080</v>
      </c>
      <c r="BK12" s="13">
        <f>IF($E$6=TRUE(),11600.1,"")</f>
        <v>11600.1</v>
      </c>
      <c r="BL12" s="13">
        <f>IF($E$6=TRUE(),12681.2,"")</f>
        <v>12681.2</v>
      </c>
      <c r="BM12" s="13">
        <f>IF($E$6=TRUE(),13673,"")</f>
        <v>13673</v>
      </c>
      <c r="BN12" s="14"/>
      <c r="BO12" s="14"/>
    </row>
    <row r="13" spans="1:67" ht="15" customHeight="1">
      <c r="A13" s="9" t="s">
        <v>287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0">
        <f>IF($F$6=TRUE(),2814.5,"")</f>
        <v>2814.5</v>
      </c>
      <c r="AT13" s="10">
        <f>IF($F$6=TRUE(),2927.1,"")</f>
        <v>2927.1</v>
      </c>
      <c r="AU13" s="10">
        <f>IF($F$6=TRUE(),3236.7,"")</f>
        <v>3236.7</v>
      </c>
      <c r="AV13" s="10">
        <f>IF($F$6=TRUE(),3456.8,"")</f>
        <v>3456.8</v>
      </c>
      <c r="AW13" s="10">
        <f>IF($F$6=TRUE(),3626.4,"")</f>
        <v>3626.4</v>
      </c>
      <c r="AX13" s="10">
        <f>IF($F$6=TRUE(),3631.9,"")</f>
        <v>3631.9</v>
      </c>
      <c r="AY13" s="10">
        <f>IF($F$6=TRUE(),3622.9,"")</f>
        <v>3622.9</v>
      </c>
      <c r="AZ13" s="10">
        <f>IF($F$6=TRUE(),3964.1,"")</f>
        <v>3964.1</v>
      </c>
      <c r="BA13" s="10">
        <f>IF($F$6=TRUE(),4297.9,"")</f>
        <v>4297.8999999999996</v>
      </c>
      <c r="BB13" s="10">
        <f>IF($F$6=TRUE(),4875,"")</f>
        <v>4875</v>
      </c>
      <c r="BC13" s="10">
        <f>IF($F$6=TRUE(),5423.4,"")</f>
        <v>5423.4</v>
      </c>
      <c r="BD13" s="10">
        <f>IF($F$6=TRUE(),5499.9,"")</f>
        <v>5499.9</v>
      </c>
      <c r="BE13" s="10">
        <f>IF($F$6=TRUE(),5476.4,"")</f>
        <v>5476.4</v>
      </c>
      <c r="BF13" s="10">
        <f>IF($F$6=TRUE(),6137,"")</f>
        <v>6137</v>
      </c>
      <c r="BG13" s="10">
        <f>IF($F$6=TRUE(),6506.7,"")</f>
        <v>6506.7</v>
      </c>
      <c r="BH13" s="10">
        <f>IF($F$6=TRUE(),7647.5,"")</f>
        <v>7647.5</v>
      </c>
      <c r="BI13" s="10">
        <f>IF($F$6=TRUE(),7647.5,"")</f>
        <v>7647.5</v>
      </c>
      <c r="BJ13" s="10">
        <f>IF($F$6=TRUE(),8484.7,"")</f>
        <v>8484.7000000000007</v>
      </c>
      <c r="BK13" s="10">
        <f>IF($F$6=TRUE(),9597.4,"")</f>
        <v>9597.4</v>
      </c>
      <c r="BL13" s="10">
        <f>IF($F$6=TRUE(),10404.2,"")</f>
        <v>10404.200000000001</v>
      </c>
      <c r="BM13" s="10">
        <f>IF($F$6=TRUE(),10710,"")</f>
        <v>10710</v>
      </c>
      <c r="BN13" s="11"/>
      <c r="BO13" s="11"/>
    </row>
    <row r="14" spans="1:67" ht="15" customHeight="1">
      <c r="A14" s="12" t="s">
        <v>288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3" t="str">
        <f>IF($G$6=TRUE(),3254.8,"")</f>
        <v/>
      </c>
      <c r="AT14" s="13" t="str">
        <f>IF($G$6=TRUE(),3710.5,"")</f>
        <v/>
      </c>
      <c r="AU14" s="13" t="str">
        <f>IF($G$6=TRUE(),3808.1,"")</f>
        <v/>
      </c>
      <c r="AV14" s="13" t="str">
        <f>IF($G$6=TRUE(),3963.7,"")</f>
        <v/>
      </c>
      <c r="AW14" s="13" t="str">
        <f>IF($G$6=TRUE(),4020.2,"")</f>
        <v/>
      </c>
      <c r="AX14" s="13" t="str">
        <f>IF($G$6=TRUE(),4125.2,"")</f>
        <v/>
      </c>
      <c r="AY14" s="13" t="str">
        <f>IF($G$6=TRUE(),4097.1,"")</f>
        <v/>
      </c>
      <c r="AZ14" s="13" t="str">
        <f>IF($G$6=TRUE(),4266.5,"")</f>
        <v/>
      </c>
      <c r="BA14" s="13" t="str">
        <f>IF($G$6=TRUE(),4925.1,"")</f>
        <v/>
      </c>
      <c r="BB14" s="13" t="str">
        <f>IF($G$6=TRUE(),6164,"")</f>
        <v/>
      </c>
      <c r="BC14" s="13" t="str">
        <f>IF($G$6=TRUE(),6955.9,"")</f>
        <v/>
      </c>
      <c r="BD14" s="13" t="str">
        <f>IF($G$6=TRUE(),6933.4,"")</f>
        <v/>
      </c>
      <c r="BE14" s="13" t="str">
        <f>IF($G$6=TRUE(),6643.1,"")</f>
        <v/>
      </c>
      <c r="BF14" s="13" t="str">
        <f>IF($G$6=TRUE(),7532.1,"")</f>
        <v/>
      </c>
      <c r="BG14" s="13" t="str">
        <f>IF($G$6=TRUE(),8158.6,"")</f>
        <v/>
      </c>
      <c r="BH14" s="13" t="str">
        <f>IF($G$6=TRUE(),10499.4,"")</f>
        <v/>
      </c>
      <c r="BI14" s="13" t="str">
        <f>IF($G$6=TRUE(),10499.4,"")</f>
        <v/>
      </c>
      <c r="BJ14" s="13" t="str">
        <f>IF($G$6=TRUE(),10549.1,"")</f>
        <v/>
      </c>
      <c r="BK14" s="13" t="str">
        <f>IF($G$6=TRUE(),11748.4,"")</f>
        <v/>
      </c>
      <c r="BL14" s="13" t="str">
        <f>IF($G$6=TRUE(),12409.2,"")</f>
        <v/>
      </c>
      <c r="BM14" s="13" t="str">
        <f>IF($G$6=TRUE(),13820.7,"")</f>
        <v/>
      </c>
      <c r="BN14" s="14"/>
      <c r="BO14" s="14"/>
    </row>
    <row r="15" spans="1:67" ht="15" customHeight="1">
      <c r="A15" s="9" t="s">
        <v>289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0" t="str">
        <f>IF($H$6=TRUE(),2657.1,"")</f>
        <v/>
      </c>
      <c r="AT15" s="10" t="str">
        <f>IF($H$6=TRUE(),2869.7,"")</f>
        <v/>
      </c>
      <c r="AU15" s="10" t="str">
        <f>IF($H$6=TRUE(),3427.7,"")</f>
        <v/>
      </c>
      <c r="AV15" s="10" t="str">
        <f>IF($H$6=TRUE(),3543.9,"")</f>
        <v/>
      </c>
      <c r="AW15" s="10" t="str">
        <f>IF($H$6=TRUE(),3881.1,"")</f>
        <v/>
      </c>
      <c r="AX15" s="10" t="str">
        <f>IF($H$6=TRUE(),4021.8,"")</f>
        <v/>
      </c>
      <c r="AY15" s="10" t="str">
        <f>IF($H$6=TRUE(),4014.4,"")</f>
        <v/>
      </c>
      <c r="AZ15" s="10" t="str">
        <f>IF($H$6=TRUE(),4075.2,"")</f>
        <v/>
      </c>
      <c r="BA15" s="10" t="str">
        <f>IF($H$6=TRUE(),4670.5,"")</f>
        <v/>
      </c>
      <c r="BB15" s="10" t="str">
        <f>IF($H$6=TRUE(),5014.1,"")</f>
        <v/>
      </c>
      <c r="BC15" s="10" t="str">
        <f>IF($H$6=TRUE(),5657.7,"")</f>
        <v/>
      </c>
      <c r="BD15" s="10" t="str">
        <f>IF($H$6=TRUE(),5545.5,"")</f>
        <v/>
      </c>
      <c r="BE15" s="10" t="str">
        <f>IF($H$6=TRUE(),5377.9,"")</f>
        <v/>
      </c>
      <c r="BF15" s="10" t="str">
        <f>IF($H$6=TRUE(),6192.9,"")</f>
        <v/>
      </c>
      <c r="BG15" s="10" t="str">
        <f>IF($H$6=TRUE(),6824.3,"")</f>
        <v/>
      </c>
      <c r="BH15" s="10" t="str">
        <f>IF($H$6=TRUE(),8093.4,"")</f>
        <v/>
      </c>
      <c r="BI15" s="10" t="str">
        <f>IF($H$6=TRUE(),8369.2,"")</f>
        <v/>
      </c>
      <c r="BJ15" s="10" t="str">
        <f>IF($H$6=TRUE(),9247.3,"")</f>
        <v/>
      </c>
      <c r="BK15" s="10" t="str">
        <f>IF($H$6=TRUE(),10195.5,"")</f>
        <v/>
      </c>
      <c r="BL15" s="10" t="str">
        <f>IF($H$6=TRUE(),11178.2,"")</f>
        <v/>
      </c>
      <c r="BM15" s="10" t="str">
        <f>IF($H$6=TRUE(),11969.8,"")</f>
        <v/>
      </c>
      <c r="BN15" s="11"/>
      <c r="BO15" s="11"/>
    </row>
    <row r="16" spans="1:67" ht="15" customHeight="1">
      <c r="A16" s="12" t="s">
        <v>290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3" t="str">
        <f>IF($I$6=TRUE(),2487.5,"")</f>
        <v/>
      </c>
      <c r="AT16" s="13" t="str">
        <f>IF($I$6=TRUE(),2711.4,"")</f>
        <v/>
      </c>
      <c r="AU16" s="13" t="str">
        <f>IF($I$6=TRUE(),2835.8,"")</f>
        <v/>
      </c>
      <c r="AV16" s="13" t="str">
        <f>IF($I$6=TRUE(),2906.8,"")</f>
        <v/>
      </c>
      <c r="AW16" s="13" t="str">
        <f>IF($I$6=TRUE(),3110.7,"")</f>
        <v/>
      </c>
      <c r="AX16" s="13" t="str">
        <f>IF($I$6=TRUE(),3484,"")</f>
        <v/>
      </c>
      <c r="AY16" s="13" t="str">
        <f>IF($I$6=TRUE(),3619.1,"")</f>
        <v/>
      </c>
      <c r="AZ16" s="13" t="str">
        <f>IF($I$6=TRUE(),3877.6,"")</f>
        <v/>
      </c>
      <c r="BA16" s="13" t="str">
        <f>IF($I$6=TRUE(),4378.3,"")</f>
        <v/>
      </c>
      <c r="BB16" s="13" t="str">
        <f>IF($I$6=TRUE(),4723,"")</f>
        <v/>
      </c>
      <c r="BC16" s="13" t="str">
        <f>IF($I$6=TRUE(),4792.7,"")</f>
        <v/>
      </c>
      <c r="BD16" s="13" t="str">
        <f>IF($I$6=TRUE(),5289.1,"")</f>
        <v/>
      </c>
      <c r="BE16" s="13" t="str">
        <f>IF($I$6=TRUE(),5289.1,"")</f>
        <v/>
      </c>
      <c r="BF16" s="13" t="str">
        <f>IF($I$6=TRUE(),6009.2,"")</f>
        <v/>
      </c>
      <c r="BG16" s="13" t="str">
        <f>IF($I$6=TRUE(),6053,"")</f>
        <v/>
      </c>
      <c r="BH16" s="13" t="str">
        <f>IF($I$6=TRUE(),6843.5,"")</f>
        <v/>
      </c>
      <c r="BI16" s="13" t="str">
        <f>IF($I$6=TRUE(),7238,"")</f>
        <v/>
      </c>
      <c r="BJ16" s="13" t="str">
        <f>IF($I$6=TRUE(),7505.7,"")</f>
        <v/>
      </c>
      <c r="BK16" s="13" t="str">
        <f>IF($I$6=TRUE(),8831.3,"")</f>
        <v/>
      </c>
      <c r="BL16" s="13" t="str">
        <f>IF($I$6=TRUE(),9055.3,"")</f>
        <v/>
      </c>
      <c r="BM16" s="13" t="str">
        <f>IF($I$6=TRUE(),9551.6,"")</f>
        <v/>
      </c>
      <c r="BN16" s="14"/>
      <c r="BO16" s="14"/>
    </row>
    <row r="17" spans="1:67" ht="15" customHeight="1">
      <c r="A17" s="9" t="s">
        <v>291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0" t="str">
        <f>IF($J$6=TRUE(),2597.7,"")</f>
        <v/>
      </c>
      <c r="AT17" s="10" t="str">
        <f>IF($J$6=TRUE(),2753.6,"")</f>
        <v/>
      </c>
      <c r="AU17" s="10" t="str">
        <f>IF($J$6=TRUE(),2857.5,"")</f>
        <v/>
      </c>
      <c r="AV17" s="10" t="str">
        <f>IF($J$6=TRUE(),2989.2,"")</f>
        <v/>
      </c>
      <c r="AW17" s="10" t="str">
        <f>IF($J$6=TRUE(),3020.7,"")</f>
        <v/>
      </c>
      <c r="AX17" s="10" t="str">
        <f>IF($J$6=TRUE(),3236.5,"")</f>
        <v/>
      </c>
      <c r="AY17" s="10" t="str">
        <f>IF($J$6=TRUE(),3361.9,"")</f>
        <v/>
      </c>
      <c r="AZ17" s="10" t="str">
        <f>IF($J$6=TRUE(),3721.3,"")</f>
        <v/>
      </c>
      <c r="BA17" s="10" t="str">
        <f>IF($J$6=TRUE(),4213.6,"")</f>
        <v/>
      </c>
      <c r="BB17" s="10" t="str">
        <f>IF($J$6=TRUE(),4261.4,"")</f>
        <v/>
      </c>
      <c r="BC17" s="10" t="str">
        <f>IF($J$6=TRUE(),4443.3,"")</f>
        <v/>
      </c>
      <c r="BD17" s="10" t="str">
        <f>IF($J$6=TRUE(),4906.8,"")</f>
        <v/>
      </c>
      <c r="BE17" s="10" t="str">
        <f>IF($J$6=TRUE(),4861.7,"")</f>
        <v/>
      </c>
      <c r="BF17" s="10" t="str">
        <f>IF($J$6=TRUE(),5373.5,"")</f>
        <v/>
      </c>
      <c r="BG17" s="10" t="str">
        <f>IF($J$6=TRUE(),5396,"")</f>
        <v/>
      </c>
      <c r="BH17" s="10" t="str">
        <f>IF($J$6=TRUE(),5992,"")</f>
        <v/>
      </c>
      <c r="BI17" s="10" t="str">
        <f>IF($J$6=TRUE(),6371.3,"")</f>
        <v/>
      </c>
      <c r="BJ17" s="10" t="str">
        <f>IF($J$6=TRUE(),6761.2,"")</f>
        <v/>
      </c>
      <c r="BK17" s="10" t="str">
        <f>IF($J$6=TRUE(),7948.3,"")</f>
        <v/>
      </c>
      <c r="BL17" s="10" t="str">
        <f>IF($J$6=TRUE(),8142.6,"")</f>
        <v/>
      </c>
      <c r="BM17" s="10" t="str">
        <f>IF($J$6=TRUE(),8423.2,"")</f>
        <v/>
      </c>
      <c r="BN17" s="11"/>
      <c r="BO17" s="11"/>
    </row>
    <row r="18" spans="1:67" ht="15" customHeight="1">
      <c r="A18" s="12" t="s">
        <v>292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3" t="str">
        <f>IF($K$6=TRUE(),2511.5,"")</f>
        <v/>
      </c>
      <c r="AT18" s="13" t="str">
        <f>IF($K$6=TRUE(),2888.2,"")</f>
        <v/>
      </c>
      <c r="AU18" s="13" t="str">
        <f>IF($K$6=TRUE(),3139.4,"")</f>
        <v/>
      </c>
      <c r="AV18" s="13" t="str">
        <f>IF($K$6=TRUE(),3139.4,"")</f>
        <v/>
      </c>
      <c r="AW18" s="13" t="str">
        <f>IF($K$6=TRUE(),3139.4,"")</f>
        <v/>
      </c>
      <c r="AX18" s="13" t="str">
        <f>IF($K$6=TRUE(),3293.8,"")</f>
        <v/>
      </c>
      <c r="AY18" s="13" t="str">
        <f>IF($K$6=TRUE(),3231.4,"")</f>
        <v/>
      </c>
      <c r="AZ18" s="13" t="str">
        <f>IF($K$6=TRUE(),3410.2,"")</f>
        <v/>
      </c>
      <c r="BA18" s="13" t="str">
        <f>IF($K$6=TRUE(),4251.9,"")</f>
        <v/>
      </c>
      <c r="BB18" s="13" t="str">
        <f>IF($K$6=TRUE(),4388.9,"")</f>
        <v/>
      </c>
      <c r="BC18" s="13" t="str">
        <f>IF($K$6=TRUE(),5085,"")</f>
        <v/>
      </c>
      <c r="BD18" s="13" t="str">
        <f>IF($K$6=TRUE(),5253.3,"")</f>
        <v/>
      </c>
      <c r="BE18" s="13" t="str">
        <f>IF($K$6=TRUE(),4927.9,"")</f>
        <v/>
      </c>
      <c r="BF18" s="13" t="str">
        <f>IF($K$6=TRUE(),5416,"")</f>
        <v/>
      </c>
      <c r="BG18" s="13" t="str">
        <f>IF($K$6=TRUE(),5859.5,"")</f>
        <v/>
      </c>
      <c r="BH18" s="13" t="str">
        <f>IF($K$6=TRUE(),6733.2,"")</f>
        <v/>
      </c>
      <c r="BI18" s="13" t="str">
        <f>IF($K$6=TRUE(),6679.8,"")</f>
        <v/>
      </c>
      <c r="BJ18" s="13" t="str">
        <f>IF($K$6=TRUE(),6679.8,"")</f>
        <v/>
      </c>
      <c r="BK18" s="13" t="str">
        <f>IF($K$6=TRUE(),7043.1,"")</f>
        <v/>
      </c>
      <c r="BL18" s="13" t="str">
        <f>IF($K$6=TRUE(),7172,"")</f>
        <v/>
      </c>
      <c r="BM18" s="13" t="str">
        <f>IF($K$6=TRUE(),7207.2,"")</f>
        <v/>
      </c>
      <c r="BN18" s="14"/>
      <c r="BO18" s="14"/>
    </row>
    <row r="19" spans="1:67" ht="15" customHeight="1">
      <c r="A19" s="9" t="s">
        <v>293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0" t="str">
        <f>IF($L$6=TRUE(),2470,"")</f>
        <v/>
      </c>
      <c r="AT19" s="10" t="str">
        <f>IF($L$6=TRUE(),2667.6,"")</f>
        <v/>
      </c>
      <c r="AU19" s="10" t="str">
        <f>IF($L$6=TRUE(),2840.5,"")</f>
        <v/>
      </c>
      <c r="AV19" s="10" t="str">
        <f>IF($L$6=TRUE(),2920,"")</f>
        <v/>
      </c>
      <c r="AW19" s="10" t="str">
        <f>IF($L$6=TRUE(),2922.6,"")</f>
        <v/>
      </c>
      <c r="AX19" s="10" t="str">
        <f>IF($L$6=TRUE(),3084.4,"")</f>
        <v/>
      </c>
      <c r="AY19" s="10" t="str">
        <f>IF($L$6=TRUE(),3129.6,"")</f>
        <v/>
      </c>
      <c r="AZ19" s="10" t="str">
        <f>IF($L$6=TRUE(),3371,"")</f>
        <v/>
      </c>
      <c r="BA19" s="10" t="str">
        <f>IF($L$6=TRUE(),3582.4,"")</f>
        <v/>
      </c>
      <c r="BB19" s="10" t="str">
        <f>IF($L$6=TRUE(),3851.6,"")</f>
        <v/>
      </c>
      <c r="BC19" s="10" t="str">
        <f>IF($L$6=TRUE(),4057.7,"")</f>
        <v/>
      </c>
      <c r="BD19" s="10" t="str">
        <f>IF($L$6=TRUE(),4553.3,"")</f>
        <v/>
      </c>
      <c r="BE19" s="10" t="str">
        <f>IF($L$6=TRUE(),4484.1,"")</f>
        <v/>
      </c>
      <c r="BF19" s="10" t="str">
        <f>IF($L$6=TRUE(),4647.6,"")</f>
        <v/>
      </c>
      <c r="BG19" s="10" t="str">
        <f>IF($L$6=TRUE(),5074.5,"")</f>
        <v/>
      </c>
      <c r="BH19" s="10" t="str">
        <f>IF($L$6=TRUE(),5611.8,"")</f>
        <v/>
      </c>
      <c r="BI19" s="10" t="str">
        <f>IF($L$6=TRUE(),6021.1,"")</f>
        <v/>
      </c>
      <c r="BJ19" s="10" t="str">
        <f>IF($L$6=TRUE(),6551.2,"")</f>
        <v/>
      </c>
      <c r="BK19" s="10" t="str">
        <f>IF($L$6=TRUE(),7576.2,"")</f>
        <v/>
      </c>
      <c r="BL19" s="10" t="str">
        <f>IF($L$6=TRUE(),7789.4,"")</f>
        <v/>
      </c>
      <c r="BM19" s="10" t="str">
        <f>IF($L$6=TRUE(),8038,"")</f>
        <v/>
      </c>
      <c r="BN19" s="11"/>
      <c r="BO19" s="11"/>
    </row>
    <row r="20" spans="1:67" ht="15" customHeight="1">
      <c r="A20" s="12" t="s">
        <v>294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3" t="str">
        <f>IF($M$6=TRUE(),2074,"")</f>
        <v/>
      </c>
      <c r="AT20" s="13" t="str">
        <f>IF($M$6=TRUE(),2281.4,"")</f>
        <v/>
      </c>
      <c r="AU20" s="13" t="str">
        <f>IF($M$6=TRUE(),2281.4,"")</f>
        <v/>
      </c>
      <c r="AV20" s="13" t="str">
        <f>IF($M$6=TRUE(),2281.5,"")</f>
        <v/>
      </c>
      <c r="AW20" s="13" t="str">
        <f>IF($M$6=TRUE(),2281.5,"")</f>
        <v/>
      </c>
      <c r="AX20" s="13" t="str">
        <f>IF($M$6=TRUE(),2505,"")</f>
        <v/>
      </c>
      <c r="AY20" s="13" t="str">
        <f>IF($M$6=TRUE(),2701,"")</f>
        <v/>
      </c>
      <c r="AZ20" s="13" t="str">
        <f>IF($M$6=TRUE(),2814.5,"")</f>
        <v/>
      </c>
      <c r="BA20" s="13" t="str">
        <f>IF($M$6=TRUE(),3375.5,"")</f>
        <v/>
      </c>
      <c r="BB20" s="13" t="str">
        <f>IF($M$6=TRUE(),3375.5,"")</f>
        <v/>
      </c>
      <c r="BC20" s="13" t="str">
        <f>IF($M$6=TRUE(),3749.9,"")</f>
        <v/>
      </c>
      <c r="BD20" s="13" t="str">
        <f>IF($M$6=TRUE(),4349.6,"")</f>
        <v/>
      </c>
      <c r="BE20" s="13" t="str">
        <f>IF($M$6=TRUE(),4349.6,"")</f>
        <v/>
      </c>
      <c r="BF20" s="13" t="str">
        <f>IF($M$6=TRUE(),4803,"")</f>
        <v/>
      </c>
      <c r="BG20" s="13" t="str">
        <f>IF($M$6=TRUE(),4888.4,"")</f>
        <v/>
      </c>
      <c r="BH20" s="13" t="str">
        <f>IF($M$6=TRUE(),5621.8,"")</f>
        <v/>
      </c>
      <c r="BI20" s="13" t="str">
        <f>IF($M$6=TRUE(),6015.3,"")</f>
        <v/>
      </c>
      <c r="BJ20" s="13" t="str">
        <f>IF($M$6=TRUE(),6286.5,"")</f>
        <v/>
      </c>
      <c r="BK20" s="13" t="str">
        <f>IF($M$6=TRUE(),7151.7,"")</f>
        <v/>
      </c>
      <c r="BL20" s="13" t="str">
        <f>IF($M$6=TRUE(),7313,"")</f>
        <v/>
      </c>
      <c r="BM20" s="13" t="str">
        <f>IF($M$6=TRUE(),4562.3,"")</f>
        <v/>
      </c>
      <c r="BN20" s="14"/>
      <c r="BO20" s="14"/>
    </row>
    <row r="21" spans="1:67" ht="15" customHeight="1">
      <c r="A21" s="9" t="s">
        <v>295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0" t="str">
        <f>IF($N$6=TRUE(),2251.5,"")</f>
        <v/>
      </c>
      <c r="AT21" s="10" t="str">
        <f>IF($N$6=TRUE(),2521.7,"")</f>
        <v/>
      </c>
      <c r="AU21" s="10" t="str">
        <f>IF($N$6=TRUE(),2589.2,"")</f>
        <v/>
      </c>
      <c r="AV21" s="10" t="str">
        <f>IF($N$6=TRUE(),2575.6,"")</f>
        <v/>
      </c>
      <c r="AW21" s="10" t="str">
        <f>IF($N$6=TRUE(),2601.9,"")</f>
        <v/>
      </c>
      <c r="AX21" s="10" t="str">
        <f>IF($N$6=TRUE(),2862.3,"")</f>
        <v/>
      </c>
      <c r="AY21" s="10" t="str">
        <f>IF($N$6=TRUE(),2913.7,"")</f>
        <v/>
      </c>
      <c r="AZ21" s="10" t="str">
        <f>IF($N$6=TRUE(),3164.6,"")</f>
        <v/>
      </c>
      <c r="BA21" s="10" t="str">
        <f>IF($N$6=TRUE(),3321.8,"")</f>
        <v/>
      </c>
      <c r="BB21" s="10" t="str">
        <f>IF($N$6=TRUE(),3574,"")</f>
        <v/>
      </c>
      <c r="BC21" s="10" t="str">
        <f>IF($N$6=TRUE(),4127.8,"")</f>
        <v/>
      </c>
      <c r="BD21" s="10" t="str">
        <f>IF($N$6=TRUE(),4545.6,"")</f>
        <v/>
      </c>
      <c r="BE21" s="10" t="str">
        <f>IF($N$6=TRUE(),4545.6,"")</f>
        <v/>
      </c>
      <c r="BF21" s="10" t="str">
        <f>IF($N$6=TRUE(),4639.2,"")</f>
        <v/>
      </c>
      <c r="BG21" s="10" t="str">
        <f>IF($N$6=TRUE(),4985.1,"")</f>
        <v/>
      </c>
      <c r="BH21" s="10" t="str">
        <f>IF($N$6=TRUE(),6170.2,"")</f>
        <v/>
      </c>
      <c r="BI21" s="10" t="str">
        <f>IF($N$6=TRUE(),6146.8,"")</f>
        <v/>
      </c>
      <c r="BJ21" s="10" t="str">
        <f>IF($N$6=TRUE(),6505.6,"")</f>
        <v/>
      </c>
      <c r="BK21" s="10" t="str">
        <f>IF($N$6=TRUE(),7039,"")</f>
        <v/>
      </c>
      <c r="BL21" s="10" t="str">
        <f>IF($N$6=TRUE(),7647.1,"")</f>
        <v/>
      </c>
      <c r="BM21" s="10" t="str">
        <f>IF($N$6=TRUE(),7702,"")</f>
        <v/>
      </c>
      <c r="BN21" s="11"/>
      <c r="BO21" s="11"/>
    </row>
    <row r="22" spans="1:67" ht="15" customHeight="1">
      <c r="A22" s="12" t="s">
        <v>296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3" t="str">
        <f>IF($O$6=TRUE(),2401.6,"")</f>
        <v/>
      </c>
      <c r="AT22" s="13" t="str">
        <f>IF($O$6=TRUE(),2833.9,"")</f>
        <v/>
      </c>
      <c r="AU22" s="13" t="str">
        <f>IF($O$6=TRUE(),2954,"")</f>
        <v/>
      </c>
      <c r="AV22" s="13" t="str">
        <f>IF($O$6=TRUE(),3094.7,"")</f>
        <v/>
      </c>
      <c r="AW22" s="13" t="str">
        <f>IF($O$6=TRUE(),3097.6,"")</f>
        <v/>
      </c>
      <c r="AX22" s="13" t="str">
        <f>IF($O$6=TRUE(),3359.3,"")</f>
        <v/>
      </c>
      <c r="AY22" s="13" t="str">
        <f>IF($O$6=TRUE(),3345.8,"")</f>
        <v/>
      </c>
      <c r="AZ22" s="13" t="str">
        <f>IF($O$6=TRUE(),3723.1,"")</f>
        <v/>
      </c>
      <c r="BA22" s="13" t="str">
        <f>IF($O$6=TRUE(),4165.9,"")</f>
        <v/>
      </c>
      <c r="BB22" s="13" t="str">
        <f>IF($O$6=TRUE(),4519.1,"")</f>
        <v/>
      </c>
      <c r="BC22" s="13" t="str">
        <f>IF($O$6=TRUE(),4793.8,"")</f>
        <v/>
      </c>
      <c r="BD22" s="13" t="str">
        <f>IF($O$6=TRUE(),4943,"")</f>
        <v/>
      </c>
      <c r="BE22" s="13" t="str">
        <f>IF($O$6=TRUE(),4758.2,"")</f>
        <v/>
      </c>
      <c r="BF22" s="13" t="str">
        <f>IF($O$6=TRUE(),5191.4,"")</f>
        <v/>
      </c>
      <c r="BG22" s="13" t="str">
        <f>IF($O$6=TRUE(),5528.3,"")</f>
        <v/>
      </c>
      <c r="BH22" s="13" t="str">
        <f>IF($O$6=TRUE(),6472.6,"")</f>
        <v/>
      </c>
      <c r="BI22" s="13" t="str">
        <f>IF($O$6=TRUE(),6472.6,"")</f>
        <v/>
      </c>
      <c r="BJ22" s="13" t="str">
        <f>IF($O$6=TRUE(),6523.3,"")</f>
        <v/>
      </c>
      <c r="BK22" s="13" t="str">
        <f>IF($O$6=TRUE(),6794.3,"")</f>
        <v/>
      </c>
      <c r="BL22" s="13" t="str">
        <f>IF($O$6=TRUE(),6844,"")</f>
        <v/>
      </c>
      <c r="BM22" s="13" t="str">
        <f>IF($O$6=TRUE(),6927,"")</f>
        <v/>
      </c>
      <c r="BN22" s="14"/>
      <c r="BO22" s="14"/>
    </row>
    <row r="23" spans="1:67" ht="15" customHeight="1">
      <c r="A23" s="9" t="s">
        <v>297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0" t="str">
        <f>IF($P$6=TRUE(),2082,"")</f>
        <v/>
      </c>
      <c r="AT23" s="10" t="str">
        <f>IF($P$6=TRUE(),2227.7,"")</f>
        <v/>
      </c>
      <c r="AU23" s="10" t="str">
        <f>IF($P$6=TRUE(),2311,"")</f>
        <v/>
      </c>
      <c r="AV23" s="10" t="str">
        <f>IF($P$6=TRUE(),2344.6,"")</f>
        <v/>
      </c>
      <c r="AW23" s="10" t="str">
        <f>IF($P$6=TRUE(),2362.4,"")</f>
        <v/>
      </c>
      <c r="AX23" s="10" t="str">
        <f>IF($P$6=TRUE(),2520.2,"")</f>
        <v/>
      </c>
      <c r="AY23" s="10" t="str">
        <f>IF($P$6=TRUE(),2521.8,"")</f>
        <v/>
      </c>
      <c r="AZ23" s="10" t="str">
        <f>IF($P$6=TRUE(),2631.1,"")</f>
        <v/>
      </c>
      <c r="BA23" s="10" t="str">
        <f>IF($P$6=TRUE(),3023.1,"")</f>
        <v/>
      </c>
      <c r="BB23" s="10" t="str">
        <f>IF($P$6=TRUE(),3023.1,"")</f>
        <v/>
      </c>
      <c r="BC23" s="10" t="str">
        <f>IF($P$6=TRUE(),3023.1,"")</f>
        <v/>
      </c>
      <c r="BD23" s="10" t="str">
        <f>IF($P$6=TRUE(),3217,"")</f>
        <v/>
      </c>
      <c r="BE23" s="10" t="str">
        <f>IF($P$6=TRUE(),3217,"")</f>
        <v/>
      </c>
      <c r="BF23" s="10" t="str">
        <f>IF($P$6=TRUE(),3265,"")</f>
        <v/>
      </c>
      <c r="BG23" s="10" t="str">
        <f>IF($P$6=TRUE(),3295.2,"")</f>
        <v/>
      </c>
      <c r="BH23" s="10" t="str">
        <f>IF($P$6=TRUE(),3345.2,"")</f>
        <v/>
      </c>
      <c r="BI23" s="10" t="str">
        <f>IF($P$6=TRUE(),3403.2,"")</f>
        <v/>
      </c>
      <c r="BJ23" s="10" t="str">
        <f>IF($P$6=TRUE(),3459.9,"")</f>
        <v/>
      </c>
      <c r="BK23" s="10" t="str">
        <f>IF($P$6=TRUE(),3558.8,"")</f>
        <v/>
      </c>
      <c r="BL23" s="10" t="str">
        <f>IF($P$6=TRUE(),3608.2,"")</f>
        <v/>
      </c>
      <c r="BM23" s="10" t="str">
        <f>IF($P$6=TRUE(),3657.7,"")</f>
        <v/>
      </c>
      <c r="BN23" s="11"/>
      <c r="BO23" s="11"/>
    </row>
    <row r="24" spans="1:67" ht="15" customHeight="1">
      <c r="A24" s="12" t="s">
        <v>298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3" t="str">
        <f>IF($Q$6=TRUE(),2316.5,"")</f>
        <v/>
      </c>
      <c r="AT24" s="13" t="str">
        <f>IF($Q$6=TRUE(),2478.7,"")</f>
        <v/>
      </c>
      <c r="AU24" s="13" t="str">
        <f>IF($Q$6=TRUE(),2664,"")</f>
        <v/>
      </c>
      <c r="AV24" s="13" t="str">
        <f>IF($Q$6=TRUE(),2687.3,"")</f>
        <v/>
      </c>
      <c r="AW24" s="13" t="str">
        <f>IF($Q$6=TRUE(),2687.3,"")</f>
        <v/>
      </c>
      <c r="AX24" s="13" t="str">
        <f>IF($Q$6=TRUE(),2964.8,"")</f>
        <v/>
      </c>
      <c r="AY24" s="13" t="str">
        <f>IF($Q$6=TRUE(),2965.2,"")</f>
        <v/>
      </c>
      <c r="AZ24" s="13" t="str">
        <f>IF($Q$6=TRUE(),3356.9,"")</f>
        <v/>
      </c>
      <c r="BA24" s="13" t="str">
        <f>IF($Q$6=TRUE(),3436.9,"")</f>
        <v/>
      </c>
      <c r="BB24" s="13" t="str">
        <f>IF($Q$6=TRUE(),3615.3,"")</f>
        <v/>
      </c>
      <c r="BC24" s="13" t="str">
        <f>IF($Q$6=TRUE(),4197.7,"")</f>
        <v/>
      </c>
      <c r="BD24" s="13" t="str">
        <f>IF($Q$6=TRUE(),4713.6,"")</f>
        <v/>
      </c>
      <c r="BE24" s="13" t="str">
        <f>IF($Q$6=TRUE(),4713.6,"")</f>
        <v/>
      </c>
      <c r="BF24" s="13" t="str">
        <f>IF($Q$6=TRUE(),5035,"")</f>
        <v/>
      </c>
      <c r="BG24" s="13" t="str">
        <f>IF($Q$6=TRUE(),5285,"")</f>
        <v/>
      </c>
      <c r="BH24" s="13" t="str">
        <f>IF($Q$6=TRUE(),5612,"")</f>
        <v/>
      </c>
      <c r="BI24" s="13" t="str">
        <f>IF($Q$6=TRUE(),5968.3,"")</f>
        <v/>
      </c>
      <c r="BJ24" s="13" t="str">
        <f>IF($Q$6=TRUE(),6357.9,"")</f>
        <v/>
      </c>
      <c r="BK24" s="13" t="str">
        <f>IF($Q$6=TRUE(),7266.9,"")</f>
        <v/>
      </c>
      <c r="BL24" s="13" t="str">
        <f>IF($Q$6=TRUE(),7795.4,"")</f>
        <v/>
      </c>
      <c r="BM24" s="13" t="str">
        <f>IF($Q$6=TRUE(),8112.5,"")</f>
        <v/>
      </c>
      <c r="BN24" s="14"/>
      <c r="BO24" s="14"/>
    </row>
    <row r="25" spans="1:67" ht="15" customHeight="1">
      <c r="A25" s="9" t="s">
        <v>299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0" t="str">
        <f>IF($R$6=TRUE(),2163.7,"")</f>
        <v/>
      </c>
      <c r="AT25" s="10" t="str">
        <f>IF($R$6=TRUE(),2250.2,"")</f>
        <v/>
      </c>
      <c r="AU25" s="10" t="str">
        <f>IF($R$6=TRUE(),2509.9,"")</f>
        <v/>
      </c>
      <c r="AV25" s="10" t="str">
        <f>IF($R$6=TRUE(),2519.9,"")</f>
        <v/>
      </c>
      <c r="AW25" s="10" t="str">
        <f>IF($R$6=TRUE(),2530.2,"")</f>
        <v/>
      </c>
      <c r="AX25" s="10" t="str">
        <f>IF($R$6=TRUE(),2725.4,"")</f>
        <v/>
      </c>
      <c r="AY25" s="10" t="str">
        <f>IF($R$6=TRUE(),2842.4,"")</f>
        <v/>
      </c>
      <c r="AZ25" s="10" t="str">
        <f>IF($R$6=TRUE(),3312.9,"")</f>
        <v/>
      </c>
      <c r="BA25" s="10" t="str">
        <f>IF($R$6=TRUE(),3701.4,"")</f>
        <v/>
      </c>
      <c r="BB25" s="10" t="str">
        <f>IF($R$6=TRUE(),3780.7,"")</f>
        <v/>
      </c>
      <c r="BC25" s="10" t="str">
        <f>IF($R$6=TRUE(),3814,"")</f>
        <v/>
      </c>
      <c r="BD25" s="10" t="str">
        <f>IF($R$6=TRUE(),4218.1,"")</f>
        <v/>
      </c>
      <c r="BE25" s="10" t="str">
        <f>IF($R$6=TRUE(),4218.1,"")</f>
        <v/>
      </c>
      <c r="BF25" s="10" t="str">
        <f>IF($R$6=TRUE(),4429.2,"")</f>
        <v/>
      </c>
      <c r="BG25" s="10" t="str">
        <f>IF($R$6=TRUE(),4513.9,"")</f>
        <v/>
      </c>
      <c r="BH25" s="10" t="str">
        <f>IF($R$6=TRUE(),5211.9,"")</f>
        <v/>
      </c>
      <c r="BI25" s="10" t="str">
        <f>IF($R$6=TRUE(),5463.5,"")</f>
        <v/>
      </c>
      <c r="BJ25" s="10" t="str">
        <f>IF($R$6=TRUE(),5822.9,"")</f>
        <v/>
      </c>
      <c r="BK25" s="10" t="str">
        <f>IF($R$6=TRUE(),6504.5,"")</f>
        <v/>
      </c>
      <c r="BL25" s="10" t="str">
        <f>IF($R$6=TRUE(),6779.9,"")</f>
        <v/>
      </c>
      <c r="BM25" s="10" t="str">
        <f>IF($R$6=TRUE(),6870.2,"")</f>
        <v/>
      </c>
      <c r="BN25" s="11"/>
      <c r="BO25" s="11"/>
    </row>
    <row r="26" spans="1:67" ht="15" customHeight="1">
      <c r="A26" s="12" t="s">
        <v>300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3" t="str">
        <f>IF($S$6=TRUE(),2800,"")</f>
        <v/>
      </c>
      <c r="AT26" s="13" t="str">
        <f>IF($S$6=TRUE(),3136,"")</f>
        <v/>
      </c>
      <c r="AU26" s="13" t="str">
        <f>IF($S$6=TRUE(),3444,"")</f>
        <v/>
      </c>
      <c r="AV26" s="13" t="str">
        <f>IF($S$6=TRUE(),3511.7,"")</f>
        <v/>
      </c>
      <c r="AW26" s="13" t="str">
        <f>IF($S$6=TRUE(),3620.1,"")</f>
        <v/>
      </c>
      <c r="AX26" s="13" t="str">
        <f>IF($S$6=TRUE(),4012,"")</f>
        <v/>
      </c>
      <c r="AY26" s="13" t="str">
        <f>IF($S$6=TRUE(),4482.5,"")</f>
        <v/>
      </c>
      <c r="AZ26" s="13" t="str">
        <f>IF($S$6=TRUE(),4737.8,"")</f>
        <v/>
      </c>
      <c r="BA26" s="13" t="str">
        <f>IF($S$6=TRUE(),4892.3,"")</f>
        <v/>
      </c>
      <c r="BB26" s="13" t="str">
        <f>IF($S$6=TRUE(),4932.3,"")</f>
        <v/>
      </c>
      <c r="BC26" s="13" t="str">
        <f>IF($S$6=TRUE(),5334.7,"")</f>
        <v/>
      </c>
      <c r="BD26" s="13" t="str">
        <f>IF($S$6=TRUE(),5473.9,"")</f>
        <v/>
      </c>
      <c r="BE26" s="13" t="str">
        <f>IF($S$6=TRUE(),6111.4,"")</f>
        <v/>
      </c>
      <c r="BF26" s="13" t="str">
        <f>IF($S$6=TRUE(),6546.3,"")</f>
        <v/>
      </c>
      <c r="BG26" s="13" t="str">
        <f>IF($S$6=TRUE(),6607.3,"")</f>
        <v/>
      </c>
      <c r="BH26" s="13" t="str">
        <f>IF($S$6=TRUE(),7988.2,"")</f>
        <v/>
      </c>
      <c r="BI26" s="13" t="str">
        <f>IF($S$6=TRUE(),8728.2,"")</f>
        <v/>
      </c>
      <c r="BJ26" s="13" t="str">
        <f>IF($S$6=TRUE(),8800.9,"")</f>
        <v/>
      </c>
      <c r="BK26" s="13" t="str">
        <f>IF($S$6=TRUE(),8900,"")</f>
        <v/>
      </c>
      <c r="BL26" s="13" t="str">
        <f>IF($S$6=TRUE(),9025.6,"")</f>
        <v/>
      </c>
      <c r="BM26" s="13" t="str">
        <f>IF($S$6=TRUE(),9131.3,"")</f>
        <v/>
      </c>
      <c r="BN26" s="14"/>
      <c r="BO26" s="14"/>
    </row>
    <row r="27" spans="1:67" ht="15" customHeight="1">
      <c r="A27" s="9" t="s">
        <v>301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0" t="str">
        <f>IF($T$6=TRUE(),1939.6,"")</f>
        <v/>
      </c>
      <c r="AT27" s="10" t="str">
        <f>IF($T$6=TRUE(),2153,"")</f>
        <v/>
      </c>
      <c r="AU27" s="10" t="str">
        <f>IF($T$6=TRUE(),2327.5,"")</f>
        <v/>
      </c>
      <c r="AV27" s="10" t="str">
        <f>IF($T$6=TRUE(),2474.9,"")</f>
        <v/>
      </c>
      <c r="AW27" s="10" t="str">
        <f>IF($T$6=TRUE(),2474.9,"")</f>
        <v/>
      </c>
      <c r="AX27" s="10" t="str">
        <f>IF($T$6=TRUE(),2814,"")</f>
        <v/>
      </c>
      <c r="AY27" s="10" t="str">
        <f>IF($T$6=TRUE(),2867.9,"")</f>
        <v/>
      </c>
      <c r="AZ27" s="10" t="str">
        <f>IF($T$6=TRUE(),3346.3,"")</f>
        <v/>
      </c>
      <c r="BA27" s="10" t="str">
        <f>IF($T$6=TRUE(),3453,"")</f>
        <v/>
      </c>
      <c r="BB27" s="10" t="str">
        <f>IF($T$6=TRUE(),3453,"")</f>
        <v/>
      </c>
      <c r="BC27" s="10" t="str">
        <f>IF($T$6=TRUE(),3768.5,"")</f>
        <v/>
      </c>
      <c r="BD27" s="10" t="str">
        <f>IF($T$6=TRUE(),4155.8,"")</f>
        <v/>
      </c>
      <c r="BE27" s="10" t="str">
        <f>IF($T$6=TRUE(),4155.8,"")</f>
        <v/>
      </c>
      <c r="BF27" s="10" t="str">
        <f>IF($T$6=TRUE(),4155.8,"")</f>
        <v/>
      </c>
      <c r="BG27" s="10" t="str">
        <f>IF($T$6=TRUE(),4624.6,"")</f>
        <v/>
      </c>
      <c r="BH27" s="10" t="str">
        <f>IF($T$6=TRUE(),5530.7,"")</f>
        <v/>
      </c>
      <c r="BI27" s="10" t="str">
        <f>IF($T$6=TRUE(),5530.7,"")</f>
        <v/>
      </c>
      <c r="BJ27" s="10" t="str">
        <f>IF($T$6=TRUE(),5549.5,"")</f>
        <v/>
      </c>
      <c r="BK27" s="10" t="str">
        <f>IF($T$6=TRUE(),5780.8,"")</f>
        <v/>
      </c>
      <c r="BL27" s="10" t="str">
        <f>IF($T$6=TRUE(),6058.2,"")</f>
        <v/>
      </c>
      <c r="BM27" s="10" t="str">
        <f>IF($T$6=TRUE(),6053.6,"")</f>
        <v/>
      </c>
      <c r="BN27" s="11"/>
      <c r="BO27" s="11"/>
    </row>
    <row r="28" spans="1:67" ht="15" customHeight="1">
      <c r="A28" s="12" t="s">
        <v>302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3" t="str">
        <f>IF($U$6=TRUE(),2327.5,"")</f>
        <v/>
      </c>
      <c r="AT28" s="13" t="str">
        <f>IF($U$6=TRUE(),2606.8,"")</f>
        <v/>
      </c>
      <c r="AU28" s="13" t="str">
        <f>IF($U$6=TRUE(),2723.2,"")</f>
        <v/>
      </c>
      <c r="AV28" s="13" t="str">
        <f>IF($U$6=TRUE(),2967.3,"")</f>
        <v/>
      </c>
      <c r="AW28" s="13" t="str">
        <f>IF($U$6=TRUE(),3029.8,"")</f>
        <v/>
      </c>
      <c r="AX28" s="13" t="str">
        <f>IF($U$6=TRUE(),3454,"")</f>
        <v/>
      </c>
      <c r="AY28" s="13" t="str">
        <f>IF($U$6=TRUE(),3639.8,"")</f>
        <v/>
      </c>
      <c r="AZ28" s="13" t="str">
        <f>IF($U$6=TRUE(),3759.8,"")</f>
        <v/>
      </c>
      <c r="BA28" s="13" t="str">
        <f>IF($U$6=TRUE(),4524.5,"")</f>
        <v/>
      </c>
      <c r="BB28" s="13" t="str">
        <f>IF($U$6=TRUE(),4787.2,"")</f>
        <v/>
      </c>
      <c r="BC28" s="13" t="str">
        <f>IF($U$6=TRUE(),5139.2,"")</f>
        <v/>
      </c>
      <c r="BD28" s="13" t="str">
        <f>IF($U$6=TRUE(),5918.6,"")</f>
        <v/>
      </c>
      <c r="BE28" s="13" t="str">
        <f>IF($U$6=TRUE(),5918.6,"")</f>
        <v/>
      </c>
      <c r="BF28" s="13" t="str">
        <f>IF($U$6=TRUE(),6127.4,"")</f>
        <v/>
      </c>
      <c r="BG28" s="13" t="str">
        <f>IF($U$6=TRUE(),6301.5,"")</f>
        <v/>
      </c>
      <c r="BH28" s="13" t="str">
        <f>IF($U$6=TRUE(),7101.3,"")</f>
        <v/>
      </c>
      <c r="BI28" s="13" t="str">
        <f>IF($U$6=TRUE(),7684.3,"")</f>
        <v/>
      </c>
      <c r="BJ28" s="13" t="str">
        <f>IF($U$6=TRUE(),7958.8,"")</f>
        <v/>
      </c>
      <c r="BK28" s="13" t="str">
        <f>IF($U$6=TRUE(),8834.7,"")</f>
        <v/>
      </c>
      <c r="BL28" s="13" t="str">
        <f>IF($U$6=TRUE(),9042.7,"")</f>
        <v/>
      </c>
      <c r="BM28" s="13" t="str">
        <f>IF($U$6=TRUE(),9187.6,"")</f>
        <v/>
      </c>
      <c r="BN28" s="14"/>
      <c r="BO28" s="14"/>
    </row>
    <row r="29" spans="1:67" ht="15" customHeight="1">
      <c r="A29" s="9" t="s">
        <v>303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0" t="str">
        <f>IF($V$6=TRUE(),1929.5,"")</f>
        <v/>
      </c>
      <c r="AT29" s="10" t="str">
        <f>IF($V$6=TRUE(),2122.5,"")</f>
        <v/>
      </c>
      <c r="AU29" s="10" t="str">
        <f>IF($V$6=TRUE(),2334.7,"")</f>
        <v/>
      </c>
      <c r="AV29" s="10" t="str">
        <f>IF($V$6=TRUE(),2334.7,"")</f>
        <v/>
      </c>
      <c r="AW29" s="10" t="str">
        <f>IF($V$6=TRUE(),2334.7,"")</f>
        <v/>
      </c>
      <c r="AX29" s="10" t="str">
        <f>IF($V$6=TRUE(),2504.4,"")</f>
        <v/>
      </c>
      <c r="AY29" s="10" t="str">
        <f>IF($V$6=TRUE(),2563.2,"")</f>
        <v/>
      </c>
      <c r="AZ29" s="10" t="str">
        <f>IF($V$6=TRUE(),2569.6,"")</f>
        <v/>
      </c>
      <c r="BA29" s="10" t="str">
        <f>IF($V$6=TRUE(),2635.4,"")</f>
        <v/>
      </c>
      <c r="BB29" s="10" t="str">
        <f>IF($V$6=TRUE(),2938.5,"")</f>
        <v/>
      </c>
      <c r="BC29" s="10" t="str">
        <f>IF($V$6=TRUE(),3661.2,"")</f>
        <v/>
      </c>
      <c r="BD29" s="10" t="str">
        <f>IF($V$6=TRUE(),4092.1,"")</f>
        <v/>
      </c>
      <c r="BE29" s="10" t="str">
        <f>IF($V$6=TRUE(),4092.1,"")</f>
        <v/>
      </c>
      <c r="BF29" s="10" t="str">
        <f>IF($V$6=TRUE(),4210.4,"")</f>
        <v/>
      </c>
      <c r="BG29" s="10" t="str">
        <f>IF($V$6=TRUE(),4247,"")</f>
        <v/>
      </c>
      <c r="BH29" s="10" t="str">
        <f>IF($V$6=TRUE(),4384,"")</f>
        <v/>
      </c>
      <c r="BI29" s="10" t="str">
        <f>IF($V$6=TRUE(),4498.4,"")</f>
        <v/>
      </c>
      <c r="BJ29" s="10" t="str">
        <f>IF($V$6=TRUE(),5134.6,"")</f>
        <v/>
      </c>
      <c r="BK29" s="10" t="str">
        <f>IF($V$6=TRUE(),5733.5,"")</f>
        <v/>
      </c>
      <c r="BL29" s="10" t="str">
        <f>IF($V$6=TRUE(),5848.1,"")</f>
        <v/>
      </c>
      <c r="BM29" s="10" t="str">
        <f>IF($V$6=TRUE(),6001,"")</f>
        <v/>
      </c>
      <c r="BN29" s="11"/>
      <c r="BO29" s="11"/>
    </row>
    <row r="30" spans="1:67" ht="15" customHeight="1">
      <c r="A30" s="12" t="s">
        <v>304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3" t="str">
        <f>IF($W$6=TRUE(),2307,"")</f>
        <v/>
      </c>
      <c r="AT30" s="13" t="str">
        <f>IF($W$6=TRUE(),2537.7,"")</f>
        <v/>
      </c>
      <c r="AU30" s="13" t="str">
        <f>IF($W$6=TRUE(),2583.8,"")</f>
        <v/>
      </c>
      <c r="AV30" s="13" t="str">
        <f>IF($W$6=TRUE(),2665,"")</f>
        <v/>
      </c>
      <c r="AW30" s="13" t="str">
        <f>IF($W$6=TRUE(),2784.3,"")</f>
        <v/>
      </c>
      <c r="AX30" s="13" t="str">
        <f>IF($W$6=TRUE(),2963.5,"")</f>
        <v/>
      </c>
      <c r="AY30" s="13" t="str">
        <f>IF($W$6=TRUE(),3105.9,"")</f>
        <v/>
      </c>
      <c r="AZ30" s="13" t="str">
        <f>IF($W$6=TRUE(),3196,"")</f>
        <v/>
      </c>
      <c r="BA30" s="13" t="str">
        <f>IF($W$6=TRUE(),3394.6,"")</f>
        <v/>
      </c>
      <c r="BB30" s="13" t="str">
        <f>IF($W$6=TRUE(),3394.6,"")</f>
        <v/>
      </c>
      <c r="BC30" s="13" t="str">
        <f>IF($W$6=TRUE(),3606.7,"")</f>
        <v/>
      </c>
      <c r="BD30" s="13" t="str">
        <f>IF($W$6=TRUE(),4355.9,"")</f>
        <v/>
      </c>
      <c r="BE30" s="13" t="str">
        <f>IF($W$6=TRUE(),4328,"")</f>
        <v/>
      </c>
      <c r="BF30" s="13" t="str">
        <f>IF($W$6=TRUE(),4425.3,"")</f>
        <v/>
      </c>
      <c r="BG30" s="13" t="str">
        <f>IF($W$6=TRUE(),4646.5,"")</f>
        <v/>
      </c>
      <c r="BH30" s="13" t="str">
        <f>IF($W$6=TRUE(),5436.4,"")</f>
        <v/>
      </c>
      <c r="BI30" s="13" t="str">
        <f>IF($W$6=TRUE(),5639.8,"")</f>
        <v/>
      </c>
      <c r="BJ30" s="13" t="str">
        <f>IF($W$6=TRUE(),5915,"")</f>
        <v/>
      </c>
      <c r="BK30" s="13" t="str">
        <f>IF($W$6=TRUE(),6681.7,"")</f>
        <v/>
      </c>
      <c r="BL30" s="13" t="str">
        <f>IF($W$6=TRUE(),6988.3,"")</f>
        <v/>
      </c>
      <c r="BM30" s="13" t="str">
        <f>IF($W$6=TRUE(),7058,"")</f>
        <v/>
      </c>
      <c r="BN30" s="14"/>
      <c r="BO30" s="14"/>
    </row>
    <row r="31" spans="1:67" ht="15" customHeight="1">
      <c r="A31" s="9" t="s">
        <v>305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0" t="str">
        <f>IF($X$6=TRUE(),2440,"")</f>
        <v/>
      </c>
      <c r="AT31" s="10" t="str">
        <f>IF($X$6=TRUE(),2659.6,"")</f>
        <v/>
      </c>
      <c r="AU31" s="10" t="str">
        <f>IF($X$6=TRUE(),2879.2,"")</f>
        <v/>
      </c>
      <c r="AV31" s="10" t="str">
        <f>IF($X$6=TRUE(),3105.5,"")</f>
        <v/>
      </c>
      <c r="AW31" s="10" t="str">
        <f>IF($X$6=TRUE(),3323.3,"")</f>
        <v/>
      </c>
      <c r="AX31" s="10" t="str">
        <f>IF($X$6=TRUE(),3755.3,"")</f>
        <v/>
      </c>
      <c r="AY31" s="10" t="str">
        <f>IF($X$6=TRUE(),3707.1,"")</f>
        <v/>
      </c>
      <c r="AZ31" s="10" t="str">
        <f>IF($X$6=TRUE(),3788.6,"")</f>
        <v/>
      </c>
      <c r="BA31" s="10" t="str">
        <f>IF($X$6=TRUE(),4300.7,"")</f>
        <v/>
      </c>
      <c r="BB31" s="10" t="str">
        <f>IF($X$6=TRUE(),4691.7,"")</f>
        <v/>
      </c>
      <c r="BC31" s="10" t="str">
        <f>IF($X$6=TRUE(),5082.7,"")</f>
        <v/>
      </c>
      <c r="BD31" s="10" t="str">
        <f>IF($X$6=TRUE(),5692.6,"")</f>
        <v/>
      </c>
      <c r="BE31" s="10" t="str">
        <f>IF($X$6=TRUE(),5438.5,"")</f>
        <v/>
      </c>
      <c r="BF31" s="10" t="str">
        <f>IF($X$6=TRUE(),5786.5,"")</f>
        <v/>
      </c>
      <c r="BG31" s="10" t="str">
        <f>IF($X$6=TRUE(),5966.7,"")</f>
        <v/>
      </c>
      <c r="BH31" s="10" t="str">
        <f>IF($X$6=TRUE(),6819.1,"")</f>
        <v/>
      </c>
      <c r="BI31" s="10" t="str">
        <f>IF($X$6=TRUE(),6819.1,"")</f>
        <v/>
      </c>
      <c r="BJ31" s="10" t="str">
        <f>IF($X$6=TRUE(),6897.5,"")</f>
        <v/>
      </c>
      <c r="BK31" s="10" t="str">
        <f>IF($X$6=TRUE(),7022.8,"")</f>
        <v/>
      </c>
      <c r="BL31" s="10" t="str">
        <f>IF($X$6=TRUE(),7124.2,"")</f>
        <v/>
      </c>
      <c r="BM31" s="10" t="str">
        <f>IF($X$6=TRUE(),7166,"")</f>
        <v/>
      </c>
      <c r="BN31" s="11"/>
      <c r="BO31" s="11"/>
    </row>
    <row r="32" spans="1:67" ht="15" customHeight="1">
      <c r="A32" s="12" t="s">
        <v>306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3" t="str">
        <f>IF($Y$6=TRUE(),2275.2,"")</f>
        <v/>
      </c>
      <c r="AT32" s="13" t="str">
        <f>IF($Y$6=TRUE(),2593.7,"")</f>
        <v/>
      </c>
      <c r="AU32" s="13" t="str">
        <f>IF($Y$6=TRUE(),2844,"")</f>
        <v/>
      </c>
      <c r="AV32" s="13" t="str">
        <f>IF($Y$6=TRUE(),2845.7,"")</f>
        <v/>
      </c>
      <c r="AW32" s="13" t="str">
        <f>IF($Y$6=TRUE(),2845.7,"")</f>
        <v/>
      </c>
      <c r="AX32" s="13" t="str">
        <f>IF($Y$6=TRUE(),2977.2,"")</f>
        <v/>
      </c>
      <c r="AY32" s="13" t="str">
        <f>IF($Y$6=TRUE(),2998.1,"")</f>
        <v/>
      </c>
      <c r="AZ32" s="13" t="str">
        <f>IF($Y$6=TRUE(),3526.4,"")</f>
        <v/>
      </c>
      <c r="BA32" s="13" t="str">
        <f>IF($Y$6=TRUE(),4245.5,"")</f>
        <v/>
      </c>
      <c r="BB32" s="13" t="str">
        <f>IF($Y$6=TRUE(),4336.8,"")</f>
        <v/>
      </c>
      <c r="BC32" s="13" t="str">
        <f>IF($Y$6=TRUE(),4361.7,"")</f>
        <v/>
      </c>
      <c r="BD32" s="13" t="str">
        <f>IF($Y$6=TRUE(),4711.8,"")</f>
        <v/>
      </c>
      <c r="BE32" s="13" t="str">
        <f>IF($Y$6=TRUE(),4716.4,"")</f>
        <v/>
      </c>
      <c r="BF32" s="13" t="str">
        <f>IF($Y$6=TRUE(),4727.1,"")</f>
        <v/>
      </c>
      <c r="BG32" s="13" t="str">
        <f>IF($Y$6=TRUE(),5044.1,"")</f>
        <v/>
      </c>
      <c r="BH32" s="13" t="str">
        <f>IF($Y$6=TRUE(),5838.4,"")</f>
        <v/>
      </c>
      <c r="BI32" s="13" t="str">
        <f>IF($Y$6=TRUE(),6053.4,"")</f>
        <v/>
      </c>
      <c r="BJ32" s="13" t="str">
        <f>IF($Y$6=TRUE(),6088.2,"")</f>
        <v/>
      </c>
      <c r="BK32" s="13" t="str">
        <f>IF($Y$6=TRUE(),6219.4,"")</f>
        <v/>
      </c>
      <c r="BL32" s="13" t="str">
        <f>IF($Y$6=TRUE(),6325.3,"")</f>
        <v/>
      </c>
      <c r="BM32" s="13" t="str">
        <f>IF($Y$6=TRUE(),6431.2,"")</f>
        <v/>
      </c>
      <c r="BN32" s="14"/>
      <c r="BO32" s="14"/>
    </row>
    <row r="33" spans="1:67" ht="15" customHeight="1">
      <c r="A33" s="9" t="s">
        <v>307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0" t="str">
        <f>IF($Z$6=TRUE(),3277.7,"")</f>
        <v/>
      </c>
      <c r="AT33" s="10" t="str">
        <f>IF($Z$6=TRUE(),3769.4,"")</f>
        <v/>
      </c>
      <c r="AU33" s="10" t="str">
        <f>IF($Z$6=TRUE(),3769.4,"")</f>
        <v/>
      </c>
      <c r="AV33" s="10" t="str">
        <f>IF($Z$6=TRUE(),3966.8,"")</f>
        <v/>
      </c>
      <c r="AW33" s="10" t="str">
        <f>IF($Z$6=TRUE(),4084.1,"")</f>
        <v/>
      </c>
      <c r="AX33" s="10" t="str">
        <f>IF($Z$6=TRUE(),4191.1,"")</f>
        <v/>
      </c>
      <c r="AY33" s="10" t="str">
        <f>IF($Z$6=TRUE(),4062.1,"")</f>
        <v/>
      </c>
      <c r="AZ33" s="10" t="str">
        <f>IF($Z$6=TRUE(),4388.1,"")</f>
        <v/>
      </c>
      <c r="BA33" s="10" t="str">
        <f>IF($Z$6=TRUE(),5106.4,"")</f>
        <v/>
      </c>
      <c r="BB33" s="10" t="str">
        <f>IF($Z$6=TRUE(),6221.4,"")</f>
        <v/>
      </c>
      <c r="BC33" s="10" t="str">
        <f>IF($Z$6=TRUE(),6946.5,"")</f>
        <v/>
      </c>
      <c r="BD33" s="10" t="str">
        <f>IF($Z$6=TRUE(),6718.3,"")</f>
        <v/>
      </c>
      <c r="BE33" s="10" t="str">
        <f>IF($Z$6=TRUE(),6569.3,"")</f>
        <v/>
      </c>
      <c r="BF33" s="10" t="str">
        <f>IF($Z$6=TRUE(),7376,"")</f>
        <v/>
      </c>
      <c r="BG33" s="10" t="str">
        <f>IF($Z$6=TRUE(),7628.1,"")</f>
        <v/>
      </c>
      <c r="BH33" s="10" t="str">
        <f>IF($Z$6=TRUE(),10170.2,"")</f>
        <v/>
      </c>
      <c r="BI33" s="10" t="str">
        <f>IF($Z$6=TRUE(),9829.4,"")</f>
        <v/>
      </c>
      <c r="BJ33" s="10" t="str">
        <f>IF($Z$6=TRUE(),9992.8,"")</f>
        <v/>
      </c>
      <c r="BK33" s="10" t="str">
        <f>IF($Z$6=TRUE(),10984.5,"")</f>
        <v/>
      </c>
      <c r="BL33" s="10" t="str">
        <f>IF($Z$6=TRUE(),12052.4,"")</f>
        <v/>
      </c>
      <c r="BM33" s="10" t="str">
        <f>IF($Z$6=TRUE(),13425.5,"")</f>
        <v/>
      </c>
      <c r="BN33" s="11"/>
      <c r="BO33" s="11"/>
    </row>
    <row r="34" spans="1:67" ht="15" customHeight="1">
      <c r="A34" s="12" t="s">
        <v>308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3" t="str">
        <f>IF($AA$6=TRUE(),2124,"")</f>
        <v/>
      </c>
      <c r="AT34" s="13" t="str">
        <f>IF($AA$6=TRUE(),2378.9,"")</f>
        <v/>
      </c>
      <c r="AU34" s="13" t="str">
        <f>IF($AA$6=TRUE(),2633.8,"")</f>
        <v/>
      </c>
      <c r="AV34" s="13" t="str">
        <f>IF($AA$6=TRUE(),2652.3,"")</f>
        <v/>
      </c>
      <c r="AW34" s="13" t="str">
        <f>IF($AA$6=TRUE(),2891.5,"")</f>
        <v/>
      </c>
      <c r="AX34" s="13" t="str">
        <f>IF($AA$6=TRUE(),3177.6,"")</f>
        <v/>
      </c>
      <c r="AY34" s="13" t="str">
        <f>IF($AA$6=TRUE(),3271,"")</f>
        <v/>
      </c>
      <c r="AZ34" s="13" t="str">
        <f>IF($AA$6=TRUE(),3866.7,"")</f>
        <v/>
      </c>
      <c r="BA34" s="13" t="str">
        <f>IF($AA$6=TRUE(),3903.1,"")</f>
        <v/>
      </c>
      <c r="BB34" s="13" t="str">
        <f>IF($AA$6=TRUE(),3918.6,"")</f>
        <v/>
      </c>
      <c r="BC34" s="13" t="str">
        <f>IF($AA$6=TRUE(),4232.6,"")</f>
        <v/>
      </c>
      <c r="BD34" s="13" t="str">
        <f>IF($AA$6=TRUE(),4736.7,"")</f>
        <v/>
      </c>
      <c r="BE34" s="13" t="str">
        <f>IF($AA$6=TRUE(),4758.1,"")</f>
        <v/>
      </c>
      <c r="BF34" s="13" t="str">
        <f>IF($AA$6=TRUE(),4982.9,"")</f>
        <v/>
      </c>
      <c r="BG34" s="13" t="str">
        <f>IF($AA$6=TRUE(),5137,"")</f>
        <v/>
      </c>
      <c r="BH34" s="13" t="str">
        <f>IF($AA$6=TRUE(),6399.1,"")</f>
        <v/>
      </c>
      <c r="BI34" s="13" t="str">
        <f>IF($AA$6=TRUE(),6444.6,"")</f>
        <v/>
      </c>
      <c r="BJ34" s="13" t="str">
        <f>IF($AA$6=TRUE(),6688.4,"")</f>
        <v/>
      </c>
      <c r="BK34" s="13" t="str">
        <f>IF($AA$6=TRUE(),7376.7,"")</f>
        <v/>
      </c>
      <c r="BL34" s="13" t="str">
        <f>IF($AA$6=TRUE(),7936.7,"")</f>
        <v/>
      </c>
      <c r="BM34" s="13" t="str">
        <f>IF($AA$6=TRUE(),8383.6,"")</f>
        <v/>
      </c>
      <c r="BN34" s="14"/>
      <c r="BO34" s="14"/>
    </row>
    <row r="35" spans="1:67" ht="15" customHeight="1">
      <c r="A35" s="9" t="s">
        <v>309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0" t="str">
        <f>IF($AB$6=TRUE(),2565.1,"")</f>
        <v/>
      </c>
      <c r="AT35" s="10" t="str">
        <f>IF($AB$6=TRUE(),2693.4,"")</f>
        <v/>
      </c>
      <c r="AU35" s="10" t="str">
        <f>IF($AB$6=TRUE(),2770.3,"")</f>
        <v/>
      </c>
      <c r="AV35" s="10" t="str">
        <f>IF($AB$6=TRUE(),2949.9,"")</f>
        <v/>
      </c>
      <c r="AW35" s="10" t="str">
        <f>IF($AB$6=TRUE(),2949.9,"")</f>
        <v/>
      </c>
      <c r="AX35" s="10" t="str">
        <f>IF($AB$6=TRUE(),3244.9,"")</f>
        <v/>
      </c>
      <c r="AY35" s="10" t="str">
        <f>IF($AB$6=TRUE(),3244.9,"")</f>
        <v/>
      </c>
      <c r="AZ35" s="10" t="str">
        <f>IF($AB$6=TRUE(),3563.7,"")</f>
        <v/>
      </c>
      <c r="BA35" s="10" t="str">
        <f>IF($AB$6=TRUE(),4158.2,"")</f>
        <v/>
      </c>
      <c r="BB35" s="10" t="str">
        <f>IF($AB$6=TRUE(),4521.6,"")</f>
        <v/>
      </c>
      <c r="BC35" s="10" t="str">
        <f>IF($AB$6=TRUE(),4718.1,"")</f>
        <v/>
      </c>
      <c r="BD35" s="10" t="str">
        <f>IF($AB$6=TRUE(),5354.4,"")</f>
        <v/>
      </c>
      <c r="BE35" s="10" t="str">
        <f>IF($AB$6=TRUE(),5324.9,"")</f>
        <v/>
      </c>
      <c r="BF35" s="10" t="str">
        <f>IF($AB$6=TRUE(),5425.8,"")</f>
        <v/>
      </c>
      <c r="BG35" s="10" t="str">
        <f>IF($AB$6=TRUE(),5850.4,"")</f>
        <v/>
      </c>
      <c r="BH35" s="10" t="str">
        <f>IF($AB$6=TRUE(),6552.4,"")</f>
        <v/>
      </c>
      <c r="BI35" s="10" t="str">
        <f>IF($AB$6=TRUE(),6911.8,"")</f>
        <v/>
      </c>
      <c r="BJ35" s="10" t="str">
        <f>IF($AB$6=TRUE(),7149.2,"")</f>
        <v/>
      </c>
      <c r="BK35" s="10" t="str">
        <f>IF($AB$6=TRUE(),7471,"")</f>
        <v/>
      </c>
      <c r="BL35" s="10" t="str">
        <f>IF($AB$6=TRUE(),8775.6,"")</f>
        <v/>
      </c>
      <c r="BM35" s="10" t="str">
        <f>IF($AB$6=TRUE(),9056.4,"")</f>
        <v/>
      </c>
      <c r="BN35" s="11"/>
      <c r="BO35" s="11"/>
    </row>
    <row r="36" spans="1:67" ht="15" customHeight="1">
      <c r="A36" s="12" t="s">
        <v>310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3" t="str">
        <f>IF($AC$6=TRUE(),2086,"")</f>
        <v/>
      </c>
      <c r="AT36" s="13" t="str">
        <f>IF($AC$6=TRUE(),2711.8,"")</f>
        <v/>
      </c>
      <c r="AU36" s="13" t="str">
        <f>IF($AC$6=TRUE(),2889.1,"")</f>
        <v/>
      </c>
      <c r="AV36" s="13" t="str">
        <f>IF($AC$6=TRUE(),2910,"")</f>
        <v/>
      </c>
      <c r="AW36" s="13" t="str">
        <f>IF($AC$6=TRUE(),2962.1,"")</f>
        <v/>
      </c>
      <c r="AX36" s="13" t="str">
        <f>IF($AC$6=TRUE(),3822.6,"")</f>
        <v/>
      </c>
      <c r="AY36" s="13" t="str">
        <f>IF($AC$6=TRUE(),3919.8,"")</f>
        <v/>
      </c>
      <c r="AZ36" s="13" t="str">
        <f>IF($AC$6=TRUE(),4098.1,"")</f>
        <v/>
      </c>
      <c r="BA36" s="13" t="str">
        <f>IF($AC$6=TRUE(),4301,"")</f>
        <v/>
      </c>
      <c r="BB36" s="13" t="str">
        <f>IF($AC$6=TRUE(),4301,"")</f>
        <v/>
      </c>
      <c r="BC36" s="13" t="str">
        <f>IF($AC$6=TRUE(),4309.9,"")</f>
        <v/>
      </c>
      <c r="BD36" s="13" t="str">
        <f>IF($AC$6=TRUE(),5264.5,"")</f>
        <v/>
      </c>
      <c r="BE36" s="13" t="str">
        <f>IF($AC$6=TRUE(),5482.2,"")</f>
        <v/>
      </c>
      <c r="BF36" s="13" t="str">
        <f>IF($AC$6=TRUE(),5668,"")</f>
        <v/>
      </c>
      <c r="BG36" s="13" t="str">
        <f>IF($AC$6=TRUE(),5805.2,"")</f>
        <v/>
      </c>
      <c r="BH36" s="13" t="str">
        <f>IF($AC$6=TRUE(),7125,"")</f>
        <v/>
      </c>
      <c r="BI36" s="13" t="str">
        <f>IF($AC$6=TRUE(),7435.9,"")</f>
        <v/>
      </c>
      <c r="BJ36" s="13" t="str">
        <f>IF($AC$6=TRUE(),7424.8,"")</f>
        <v/>
      </c>
      <c r="BK36" s="13" t="str">
        <f>IF($AC$6=TRUE(),7825.4,"")</f>
        <v/>
      </c>
      <c r="BL36" s="13" t="str">
        <f>IF($AC$6=TRUE(),7941.5,"")</f>
        <v/>
      </c>
      <c r="BM36" s="13" t="str">
        <f>IF($AC$6=TRUE(),8046,"")</f>
        <v/>
      </c>
      <c r="BN36" s="14"/>
      <c r="BO36" s="14"/>
    </row>
    <row r="37" spans="1:67" ht="15" customHeight="1">
      <c r="A37" s="9" t="s">
        <v>311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0" t="str">
        <f>IF($AD$6=TRUE(),2086,"")</f>
        <v/>
      </c>
      <c r="AT37" s="10" t="str">
        <f>IF($AD$6=TRUE(),2719.1,"")</f>
        <v/>
      </c>
      <c r="AU37" s="10" t="str">
        <f>IF($AD$6=TRUE(),2892.2,"")</f>
        <v/>
      </c>
      <c r="AV37" s="10" t="str">
        <f>IF($AD$6=TRUE(),2904.8,"")</f>
        <v/>
      </c>
      <c r="AW37" s="10" t="str">
        <f>IF($AD$6=TRUE(),2951.7,"")</f>
        <v/>
      </c>
      <c r="AX37" s="10" t="str">
        <f>IF($AD$6=TRUE(),3683.2,"")</f>
        <v/>
      </c>
      <c r="AY37" s="10" t="str">
        <f>IF($AD$6=TRUE(),3772.4,"")</f>
        <v/>
      </c>
      <c r="AZ37" s="10" t="str">
        <f>IF($AD$6=TRUE(),4220.3,"")</f>
        <v/>
      </c>
      <c r="BA37" s="10" t="str">
        <f>IF($AD$6=TRUE(),4347.7,"")</f>
        <v/>
      </c>
      <c r="BB37" s="10" t="str">
        <f>IF($AD$6=TRUE(),4347.7,"")</f>
        <v/>
      </c>
      <c r="BC37" s="10" t="str">
        <f>IF($AD$6=TRUE(),4358.2,"")</f>
        <v/>
      </c>
      <c r="BD37" s="10" t="str">
        <f>IF($AD$6=TRUE(),5330.5,"")</f>
        <v/>
      </c>
      <c r="BE37" s="10" t="str">
        <f>IF($AD$6=TRUE(),5531.9,"")</f>
        <v/>
      </c>
      <c r="BF37" s="10" t="str">
        <f>IF($AD$6=TRUE(),5726.7,"")</f>
        <v/>
      </c>
      <c r="BG37" s="10" t="str">
        <f>IF($AD$6=TRUE(),5864,"")</f>
        <v/>
      </c>
      <c r="BH37" s="10" t="str">
        <f>IF($AD$6=TRUE(),7215.7,"")</f>
        <v/>
      </c>
      <c r="BI37" s="10" t="str">
        <f>IF($AD$6=TRUE(),7523.5,"")</f>
        <v/>
      </c>
      <c r="BJ37" s="10" t="str">
        <f>IF($AD$6=TRUE(),7535.1,"")</f>
        <v/>
      </c>
      <c r="BK37" s="10" t="str">
        <f>IF($AD$6=TRUE(),7887.1,"")</f>
        <v/>
      </c>
      <c r="BL37" s="10" t="str">
        <f>IF($AD$6=TRUE(),80337,"")</f>
        <v/>
      </c>
      <c r="BM37" s="10" t="str">
        <f>IF($AD$6=TRUE(),8151,"")</f>
        <v/>
      </c>
      <c r="BN37" s="11"/>
      <c r="BO37" s="11"/>
    </row>
    <row r="38" spans="1:67" ht="15" customHeight="1">
      <c r="A38" s="12" t="s">
        <v>196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3" t="str">
        <f>IF($AE$6=TRUE(),1876,"")</f>
        <v/>
      </c>
      <c r="AT38" s="13" t="str">
        <f>IF($AE$6=TRUE(),2603.1,"")</f>
        <v/>
      </c>
      <c r="AU38" s="13" t="str">
        <f>IF($AE$6=TRUE(),2749.5,"")</f>
        <v/>
      </c>
      <c r="AV38" s="13" t="str">
        <f>IF($AE$6=TRUE(),2827.1,"")</f>
        <v/>
      </c>
      <c r="AW38" s="13" t="str">
        <f>IF($AE$6=TRUE(),2896.5,"")</f>
        <v/>
      </c>
      <c r="AX38" s="13" t="str">
        <f>IF($AE$6=TRUE(),3661.2,"")</f>
        <v/>
      </c>
      <c r="AY38" s="13" t="str">
        <f>IF($AE$6=TRUE(),4113,"")</f>
        <v/>
      </c>
      <c r="AZ38" s="13" t="str">
        <f>IF($AE$6=TRUE(),4168.6,"")</f>
        <v/>
      </c>
      <c r="BA38" s="13" t="str">
        <f>IF($AE$6=TRUE(),4223.1,"")</f>
        <v/>
      </c>
      <c r="BB38" s="13" t="str">
        <f>IF($AE$6=TRUE(),4263.7,"")</f>
        <v/>
      </c>
      <c r="BC38" s="13" t="str">
        <f>IF($AE$6=TRUE(),4359.2,"")</f>
        <v/>
      </c>
      <c r="BD38" s="13" t="str">
        <f>IF($AE$6=TRUE(),5196.2,"")</f>
        <v/>
      </c>
      <c r="BE38" s="13" t="str">
        <f>IF($AE$6=TRUE(),5540.5,"")</f>
        <v/>
      </c>
      <c r="BF38" s="13" t="str">
        <f>IF($AE$6=TRUE(),5884.9,"")</f>
        <v/>
      </c>
      <c r="BG38" s="13" t="str">
        <f>IF($AE$6=TRUE(),5970.7,"")</f>
        <v/>
      </c>
      <c r="BH38" s="13" t="str">
        <f>IF($AE$6=TRUE(),7433.5,"")</f>
        <v/>
      </c>
      <c r="BI38" s="13" t="str">
        <f>IF($AE$6=TRUE(),7726.1,"")</f>
        <v/>
      </c>
      <c r="BJ38" s="13" t="str">
        <f>IF($AE$6=TRUE(),7809.7,"")</f>
        <v/>
      </c>
      <c r="BK38" s="13" t="str">
        <f>IF($AE$6=TRUE(),7988.8,"")</f>
        <v/>
      </c>
      <c r="BL38" s="13" t="str">
        <f>IF($AE$6=TRUE(),8227.6,"")</f>
        <v/>
      </c>
      <c r="BM38" s="13" t="str">
        <f>IF($AE$6=TRUE(),8359,"")</f>
        <v/>
      </c>
      <c r="BN38" s="14"/>
      <c r="BO38" s="14"/>
    </row>
  </sheetData>
  <mergeCells count="1">
    <mergeCell ref="A1:BO1"/>
  </mergeCells>
  <dataValidations count="1">
    <dataValidation type="list" sqref="B6:AE6" xr:uid="{00000000-0002-0000-0B00-000000000000}">
      <formula1>"TRUE,FALSE"</formula1>
      <formula2>0</formula2>
    </dataValidation>
  </dataValidations>
  <pageMargins left="0.5" right="0.5" top="0.75" bottom="0.7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مقایسه پروژه‌ها</vt:lpstr>
      <vt:lpstr>Dashboard</vt:lpstr>
      <vt:lpstr>نمودار ابنیه</vt:lpstr>
      <vt:lpstr>نمودار مکانیکی</vt:lpstr>
      <vt:lpstr>نمودار تاسیسات برقی</vt:lpstr>
      <vt:lpstr>نمودار خطوط انتقال </vt:lpstr>
      <vt:lpstr>نمودار شبکه توزیع آ</vt:lpstr>
      <vt:lpstr>نمودار سدسازی</vt:lpstr>
      <vt:lpstr>نمودار جمع‌آوری و ا</vt:lpstr>
      <vt:lpstr>نمودار تجهیزات آب و</vt:lpstr>
      <vt:lpstr>نمودار پست های انتق</vt:lpstr>
      <vt:lpstr>نمودار توزیع نیرو ب</vt:lpstr>
      <vt:lpstr>'مقایسه پروژه‌ها'!Print_Area</vt:lpstr>
      <vt:lpstr>'نمودار ابنیه'!Print_Titles</vt:lpstr>
      <vt:lpstr>'نمودار پست های انتق'!Print_Titles</vt:lpstr>
      <vt:lpstr>'نمودار تاسیسات برقی'!Print_Titles</vt:lpstr>
      <vt:lpstr>'نمودار تجهیزات آب و'!Print_Titles</vt:lpstr>
      <vt:lpstr>'نمودار توزیع نیرو ب'!Print_Titles</vt:lpstr>
      <vt:lpstr>'نمودار جمع‌آوری و ا'!Print_Titles</vt:lpstr>
      <vt:lpstr>'نمودار خطوط انتقال '!Print_Titles</vt:lpstr>
      <vt:lpstr>'نمودار سدسازی'!Print_Titles</vt:lpstr>
      <vt:lpstr>'نمودار شبکه توزیع آ'!Print_Titles</vt:lpstr>
      <vt:lpstr>'نمودار مکانیکی'!Print_Titles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 Tootoonchi</cp:lastModifiedBy>
  <cp:revision>2</cp:revision>
  <dcterms:created xsi:type="dcterms:W3CDTF">2025-11-30T16:17:37Z</dcterms:created>
  <dcterms:modified xsi:type="dcterms:W3CDTF">2025-12-06T15:05:06Z</dcterms:modified>
  <dc:language>en-US</dc:language>
</cp:coreProperties>
</file>