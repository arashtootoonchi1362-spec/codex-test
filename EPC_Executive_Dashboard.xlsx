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/>
  <xr:revisionPtr revIDLastSave="0" documentId="8_{D94562D0-5E2B-4BE3-87DB-CD77987AE11D}" xr6:coauthVersionLast="47" xr6:coauthVersionMax="47" xr10:uidLastSave="{00000000-0000-0000-0000-000000000000}"/>
  <bookViews>
    <workbookView xWindow="0" yWindow="0" windowWidth="16384" windowHeight="8192" tabRatio="500" activeTab="6" xr2:uid="{00000000-000D-0000-FFFF-FFFF00000000}"/>
  </bookViews>
  <sheets>
    <sheet name="Executive Command Center" sheetId="1" r:id="rId1"/>
    <sheet name="Trend Analysis" sheetId="2" r:id="rId2"/>
    <sheet name="Exchange Rate Analysis" sheetId="3" r:id="rId3"/>
    <sheet name="Heat Map" sheetId="4" r:id="rId4"/>
    <sheet name="YoY Comparison" sheetId="5" r:id="rId5"/>
    <sheet name="Benchmark Analysis" sheetId="6" r:id="rId6"/>
    <sheet name="Statistical Summary" sheetId="7" r:id="rId7"/>
    <sheet name="Equipment Database" sheetId="8" r:id="rId8"/>
    <sheet name="Documentation" sheetId="9" r:id="rId9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6" i="7" l="1"/>
  <c r="H36" i="7"/>
  <c r="G36" i="7"/>
  <c r="F36" i="7"/>
  <c r="E36" i="7"/>
  <c r="D36" i="7"/>
  <c r="C36" i="7"/>
  <c r="J36" i="7" s="1"/>
  <c r="I35" i="7"/>
  <c r="H35" i="7"/>
  <c r="G35" i="7"/>
  <c r="F35" i="7"/>
  <c r="E35" i="7"/>
  <c r="D35" i="7"/>
  <c r="C35" i="7"/>
  <c r="J35" i="7" s="1"/>
  <c r="I34" i="7"/>
  <c r="H34" i="7"/>
  <c r="G34" i="7"/>
  <c r="F34" i="7"/>
  <c r="E34" i="7"/>
  <c r="D34" i="7"/>
  <c r="C34" i="7"/>
  <c r="J34" i="7" s="1"/>
  <c r="I33" i="7"/>
  <c r="H33" i="7"/>
  <c r="G33" i="7"/>
  <c r="F33" i="7"/>
  <c r="E33" i="7"/>
  <c r="D33" i="7"/>
  <c r="C33" i="7"/>
  <c r="J33" i="7" s="1"/>
  <c r="I32" i="7"/>
  <c r="H32" i="7"/>
  <c r="G32" i="7"/>
  <c r="F32" i="7"/>
  <c r="E32" i="7"/>
  <c r="D32" i="7"/>
  <c r="C32" i="7"/>
  <c r="J32" i="7" s="1"/>
  <c r="I31" i="7"/>
  <c r="H31" i="7"/>
  <c r="G31" i="7"/>
  <c r="F31" i="7"/>
  <c r="E31" i="7"/>
  <c r="D31" i="7"/>
  <c r="C31" i="7"/>
  <c r="J31" i="7" s="1"/>
  <c r="I30" i="7"/>
  <c r="H30" i="7"/>
  <c r="G30" i="7"/>
  <c r="F30" i="7"/>
  <c r="E30" i="7"/>
  <c r="D30" i="7"/>
  <c r="C30" i="7"/>
  <c r="J30" i="7" s="1"/>
  <c r="I29" i="7"/>
  <c r="H29" i="7"/>
  <c r="G29" i="7"/>
  <c r="F29" i="7"/>
  <c r="E29" i="7"/>
  <c r="D29" i="7"/>
  <c r="C29" i="7"/>
  <c r="J29" i="7" s="1"/>
  <c r="I28" i="7"/>
  <c r="H28" i="7"/>
  <c r="G28" i="7"/>
  <c r="F28" i="7"/>
  <c r="E28" i="7"/>
  <c r="D28" i="7"/>
  <c r="C28" i="7"/>
  <c r="J28" i="7" s="1"/>
  <c r="I27" i="7"/>
  <c r="H27" i="7"/>
  <c r="G27" i="7"/>
  <c r="F27" i="7"/>
  <c r="E27" i="7"/>
  <c r="D27" i="7"/>
  <c r="C27" i="7"/>
  <c r="J27" i="7" s="1"/>
  <c r="I26" i="7"/>
  <c r="H26" i="7"/>
  <c r="G26" i="7"/>
  <c r="F26" i="7"/>
  <c r="E26" i="7"/>
  <c r="D26" i="7"/>
  <c r="C26" i="7"/>
  <c r="J26" i="7" s="1"/>
  <c r="I25" i="7"/>
  <c r="H25" i="7"/>
  <c r="G25" i="7"/>
  <c r="F25" i="7"/>
  <c r="E25" i="7"/>
  <c r="D25" i="7"/>
  <c r="C25" i="7"/>
  <c r="J25" i="7" s="1"/>
  <c r="I24" i="7"/>
  <c r="H24" i="7"/>
  <c r="G24" i="7"/>
  <c r="F24" i="7"/>
  <c r="E24" i="7"/>
  <c r="D24" i="7"/>
  <c r="C24" i="7"/>
  <c r="J24" i="7" s="1"/>
  <c r="I23" i="7"/>
  <c r="H23" i="7"/>
  <c r="G23" i="7"/>
  <c r="F23" i="7"/>
  <c r="E23" i="7"/>
  <c r="D23" i="7"/>
  <c r="C23" i="7"/>
  <c r="J23" i="7" s="1"/>
  <c r="I22" i="7"/>
  <c r="H22" i="7"/>
  <c r="G22" i="7"/>
  <c r="F22" i="7"/>
  <c r="E22" i="7"/>
  <c r="D22" i="7"/>
  <c r="C22" i="7"/>
  <c r="J22" i="7" s="1"/>
  <c r="I21" i="7"/>
  <c r="H21" i="7"/>
  <c r="G21" i="7"/>
  <c r="F21" i="7"/>
  <c r="E21" i="7"/>
  <c r="D21" i="7"/>
  <c r="C21" i="7"/>
  <c r="J21" i="7" s="1"/>
  <c r="I20" i="7"/>
  <c r="H20" i="7"/>
  <c r="G20" i="7"/>
  <c r="F20" i="7"/>
  <c r="E20" i="7"/>
  <c r="D20" i="7"/>
  <c r="C20" i="7"/>
  <c r="J20" i="7" s="1"/>
  <c r="I19" i="7"/>
  <c r="H19" i="7"/>
  <c r="G19" i="7"/>
  <c r="F19" i="7"/>
  <c r="E19" i="7"/>
  <c r="D19" i="7"/>
  <c r="C19" i="7"/>
  <c r="J19" i="7" s="1"/>
  <c r="I18" i="7"/>
  <c r="H18" i="7"/>
  <c r="G18" i="7"/>
  <c r="F18" i="7"/>
  <c r="E18" i="7"/>
  <c r="D18" i="7"/>
  <c r="C18" i="7"/>
  <c r="J18" i="7" s="1"/>
  <c r="I17" i="7"/>
  <c r="H17" i="7"/>
  <c r="G17" i="7"/>
  <c r="F17" i="7"/>
  <c r="E17" i="7"/>
  <c r="D17" i="7"/>
  <c r="C17" i="7"/>
  <c r="J17" i="7" s="1"/>
  <c r="I16" i="7"/>
  <c r="H16" i="7"/>
  <c r="G16" i="7"/>
  <c r="F16" i="7"/>
  <c r="E16" i="7"/>
  <c r="D16" i="7"/>
  <c r="C16" i="7"/>
  <c r="J16" i="7" s="1"/>
  <c r="I15" i="7"/>
  <c r="H15" i="7"/>
  <c r="G15" i="7"/>
  <c r="F15" i="7"/>
  <c r="E15" i="7"/>
  <c r="D15" i="7"/>
  <c r="C15" i="7"/>
  <c r="J15" i="7" s="1"/>
  <c r="I14" i="7"/>
  <c r="H14" i="7"/>
  <c r="G14" i="7"/>
  <c r="F14" i="7"/>
  <c r="E14" i="7"/>
  <c r="D14" i="7"/>
  <c r="C14" i="7"/>
  <c r="J14" i="7" s="1"/>
  <c r="I13" i="7"/>
  <c r="H13" i="7"/>
  <c r="G13" i="7"/>
  <c r="F13" i="7"/>
  <c r="E13" i="7"/>
  <c r="D13" i="7"/>
  <c r="C13" i="7"/>
  <c r="J13" i="7" s="1"/>
  <c r="I12" i="7"/>
  <c r="H12" i="7"/>
  <c r="G12" i="7"/>
  <c r="F12" i="7"/>
  <c r="E12" i="7"/>
  <c r="D12" i="7"/>
  <c r="C12" i="7"/>
  <c r="J12" i="7" s="1"/>
  <c r="I11" i="7"/>
  <c r="H11" i="7"/>
  <c r="G11" i="7"/>
  <c r="F11" i="7"/>
  <c r="E11" i="7"/>
  <c r="D11" i="7"/>
  <c r="C11" i="7"/>
  <c r="J11" i="7" s="1"/>
  <c r="I10" i="7"/>
  <c r="H10" i="7"/>
  <c r="G10" i="7"/>
  <c r="F10" i="7"/>
  <c r="E10" i="7"/>
  <c r="D10" i="7"/>
  <c r="C10" i="7"/>
  <c r="J10" i="7" s="1"/>
  <c r="I9" i="7"/>
  <c r="H9" i="7"/>
  <c r="G9" i="7"/>
  <c r="F9" i="7"/>
  <c r="E9" i="7"/>
  <c r="D9" i="7"/>
  <c r="C9" i="7"/>
  <c r="J9" i="7" s="1"/>
  <c r="I8" i="7"/>
  <c r="H8" i="7"/>
  <c r="G8" i="7"/>
  <c r="F8" i="7"/>
  <c r="E8" i="7"/>
  <c r="D8" i="7"/>
  <c r="C8" i="7"/>
  <c r="J8" i="7" s="1"/>
  <c r="I7" i="7"/>
  <c r="H7" i="7"/>
  <c r="G7" i="7"/>
  <c r="F7" i="7"/>
  <c r="E7" i="7"/>
  <c r="D7" i="7"/>
  <c r="C7" i="7"/>
  <c r="J7" i="7" s="1"/>
  <c r="I6" i="7"/>
  <c r="H6" i="7"/>
  <c r="G6" i="7"/>
  <c r="F6" i="7"/>
  <c r="E6" i="7"/>
  <c r="D6" i="7"/>
  <c r="C6" i="7"/>
  <c r="J6" i="7" s="1"/>
  <c r="I5" i="7"/>
  <c r="H5" i="7"/>
  <c r="G5" i="7"/>
  <c r="F5" i="7"/>
  <c r="E5" i="7"/>
  <c r="D5" i="7"/>
  <c r="C5" i="7"/>
  <c r="J5" i="7" s="1"/>
  <c r="G37" i="6"/>
  <c r="F37" i="6"/>
  <c r="G36" i="6"/>
  <c r="F36" i="6"/>
  <c r="G35" i="6"/>
  <c r="F35" i="6"/>
  <c r="G34" i="6"/>
  <c r="F34" i="6"/>
  <c r="G33" i="6"/>
  <c r="F33" i="6"/>
  <c r="G32" i="6"/>
  <c r="F32" i="6"/>
  <c r="G31" i="6"/>
  <c r="F31" i="6"/>
  <c r="G30" i="6"/>
  <c r="F30" i="6"/>
  <c r="G29" i="6"/>
  <c r="F29" i="6"/>
  <c r="G28" i="6"/>
  <c r="F28" i="6"/>
  <c r="G27" i="6"/>
  <c r="F27" i="6"/>
  <c r="G26" i="6"/>
  <c r="F26" i="6"/>
  <c r="G25" i="6"/>
  <c r="F25" i="6"/>
  <c r="G24" i="6"/>
  <c r="F24" i="6"/>
  <c r="G23" i="6"/>
  <c r="F23" i="6"/>
  <c r="G22" i="6"/>
  <c r="F22" i="6"/>
  <c r="G21" i="6"/>
  <c r="F21" i="6"/>
  <c r="G20" i="6"/>
  <c r="F20" i="6"/>
  <c r="G19" i="6"/>
  <c r="F19" i="6"/>
  <c r="G18" i="6"/>
  <c r="F18" i="6"/>
  <c r="G17" i="6"/>
  <c r="F17" i="6"/>
  <c r="G16" i="6"/>
  <c r="F16" i="6"/>
  <c r="G15" i="6"/>
  <c r="F15" i="6"/>
  <c r="G14" i="6"/>
  <c r="F14" i="6"/>
  <c r="G13" i="6"/>
  <c r="F13" i="6"/>
  <c r="G12" i="6"/>
  <c r="F12" i="6"/>
  <c r="G11" i="6"/>
  <c r="F11" i="6"/>
  <c r="G10" i="6"/>
  <c r="F10" i="6"/>
  <c r="G9" i="6"/>
  <c r="F9" i="6"/>
  <c r="G8" i="6"/>
  <c r="F8" i="6"/>
  <c r="G7" i="6"/>
  <c r="F7" i="6"/>
  <c r="G6" i="6"/>
  <c r="F6" i="6"/>
  <c r="I36" i="5"/>
  <c r="H36" i="5"/>
  <c r="I35" i="5"/>
  <c r="H35" i="5"/>
  <c r="I34" i="5"/>
  <c r="H34" i="5"/>
  <c r="I33" i="5"/>
  <c r="H33" i="5"/>
  <c r="I32" i="5"/>
  <c r="H32" i="5"/>
  <c r="I31" i="5"/>
  <c r="H31" i="5"/>
  <c r="I30" i="5"/>
  <c r="H30" i="5"/>
  <c r="I29" i="5"/>
  <c r="H29" i="5"/>
  <c r="I28" i="5"/>
  <c r="H28" i="5"/>
  <c r="I27" i="5"/>
  <c r="H27" i="5"/>
  <c r="I26" i="5"/>
  <c r="H26" i="5"/>
  <c r="I25" i="5"/>
  <c r="H25" i="5"/>
  <c r="I24" i="5"/>
  <c r="H24" i="5"/>
  <c r="I23" i="5"/>
  <c r="H23" i="5"/>
  <c r="I22" i="5"/>
  <c r="H22" i="5"/>
  <c r="I21" i="5"/>
  <c r="H21" i="5"/>
  <c r="I20" i="5"/>
  <c r="H20" i="5"/>
  <c r="I19" i="5"/>
  <c r="H19" i="5"/>
  <c r="I18" i="5"/>
  <c r="H18" i="5"/>
  <c r="I17" i="5"/>
  <c r="H17" i="5"/>
  <c r="I16" i="5"/>
  <c r="H16" i="5"/>
  <c r="I15" i="5"/>
  <c r="H15" i="5"/>
  <c r="I14" i="5"/>
  <c r="H14" i="5"/>
  <c r="I13" i="5"/>
  <c r="H13" i="5"/>
  <c r="I12" i="5"/>
  <c r="H12" i="5"/>
  <c r="I11" i="5"/>
  <c r="H11" i="5"/>
  <c r="I10" i="5"/>
  <c r="H10" i="5"/>
  <c r="I9" i="5"/>
  <c r="H9" i="5"/>
  <c r="I8" i="5"/>
  <c r="H8" i="5"/>
  <c r="I7" i="5"/>
  <c r="H7" i="5"/>
  <c r="I6" i="5"/>
  <c r="H6" i="5"/>
  <c r="I5" i="5"/>
  <c r="H5" i="5"/>
  <c r="G33" i="3"/>
  <c r="G32" i="3"/>
  <c r="G31" i="3"/>
  <c r="G30" i="3"/>
  <c r="G29" i="3"/>
  <c r="G28" i="3"/>
  <c r="G27" i="3"/>
  <c r="G26" i="3"/>
  <c r="G25" i="3"/>
  <c r="G24" i="3"/>
  <c r="G23" i="3"/>
  <c r="G22" i="3"/>
  <c r="G21" i="3"/>
  <c r="G20" i="3"/>
  <c r="G19" i="3"/>
  <c r="G18" i="3"/>
  <c r="G17" i="3"/>
  <c r="G16" i="3"/>
  <c r="G15" i="3"/>
  <c r="G14" i="3"/>
  <c r="G13" i="3"/>
  <c r="G12" i="3"/>
  <c r="G11" i="3"/>
  <c r="G10" i="3"/>
  <c r="G9" i="3"/>
</calcChain>
</file>

<file path=xl/sharedStrings.xml><?xml version="1.0" encoding="utf-8"?>
<sst xmlns="http://schemas.openxmlformats.org/spreadsheetml/2006/main" count="804" uniqueCount="365">
  <si>
    <t>EPC Consolidated Price Index System</t>
  </si>
  <si>
    <t>Executive Command Center | سیستم یکپارچه مدیریت شاخص‌های قیمت EPC</t>
  </si>
  <si>
    <t>Generated: 2025-12-13 14:58 | Data: 1399-Q4 to 1403-Q4</t>
  </si>
  <si>
    <t>KEY PERFORMANCE INDICATORS</t>
  </si>
  <si>
    <t>32</t>
  </si>
  <si>
    <t>20</t>
  </si>
  <si>
    <t>+215%</t>
  </si>
  <si>
    <t>3</t>
  </si>
  <si>
    <t>Equipment Categories</t>
  </si>
  <si>
    <t>Time Periods</t>
  </si>
  <si>
    <t>Avg Index Growth</t>
  </si>
  <si>
    <t>Data Sources</t>
  </si>
  <si>
    <t>TOP 5 GROWTH INDICES</t>
  </si>
  <si>
    <t>BOTTOM 5 GROWTH INDICES</t>
  </si>
  <si>
    <t>Rank</t>
  </si>
  <si>
    <t>Ch#</t>
  </si>
  <si>
    <t>Description</t>
  </si>
  <si>
    <t>Growth</t>
  </si>
  <si>
    <t>گند زدایی</t>
  </si>
  <si>
    <t>+359.5%</t>
  </si>
  <si>
    <t>آبگیری لجن</t>
  </si>
  <si>
    <t>+169.2%</t>
  </si>
  <si>
    <t>همزن ها</t>
  </si>
  <si>
    <t>+332.8%</t>
  </si>
  <si>
    <t xml:space="preserve">لوله ها و اتصالات </t>
  </si>
  <si>
    <t>+156.7%</t>
  </si>
  <si>
    <t>دیگ حرارتی آب گرم</t>
  </si>
  <si>
    <t>+325.6%</t>
  </si>
  <si>
    <t>+134.2%</t>
  </si>
  <si>
    <t>آشغال گیر</t>
  </si>
  <si>
    <t>+318.7%</t>
  </si>
  <si>
    <t>+128.0%</t>
  </si>
  <si>
    <t xml:space="preserve">شیرآلات و متعلقات </t>
  </si>
  <si>
    <t>+310.8%</t>
  </si>
  <si>
    <t xml:space="preserve">تجهیزات ابزاردقیق </t>
  </si>
  <si>
    <t>+86.3%</t>
  </si>
  <si>
    <t>EPC Price Index Trend Analysis | تحلیل روند شاخص‌های قیمت</t>
  </si>
  <si>
    <t>Base Period: Q4-1399 (Index = 3000)</t>
  </si>
  <si>
    <t>شماره فصل</t>
  </si>
  <si>
    <t>شرح</t>
  </si>
  <si>
    <t>سه ماهه چهارم 99</t>
  </si>
  <si>
    <t>1400-1</t>
  </si>
  <si>
    <t>1400-2</t>
  </si>
  <si>
    <t>1400-3</t>
  </si>
  <si>
    <t>1400-4</t>
  </si>
  <si>
    <t>1401-1</t>
  </si>
  <si>
    <t>1401-2</t>
  </si>
  <si>
    <t>1401-3</t>
  </si>
  <si>
    <t>1401-دی</t>
  </si>
  <si>
    <t>1401-بهمن</t>
  </si>
  <si>
    <t>1401-اسفند</t>
  </si>
  <si>
    <t>1402-1</t>
  </si>
  <si>
    <t>1402-2</t>
  </si>
  <si>
    <t>1402-3</t>
  </si>
  <si>
    <t>1402-4</t>
  </si>
  <si>
    <t>1403-1</t>
  </si>
  <si>
    <t>1403-2</t>
  </si>
  <si>
    <t>1403-3</t>
  </si>
  <si>
    <t>1403-دی</t>
  </si>
  <si>
    <t>1403-بهمن</t>
  </si>
  <si>
    <t>1403-اسفند</t>
  </si>
  <si>
    <t>رشد کل (%)</t>
  </si>
  <si>
    <t>میانگین 4 ساله</t>
  </si>
  <si>
    <t>انحراف معیار</t>
  </si>
  <si>
    <t>ضریب تغییرات</t>
  </si>
  <si>
    <t>پمپ ها</t>
  </si>
  <si>
    <t>بلوئرها و کمپرسورها</t>
  </si>
  <si>
    <t>دیفیوزرها</t>
  </si>
  <si>
    <t>تجهیزات فرآوری گاز</t>
  </si>
  <si>
    <t>مبدل‌های حرارتی</t>
  </si>
  <si>
    <t>مشعل‌ ها</t>
  </si>
  <si>
    <t>جرثقیل‌ ها</t>
  </si>
  <si>
    <t>الکتروموتورها</t>
  </si>
  <si>
    <t>خنثی سازی و حذف بو</t>
  </si>
  <si>
    <t>لوله ها و اتصالات و متعلقات فولادی</t>
  </si>
  <si>
    <t>لوله ها و اتصالات و متعلقات استیل</t>
  </si>
  <si>
    <t>لوله ها و اتصالات و متعلقات چدنی نشکن</t>
  </si>
  <si>
    <t>لوله ها و اتصالات و متعلقات پلی اتیلن</t>
  </si>
  <si>
    <t>لوله ها و اتصالات فایبرگلاس</t>
  </si>
  <si>
    <t>لوله ها و اتصالات و متعلقات پلی‌پروپیلن و پی وی سخت</t>
  </si>
  <si>
    <t>شیرآلات و متعلقات فلزی</t>
  </si>
  <si>
    <t>شیرآلات و متعلقات پلاستیکی</t>
  </si>
  <si>
    <t>کارهای فلزی</t>
  </si>
  <si>
    <t>مواد شیمیایی</t>
  </si>
  <si>
    <t>عملگرها</t>
  </si>
  <si>
    <t>غشاها</t>
  </si>
  <si>
    <t>غلاف غشا</t>
  </si>
  <si>
    <t>فیلتر کارتریج</t>
  </si>
  <si>
    <t>تجهیزات ابزار دقیق اندازه گیری سطح یا فشار</t>
  </si>
  <si>
    <t>تجهیزات ابزاردقیق اندازه گیری دبی</t>
  </si>
  <si>
    <t>آنالایزرها</t>
  </si>
  <si>
    <t>کارهای دستمزدی</t>
  </si>
  <si>
    <t>شاخص رشته تجهیزات آب و فاضلاب</t>
  </si>
  <si>
    <t>Euro Exchange Rate Analysis | تحلیل نرخ ارز یورو</t>
  </si>
  <si>
    <t>Quarterly Summary: 1397-Q3 to 1404-Q3 (IRR/EUR)</t>
  </si>
  <si>
    <t>Period</t>
  </si>
  <si>
    <t>Avg Rate</t>
  </si>
  <si>
    <t>Min</t>
  </si>
  <si>
    <t>Max</t>
  </si>
  <si>
    <t>Std Dev</t>
  </si>
  <si>
    <t>Days</t>
  </si>
  <si>
    <t>YoY Chg</t>
  </si>
  <si>
    <t>1397-Q3</t>
  </si>
  <si>
    <t>1397-Q4</t>
  </si>
  <si>
    <t>1398-Q1</t>
  </si>
  <si>
    <t>1398-Q2</t>
  </si>
  <si>
    <t>1398-Q3</t>
  </si>
  <si>
    <t>1398-Q4</t>
  </si>
  <si>
    <t>1399-Q1</t>
  </si>
  <si>
    <t>1399-Q2</t>
  </si>
  <si>
    <t>1399-Q3</t>
  </si>
  <si>
    <t>1399-Q4</t>
  </si>
  <si>
    <t>1400-Q1</t>
  </si>
  <si>
    <t>1400-Q2</t>
  </si>
  <si>
    <t>1400-Q3</t>
  </si>
  <si>
    <t>1400-Q4</t>
  </si>
  <si>
    <t>1401-Q1</t>
  </si>
  <si>
    <t>1401-Q2</t>
  </si>
  <si>
    <t>1401-Q3</t>
  </si>
  <si>
    <t>1401-Q4</t>
  </si>
  <si>
    <t>1402-Q1</t>
  </si>
  <si>
    <t>1402-Q2</t>
  </si>
  <si>
    <t>1402-Q3</t>
  </si>
  <si>
    <t>1402-Q4</t>
  </si>
  <si>
    <t>1403-Q1</t>
  </si>
  <si>
    <t>1403-Q2</t>
  </si>
  <si>
    <t>1403-Q3</t>
  </si>
  <si>
    <t>1403-Q4</t>
  </si>
  <si>
    <t>1404-Q1</t>
  </si>
  <si>
    <t>1404-Q2</t>
  </si>
  <si>
    <t>1404-Q3</t>
  </si>
  <si>
    <t>Price Index Heat Map | نقشه حرارتی شاخص‌ها</t>
  </si>
  <si>
    <t>Green=Base(3000) → Yellow=2x → Red=4x escalation</t>
  </si>
  <si>
    <t>Year-over-Year Comparison | مقایسه سالانه</t>
  </si>
  <si>
    <t>End-of-year index values with CAGR</t>
  </si>
  <si>
    <t>#</t>
  </si>
  <si>
    <t>Equipment</t>
  </si>
  <si>
    <t>1399</t>
  </si>
  <si>
    <t>1400</t>
  </si>
  <si>
    <t>1401</t>
  </si>
  <si>
    <t>1402</t>
  </si>
  <si>
    <t>1403</t>
  </si>
  <si>
    <t>Total</t>
  </si>
  <si>
    <t>CAGR</t>
  </si>
  <si>
    <t>Benchmark Analysis | تحلیل معیار</t>
  </si>
  <si>
    <t>Equipment indices with risk assessment</t>
  </si>
  <si>
    <t>RISK ASSESSMENT MATRIX</t>
  </si>
  <si>
    <t>Category</t>
  </si>
  <si>
    <t>Base</t>
  </si>
  <si>
    <t>Current</t>
  </si>
  <si>
    <t>StdDev</t>
  </si>
  <si>
    <t>Risk</t>
  </si>
  <si>
    <t>MEDIUM</t>
  </si>
  <si>
    <t>HIGH</t>
  </si>
  <si>
    <t>LOW</t>
  </si>
  <si>
    <t>Statistical Summary | خلاصه آماری</t>
  </si>
  <si>
    <t>Comprehensive statistical measures</t>
  </si>
  <si>
    <t>Mean</t>
  </si>
  <si>
    <t>Median</t>
  </si>
  <si>
    <t>Range</t>
  </si>
  <si>
    <t>Skew</t>
  </si>
  <si>
    <t>CV%</t>
  </si>
  <si>
    <t>Equipment Database | پایگاه داده تجهیزات</t>
  </si>
  <si>
    <t>123+ equipment items with chapter classifications</t>
  </si>
  <si>
    <t>ردیف</t>
  </si>
  <si>
    <t>شرح تجهیز</t>
  </si>
  <si>
    <t>فصل اصلی</t>
  </si>
  <si>
    <t>شرح فصل اصلی</t>
  </si>
  <si>
    <t>فصل فرعی 1</t>
  </si>
  <si>
    <t>شرح فصل فرعی 1</t>
  </si>
  <si>
    <t>فصل فرعی 2</t>
  </si>
  <si>
    <t>شرح فصل فرعی 2</t>
  </si>
  <si>
    <t>توضیحات</t>
  </si>
  <si>
    <t>پمپ های سانتریفوژ</t>
  </si>
  <si>
    <t>مستقیماً به فصل پمپ‌ها</t>
  </si>
  <si>
    <t>پمپ های مستغرق</t>
  </si>
  <si>
    <t>پمپ های ارشمیدس (اسکروپمپ)</t>
  </si>
  <si>
    <t>دریچه دستی فولادی با پوشش</t>
  </si>
  <si>
    <t>شیرآلات فلزی</t>
  </si>
  <si>
    <t>دریچه فولادی با پوشش مجهز به محرک برقی و یا بادی</t>
  </si>
  <si>
    <t>شیرآلات فلزی + عملگرها</t>
  </si>
  <si>
    <t>دریچه فولاد ضد زنگ دستی</t>
  </si>
  <si>
    <t>دریچه فولادی ضد زنگ با محرک برقی و یا بادی</t>
  </si>
  <si>
    <t>آشغالگیر دستی فولادی با پوشش</t>
  </si>
  <si>
    <t>مستقیماً به فصل آشغال گیر</t>
  </si>
  <si>
    <t>آشغالگیر دستی فولاد ضد زنگ</t>
  </si>
  <si>
    <t>سبد آشغالگیری فولادی با پوشش</t>
  </si>
  <si>
    <t>سبد آشغالگیر فولاد ضد زنگ</t>
  </si>
  <si>
    <t>آشغالگیر مکانیکی - فولادی با پوشش</t>
  </si>
  <si>
    <t>آشغال گیر + الکتروموتور</t>
  </si>
  <si>
    <t>آشغالگیر مکانیکی فولاد ضد زنگ</t>
  </si>
  <si>
    <t>نقاله های حلزونی، فشرده سازی آشغال، کلاسیفایر- فولاد گالوانیزه</t>
  </si>
  <si>
    <t>کارهای فلزی + الکتروموتور</t>
  </si>
  <si>
    <t>نقاله های حلزونی، فشرده سازی آشغال، کلاسیفایر- فولاد ضد زنگ</t>
  </si>
  <si>
    <t>تسمه نقاله، سازه فولادی، تسمه نقاله با سازه فولاد پوشش دار</t>
  </si>
  <si>
    <t>تسمه نقاله، سازه فولادی، تسمه نقاله با سازه فولاد ضد زنگ</t>
  </si>
  <si>
    <t>کانتینر و ترولی حمل دانه و آشغال - فولادی با پوشش</t>
  </si>
  <si>
    <t>کانیتر و ترولی حمل دانه و آشغال - فولاد ضد زنگ</t>
  </si>
  <si>
    <t>ترولی آشغال - پلی اتیلن</t>
  </si>
  <si>
    <t>لوله های پلی‌پروپیلن</t>
  </si>
  <si>
    <t>محصولات پلیمری</t>
  </si>
  <si>
    <t>جرثقیل دستی 4 حرکته مونوریل</t>
  </si>
  <si>
    <t>مستقیماً به فصل جرثقیل‌ها</t>
  </si>
  <si>
    <t>جرثقیل برقی 4 حرکته مونوریل</t>
  </si>
  <si>
    <t>جرثقیل + الکتروموتور</t>
  </si>
  <si>
    <t>جرثقیل برقی 6 حرکته</t>
  </si>
  <si>
    <t>لجن روب ها، دانه روب تمام فولادی پوشش دار</t>
  </si>
  <si>
    <t>لجن روب ها، دانه روب ها بخش مستغرق از فولاد ضد زنگ</t>
  </si>
  <si>
    <t>لجن روب چرخ زنجیری</t>
  </si>
  <si>
    <t>کانال پارشال فلوم فولادی پوشش دار</t>
  </si>
  <si>
    <t>کانال پارشال فلوم فایبرگلاس</t>
  </si>
  <si>
    <t>لوله های فایبرگلاس</t>
  </si>
  <si>
    <t>لوله و اتصالات فایبرگلاس</t>
  </si>
  <si>
    <t>کانال پارشال فلوم فولاد ضد زنگ</t>
  </si>
  <si>
    <t>کارهای فلزی (استیل)</t>
  </si>
  <si>
    <t>صفحات سرریز و مانع کف، سبد جمع آوری کف فولادی پوشش دار</t>
  </si>
  <si>
    <t>صفحات سرریز و مانع کف، سبد جمع آوری کف فولاد ضد زنگ</t>
  </si>
  <si>
    <t>صفحات سرریز و مانع کف آلومینیوم</t>
  </si>
  <si>
    <t>صفحات سرریز و مانع کف پلیمری</t>
  </si>
  <si>
    <t>پمپ ایرلیفت فولادی پوشش دار</t>
  </si>
  <si>
    <t>پمپ‌ها</t>
  </si>
  <si>
    <t>پمپ ایرلیفت فولاد ضد زنگ</t>
  </si>
  <si>
    <t>شیر تلسکوپی دستی - فولادی پوشش دار</t>
  </si>
  <si>
    <t>شیر تلسکوپی با محرک برقی - فولادی پوشش دار</t>
  </si>
  <si>
    <t>شیرآلات فلزی + عملگر</t>
  </si>
  <si>
    <t>شیر تلسکوپی دستی - فولاد ضد زنگ</t>
  </si>
  <si>
    <t>شیر تلسکوپی با محرک برقی - فولاد ضد زنگ</t>
  </si>
  <si>
    <t>دکانتر اس بی آر از جنس فولاد ضد زنگ</t>
  </si>
  <si>
    <t>آبگیری لجن + الکتروموتور</t>
  </si>
  <si>
    <t>همزن استاتیکی فولادی پوشش دار</t>
  </si>
  <si>
    <t>همزن‌ها</t>
  </si>
  <si>
    <t>همزن استاتیکی پلیمری</t>
  </si>
  <si>
    <t>همزن استاتیکی فولاد ضد زنگ</t>
  </si>
  <si>
    <t>همزن پروانه ای فولادی با پوشش</t>
  </si>
  <si>
    <t>همزن‌ها + الکتروموتور</t>
  </si>
  <si>
    <t>همزن پروانه ای فولاد ضد زنگ</t>
  </si>
  <si>
    <t>همزن پارویی فولادی با پوشش</t>
  </si>
  <si>
    <t>همزن پارویی فولاد ضد زنگ</t>
  </si>
  <si>
    <t>همزن پارویی شفت فولاد ضد زنگ و پره های پلیمری و یا چوبی</t>
  </si>
  <si>
    <t>همزن های مستغرق با پروانه فولاد ضد زنگ</t>
  </si>
  <si>
    <t>پکیج آماده سازی مواد شیمیایی با سازه فولادی - مخزن پلیمری - همزن فولاد ضد زنگ</t>
  </si>
  <si>
    <t>مواد شیمیایی + همزن + کارهای فلزی</t>
  </si>
  <si>
    <t>پکیج آماده سازی مواد شیمیایی - تمام فولاد ضد زنگ</t>
  </si>
  <si>
    <t>سیلوها و مخازن و برجهای فولادی پوشش دار</t>
  </si>
  <si>
    <t>سیلوها و مخازن و برجهای پلیمری</t>
  </si>
  <si>
    <t>سیلوها و مخازن و برجهای فولاد ضد زنگ</t>
  </si>
  <si>
    <t>هواده سطحی دور کند، نصب ثابت فولادی پوشش دار</t>
  </si>
  <si>
    <t>بلوئر + الکتروموتور</t>
  </si>
  <si>
    <t>هواده سطحی دور کند نصب شناور - فولادی پوشش دار</t>
  </si>
  <si>
    <t>بلوئر + الکتروموتور + کارهای فلزی</t>
  </si>
  <si>
    <t>هواده سطحی دور تند نصب ثابت</t>
  </si>
  <si>
    <t>هواده سطحی دور تند با شناور فولاد ضد زنگ</t>
  </si>
  <si>
    <t>بلوئرهای جابجایی مثبت بدون پوشش اکوستیک</t>
  </si>
  <si>
    <t>بلوئرهای جابجایی مثبت با پوشش اکوستیک</t>
  </si>
  <si>
    <t>بلوئرهای توربو با بیرینگ هوایی یا مگنتی</t>
  </si>
  <si>
    <t>بلوئرهای توربو سانتریفوژ</t>
  </si>
  <si>
    <t>کمپرسور همراه با مخزن ذخیره</t>
  </si>
  <si>
    <t>کمپرسور + مخزن فلزی</t>
  </si>
  <si>
    <t>دیفیوزر حباب درشت - پلیمری</t>
  </si>
  <si>
    <t>دیفیوزر حباب درشت فولاد ضد زنگ</t>
  </si>
  <si>
    <t>دیفیوزر حباب ریز</t>
  </si>
  <si>
    <t>لوله های فولاد ضد زنگ</t>
  </si>
  <si>
    <t>لوله های استیل</t>
  </si>
  <si>
    <t>لوله استیل</t>
  </si>
  <si>
    <t>لوله های فولادی با پوشش</t>
  </si>
  <si>
    <t>لوله های فولادی</t>
  </si>
  <si>
    <t>لوله فولادی</t>
  </si>
  <si>
    <t>لوله های پلیمری</t>
  </si>
  <si>
    <t>لوله های پلی اتیلن</t>
  </si>
  <si>
    <t>لوله پلی‌اتیلن (نزدیکترین)</t>
  </si>
  <si>
    <t>لوله فایبرگلاس</t>
  </si>
  <si>
    <t>لوله های مسی</t>
  </si>
  <si>
    <t>لوله فلزی (فولادی نزدیکترین)</t>
  </si>
  <si>
    <t>فیدرهای تزریق مواد شیمیایی از نوع دیافراگمی</t>
  </si>
  <si>
    <t>پمپ + مواد شیمیایی</t>
  </si>
  <si>
    <t>فیدرهای تزریق مواد شیمیایی از نوع سانتریفوژ</t>
  </si>
  <si>
    <t>شیرآلات و اتصالات پلیمری</t>
  </si>
  <si>
    <t>شیرآلات پلاستیکی</t>
  </si>
  <si>
    <t>شیرآلات چدنی و فولادی با عملگر دستی</t>
  </si>
  <si>
    <t>شیرآلات چدنی و فولادی با عملگر برقی یا بادی</t>
  </si>
  <si>
    <t>روتامتر - منبع انبساط - شیراطمینان و دمپرهای نوسان گیر فیدرهای تزریق</t>
  </si>
  <si>
    <t>ابزار دقیق سطح/فشار</t>
  </si>
  <si>
    <t>ابزار دقیق سطح/فشار + شیرآلات</t>
  </si>
  <si>
    <t>پمپ های تزریق از نوع جابجایی مثبت</t>
  </si>
  <si>
    <t>مدیا پلاستیکی و صفحات و ورقهای پلیمری</t>
  </si>
  <si>
    <t>تجهیزات کلرزنی، تزریق کننده گاز، رگولاتور خلاء، انژکتور، تراپ مایع، تعویض کننده</t>
  </si>
  <si>
    <t>گندزدایی + مواد شیمیایی</t>
  </si>
  <si>
    <t>مخازن کلر و نیتروژن</t>
  </si>
  <si>
    <t>اسکرابر خنثی سازی گاز کلر</t>
  </si>
  <si>
    <t>خنثی‌سازی بو + مواد شیمیایی</t>
  </si>
  <si>
    <t>اواپراتور کلر</t>
  </si>
  <si>
    <t>گندزدایی</t>
  </si>
  <si>
    <t>ژنراتور الکترولیز نمک طعام</t>
  </si>
  <si>
    <t>ژنراتور ازن</t>
  </si>
  <si>
    <t>پکیج ضد عفونی توسط اشعه ماوراء بنفش</t>
  </si>
  <si>
    <t>دوش و چشم شور</t>
  </si>
  <si>
    <t>لوازم حفاظت فردی</t>
  </si>
  <si>
    <t>آبگیری لجن نوع فیلترپرس</t>
  </si>
  <si>
    <t>آبگیری لجن نوع بلت فیلتر پرس</t>
  </si>
  <si>
    <t>آبگیری لجن نوع سانتریفوژ</t>
  </si>
  <si>
    <t>آبگیری لجن نوع اسکروپرس</t>
  </si>
  <si>
    <t>تغلیظ لجن نوع بلت</t>
  </si>
  <si>
    <t>نازل فیلتر</t>
  </si>
  <si>
    <t>شن سیلیسی</t>
  </si>
  <si>
    <t>آنتراسیت</t>
  </si>
  <si>
    <t>رزین آنیونی ، کاتیونی</t>
  </si>
  <si>
    <t>سیفون و پارشالیزیشن باکس</t>
  </si>
  <si>
    <t>محصولات پلیمری/پلاستیکی</t>
  </si>
  <si>
    <t>فیلتر شنی، فیلتر سرامیکی، دریچه بازدید، پنجره بازدید، تراپ گاز، تراپ کف، شعله گیر</t>
  </si>
  <si>
    <t>کارهای فلزی + شیرآلات</t>
  </si>
  <si>
    <t>دیگ آبگرم</t>
  </si>
  <si>
    <t>مبدل حرارتی نوع فولاد ضد زنگ</t>
  </si>
  <si>
    <t>مشعل دو گانه سوز دیگ</t>
  </si>
  <si>
    <t>مشعل‌ها</t>
  </si>
  <si>
    <t>مخزن نگهداری بیوگاز</t>
  </si>
  <si>
    <t>مشعل بیوگاز</t>
  </si>
  <si>
    <t>پکیج سولفور زدایی</t>
  </si>
  <si>
    <t>فرآوری گاز + مواد شیمیایی</t>
  </si>
  <si>
    <t>پکیج CHP</t>
  </si>
  <si>
    <t>فرآوری گاز + الکتروموتور</t>
  </si>
  <si>
    <t>میکرواسترینر</t>
  </si>
  <si>
    <t>آشغال‌گیر</t>
  </si>
  <si>
    <t>میکروفیلتر</t>
  </si>
  <si>
    <t>ممبران RO, NF,UF</t>
  </si>
  <si>
    <t>پکیج MBR</t>
  </si>
  <si>
    <t>غشاها + غلاف غشا</t>
  </si>
  <si>
    <t>آنالایزرهای کمی و کیفی فاضلاب</t>
  </si>
  <si>
    <t>پکیج حذف بو</t>
  </si>
  <si>
    <t>خنثی‌سازی و حذف بو</t>
  </si>
  <si>
    <t>فن سانتریفوژ - ساید چنل - دمپر</t>
  </si>
  <si>
    <t>بلوئرها</t>
  </si>
  <si>
    <t>تجهیزات آزمایشگاهی - شیشه آلات شیمیایی</t>
  </si>
  <si>
    <t>کابینت آزمایشگاهی</t>
  </si>
  <si>
    <t>ابزارآلات مکانیکی</t>
  </si>
  <si>
    <t>ابزار دقیق</t>
  </si>
  <si>
    <t>ابزارآلات برقی</t>
  </si>
  <si>
    <t>ماشین آلات بهره برداری</t>
  </si>
  <si>
    <t>جرثقیل (تجهیزات مکانیکی)</t>
  </si>
  <si>
    <t>قطعات مدفون در بتن فولادی پوشش دار</t>
  </si>
  <si>
    <t>قطعات مدفون در بتن فولاد ضد زنگ</t>
  </si>
  <si>
    <t>قطعات مدفون در بتن پلیمری</t>
  </si>
  <si>
    <t>🔎 جستجوی سریع تجهیز</t>
  </si>
  <si>
    <t>نام تجهیز:</t>
  </si>
  <si>
    <t>فصل اصلی:</t>
  </si>
  <si>
    <t>EPC Price Index System - Documentation</t>
  </si>
  <si>
    <t>SYSTEM OVERVIEW</t>
  </si>
  <si>
    <t>Consolidates EPC price indices for capital project planning.</t>
  </si>
  <si>
    <t>Data Sources: Equipment indices, Exchange rates, Equipment classifications</t>
  </si>
  <si>
    <t>SHEET GUIDE</t>
  </si>
  <si>
    <t>Executive Command Center - KPIs and navigation</t>
  </si>
  <si>
    <t>Trend Analysis - Full time-series data</t>
  </si>
  <si>
    <t>Exchange Rate Analysis - Currency tracking</t>
  </si>
  <si>
    <t>Heat Map - Visual intensity analysis</t>
  </si>
  <si>
    <t>YoY Comparison - Annual growth with CAGR</t>
  </si>
  <si>
    <t>Benchmark Analysis - Risk assessment</t>
  </si>
  <si>
    <t>Statistical Summary - Statistical measures</t>
  </si>
  <si>
    <t>Equipment Database - Classification reference</t>
  </si>
  <si>
    <t>FORMULAS</t>
  </si>
  <si>
    <t>CAGR: =POWER(End/Start, 1/Years) - 1</t>
  </si>
  <si>
    <t>YoY Change: =(Current - Prior) / Prior</t>
  </si>
  <si>
    <t>CV%: =STDEV(Range) / AVERAGE(Range) × 100</t>
  </si>
  <si>
    <t>COLOR CODING</t>
  </si>
  <si>
    <t>GREEN: Low risk / Below average growth</t>
  </si>
  <si>
    <t>YELLOW: Medium risk / Average growth</t>
  </si>
  <si>
    <t>RED: High risk / Above average growth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</si>
</sst>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"/>
    <numFmt numFmtId="165" formatCode="\+0.0%;\-0.0%"/>
    <numFmt numFmtId="166" formatCode="0.0%"/>
  </numFmts>
  <fonts count="11">
    <font>
      <sz val="11"/>
      <color theme="1"/>
      <name val="Calibri"/>
      <family val="2"/>
      <charset val="1"/>
    </font>
    <font>
      <b/>
      <sz val="24"/>
      <color rgb="FF1B365D"/>
      <name val="Segoe UI"/>
      <charset val="1"/>
    </font>
    <font>
      <sz val="14"/>
      <color rgb="FF5A5A5A"/>
      <name val="Segoe UI"/>
      <charset val="1"/>
    </font>
    <font>
      <i/>
      <sz val="9"/>
      <color rgb="FF5A5A5A"/>
      <name val="Segoe UI"/>
      <charset val="1"/>
    </font>
    <font>
      <b/>
      <sz val="12"/>
      <color rgb="FF1B365D"/>
      <name val="Segoe UI"/>
      <charset val="1"/>
    </font>
    <font>
      <b/>
      <sz val="28"/>
      <color rgb="FF1B365D"/>
      <name val="Segoe UI"/>
      <charset val="1"/>
    </font>
    <font>
      <sz val="10"/>
      <color rgb="FF5A5A5A"/>
      <name val="Segoe UI"/>
      <charset val="1"/>
    </font>
    <font>
      <b/>
      <sz val="11"/>
      <color rgb="FFFFFFFF"/>
      <name val="Segoe UI"/>
      <charset val="1"/>
    </font>
    <font>
      <sz val="10"/>
      <color rgb="FF2F2F2F"/>
      <name val="Segoe UI"/>
      <charset val="1"/>
    </font>
    <font>
      <b/>
      <sz val="12"/>
      <color rgb="FFFFFFFF"/>
      <name val="Segoe UI"/>
      <charset val="1"/>
    </font>
    <font>
      <b/>
      <sz val="14"/>
      <color rgb="FF1B365D"/>
      <name val="Segoe UI"/>
      <charset val="1"/>
    </font>
  </fonts>
  <fills count="11">
    <fill>
      <patternFill patternType="none"/>
    </fill>
    <fill>
      <patternFill patternType="gray125"/>
    </fill>
    <fill>
      <patternFill patternType="solid">
        <fgColor rgb="FFE8F4FD"/>
        <bgColor rgb="FFF8FAFC"/>
      </patternFill>
    </fill>
    <fill>
      <patternFill patternType="solid">
        <fgColor rgb="FF228B22"/>
        <bgColor rgb="FF339966"/>
      </patternFill>
    </fill>
    <fill>
      <patternFill patternType="solid">
        <fgColor rgb="FF008B8B"/>
        <bgColor rgb="FF008080"/>
      </patternFill>
    </fill>
    <fill>
      <patternFill patternType="solid">
        <fgColor rgb="FF1B365D"/>
        <bgColor rgb="FF2F2F2F"/>
      </patternFill>
    </fill>
    <fill>
      <patternFill patternType="solid">
        <fgColor rgb="FFF8FAFC"/>
        <bgColor rgb="FFFFFFFF"/>
      </patternFill>
    </fill>
    <fill>
      <patternFill patternType="solid">
        <fgColor rgb="FF4A90D9"/>
        <bgColor rgb="FF339966"/>
      </patternFill>
    </fill>
    <fill>
      <patternFill patternType="solid">
        <fgColor rgb="FFFFFFCC"/>
        <bgColor rgb="FFF8FAFC"/>
      </patternFill>
    </fill>
    <fill>
      <patternFill patternType="solid">
        <fgColor rgb="FFFFCCCC"/>
        <bgColor rgb="FFD0D0D0"/>
      </patternFill>
    </fill>
    <fill>
      <patternFill patternType="solid">
        <fgColor rgb="FFCCFFCC"/>
        <bgColor rgb="FFE8F4FD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C9A227"/>
      </bottom>
      <diagonal/>
    </border>
    <border>
      <left style="medium">
        <color rgb="FF1B365D"/>
      </left>
      <right/>
      <top style="medium">
        <color rgb="FF1B365D"/>
      </top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medium">
        <color rgb="FF1B365D"/>
      </top>
      <bottom/>
      <diagonal/>
    </border>
    <border>
      <left style="medium">
        <color rgb="FF1B365D"/>
      </left>
      <right/>
      <top/>
      <bottom/>
      <diagonal/>
    </border>
  </borders>
  <cellStyleXfs count="1">
    <xf numFmtId="0" fontId="0" fillId="0" borderId="0"/>
  </cellStyleXfs>
  <cellXfs count="37">
    <xf numFmtId="0" fontId="0" fillId="0" borderId="0" xfId="0" applyAlignment="1"/>
    <xf numFmtId="0" fontId="0" fillId="0" borderId="0" xfId="0" applyAlignment="1"/>
    <xf numFmtId="0" fontId="6" fillId="0" borderId="0" xfId="0" applyFont="1" applyAlignment="1"/>
    <xf numFmtId="0" fontId="7" fillId="5" borderId="3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6" borderId="3" xfId="0" applyFont="1" applyFill="1" applyBorder="1" applyAlignment="1">
      <alignment horizontal="center" vertical="center" wrapText="1"/>
    </xf>
    <xf numFmtId="0" fontId="8" fillId="6" borderId="3" xfId="0" applyFont="1" applyFill="1" applyBorder="1" applyAlignment="1">
      <alignment horizontal="right" vertical="center"/>
    </xf>
    <xf numFmtId="164" fontId="8" fillId="6" borderId="3" xfId="0" applyNumberFormat="1" applyFont="1" applyFill="1" applyBorder="1" applyAlignment="1">
      <alignment horizontal="center" vertical="center" wrapText="1"/>
    </xf>
    <xf numFmtId="165" fontId="8" fillId="6" borderId="3" xfId="0" applyNumberFormat="1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right" vertical="center"/>
    </xf>
    <xf numFmtId="164" fontId="8" fillId="0" borderId="3" xfId="0" applyNumberFormat="1" applyFont="1" applyBorder="1" applyAlignment="1">
      <alignment horizontal="center" vertical="center" wrapText="1"/>
    </xf>
    <xf numFmtId="165" fontId="8" fillId="0" borderId="3" xfId="0" applyNumberFormat="1" applyFont="1" applyBorder="1" applyAlignment="1">
      <alignment horizontal="center" vertical="center" wrapText="1"/>
    </xf>
    <xf numFmtId="3" fontId="8" fillId="6" borderId="3" xfId="0" applyNumberFormat="1" applyFont="1" applyFill="1" applyBorder="1" applyAlignment="1">
      <alignment horizontal="center" vertical="center" wrapText="1"/>
    </xf>
    <xf numFmtId="3" fontId="8" fillId="0" borderId="3" xfId="0" applyNumberFormat="1" applyFont="1" applyBorder="1" applyAlignment="1">
      <alignment horizontal="center" vertical="center" wrapText="1"/>
    </xf>
    <xf numFmtId="165" fontId="0" fillId="0" borderId="3" xfId="0" applyNumberFormat="1" applyBorder="1" applyAlignment="1">
      <alignment horizontal="center" vertical="center" wrapText="1"/>
    </xf>
    <xf numFmtId="166" fontId="0" fillId="0" borderId="3" xfId="0" applyNumberFormat="1" applyBorder="1" applyAlignment="1">
      <alignment horizontal="center" vertical="center" wrapText="1"/>
    </xf>
    <xf numFmtId="0" fontId="7" fillId="7" borderId="3" xfId="0" applyFont="1" applyFill="1" applyBorder="1" applyAlignment="1">
      <alignment horizontal="center" vertical="center" wrapText="1"/>
    </xf>
    <xf numFmtId="166" fontId="8" fillId="0" borderId="3" xfId="0" applyNumberFormat="1" applyFont="1" applyBorder="1" applyAlignment="1">
      <alignment horizontal="center" vertical="center" wrapText="1"/>
    </xf>
    <xf numFmtId="0" fontId="8" fillId="8" borderId="3" xfId="0" applyFont="1" applyFill="1" applyBorder="1" applyAlignment="1">
      <alignment horizontal="center" vertical="center" wrapText="1"/>
    </xf>
    <xf numFmtId="0" fontId="8" fillId="9" borderId="3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2" fontId="8" fillId="0" borderId="3" xfId="0" applyNumberFormat="1" applyFont="1" applyBorder="1" applyAlignment="1">
      <alignment horizontal="center" vertical="center" wrapText="1"/>
    </xf>
    <xf numFmtId="0" fontId="1" fillId="0" borderId="0" xfId="0" applyFont="1" applyAlignment="1"/>
    <xf numFmtId="0" fontId="10" fillId="0" borderId="1" xfId="0" applyFont="1" applyBorder="1" applyAlignment="1"/>
    <xf numFmtId="0" fontId="8" fillId="0" borderId="0" xfId="0" applyFont="1" applyAlignment="1"/>
    <xf numFmtId="0" fontId="7" fillId="4" borderId="0" xfId="0" applyFont="1" applyFill="1" applyAlignment="1">
      <alignment horizontal="center" vertical="center" wrapText="1"/>
    </xf>
    <xf numFmtId="0" fontId="0" fillId="0" borderId="0" xfId="0" applyAlignment="1"/>
    <xf numFmtId="0" fontId="5" fillId="2" borderId="2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7" fillId="3" borderId="0" xfId="0" applyFont="1" applyFill="1" applyAlignment="1">
      <alignment horizontal="center" vertical="center" wrapText="1"/>
    </xf>
    <xf numFmtId="0" fontId="4" fillId="0" borderId="1" xfId="0" applyFont="1" applyBorder="1" applyAlignment="1"/>
    <xf numFmtId="0" fontId="1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9" fillId="5" borderId="0" xfId="0" applyFont="1" applyFill="1" applyAlignment="1">
      <alignment horizontal="center" vertical="center" wrapText="1"/>
    </xf>
    <xf numFmtId="0" fontId="0" fillId="0" borderId="1" xfId="0" applyBorder="1" applyAlignment="1"/>
    <xf numFmtId="0" fontId="0" fillId="0" borderId="4" xfId="0" applyBorder="1" applyAlignment="1"/>
    <xf numFmtId="0" fontId="0" fillId="0" borderId="5" xfId="0" applyBorder="1" applyAlignme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228B22"/>
      <rgbColor rgb="FF000080"/>
      <rgbColor rgb="FF808000"/>
      <rgbColor rgb="FF800080"/>
      <rgbColor rgb="FF008B8B"/>
      <rgbColor rgb="FFC0C0C0"/>
      <rgbColor rgb="FF808080"/>
      <rgbColor rgb="FF9999FF"/>
      <rgbColor rgb="FF993366"/>
      <rgbColor rgb="FFFFFFCC"/>
      <rgbColor rgb="FFE8F4FD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8FAFC"/>
      <rgbColor rgb="FFCCFFCC"/>
      <rgbColor rgb="FFFFFF99"/>
      <rgbColor rgb="FF99CCFF"/>
      <rgbColor rgb="FFFF99CC"/>
      <rgbColor rgb="FFCC99FF"/>
      <rgbColor rgb="FFFFCCCC"/>
      <rgbColor rgb="FF4A90D9"/>
      <rgbColor rgb="FF33CCCC"/>
      <rgbColor rgb="FFC9A227"/>
      <rgbColor rgb="FFFFCC00"/>
      <rgbColor rgb="FFFF8C00"/>
      <rgbColor rgb="FFFF6600"/>
      <rgbColor rgb="FF5A5A5A"/>
      <rgbColor rgb="FF969696"/>
      <rgbColor rgb="FF1B365D"/>
      <rgbColor rgb="FF339966"/>
      <rgbColor rgb="FF003300"/>
      <rgbColor rgb="FF333300"/>
      <rgbColor rgb="FFB22222"/>
      <rgbColor rgb="FF993366"/>
      <rgbColor rgb="FF2E5090"/>
      <rgbColor rgb="FF2F2F2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Index Trend Overview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Price Index Trends - Top Equipment Categories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'Trend Analysis'!C4</c:f>
              <c:strCache>
                <c:ptCount val="1"/>
                <c:pt idx="0">
                  <c:v>سه ماهه چهارم 99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'Trend Analysis'!$C$4:$W$4</c:f>
              <c:strCache>
                <c:ptCount val="21"/>
                <c:pt idx="0">
                  <c:v>سه ماهه چهارم 99</c:v>
                </c:pt>
                <c:pt idx="1">
                  <c:v>1400-1</c:v>
                </c:pt>
                <c:pt idx="2">
                  <c:v>1400-2</c:v>
                </c:pt>
                <c:pt idx="3">
                  <c:v>1400-3</c:v>
                </c:pt>
                <c:pt idx="4">
                  <c:v>1400-4</c:v>
                </c:pt>
                <c:pt idx="5">
                  <c:v>1401-1</c:v>
                </c:pt>
                <c:pt idx="6">
                  <c:v>1401-2</c:v>
                </c:pt>
                <c:pt idx="7">
                  <c:v>1401-3</c:v>
                </c:pt>
                <c:pt idx="8">
                  <c:v>1401-دی</c:v>
                </c:pt>
                <c:pt idx="9">
                  <c:v>1401-بهمن</c:v>
                </c:pt>
                <c:pt idx="10">
                  <c:v>1401-اسفند</c:v>
                </c:pt>
                <c:pt idx="11">
                  <c:v>1402-1</c:v>
                </c:pt>
                <c:pt idx="12">
                  <c:v>1402-2</c:v>
                </c:pt>
                <c:pt idx="13">
                  <c:v>1402-3</c:v>
                </c:pt>
                <c:pt idx="14">
                  <c:v>1402-4</c:v>
                </c:pt>
                <c:pt idx="15">
                  <c:v>1403-1</c:v>
                </c:pt>
                <c:pt idx="16">
                  <c:v>1403-2</c:v>
                </c:pt>
                <c:pt idx="17">
                  <c:v>1403-3</c:v>
                </c:pt>
                <c:pt idx="18">
                  <c:v>1403-دی</c:v>
                </c:pt>
                <c:pt idx="19">
                  <c:v>1403-بهمن</c:v>
                </c:pt>
                <c:pt idx="20">
                  <c:v>1403-اسفند</c:v>
                </c:pt>
              </c:strCache>
            </c:strRef>
          </c:cat>
          <c:val>
            <c:numRef>
              <c:f>'Trend Analysis'!$D$4:$W$4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F096-4CDC-B5EA-2DE4BA0E188D}"/>
            </c:ext>
          </c:extLst>
        </c:ser>
        <c:ser>
          <c:idx val="1"/>
          <c:order val="1"/>
          <c:tx>
            <c:strRef>
              <c:f>'Trend Analysis'!C5</c:f>
              <c:strCache>
                <c:ptCount val="1"/>
                <c:pt idx="0">
                  <c:v>3,000.0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'Trend Analysis'!$C$4:$W$4</c:f>
              <c:strCache>
                <c:ptCount val="21"/>
                <c:pt idx="0">
                  <c:v>سه ماهه چهارم 99</c:v>
                </c:pt>
                <c:pt idx="1">
                  <c:v>1400-1</c:v>
                </c:pt>
                <c:pt idx="2">
                  <c:v>1400-2</c:v>
                </c:pt>
                <c:pt idx="3">
                  <c:v>1400-3</c:v>
                </c:pt>
                <c:pt idx="4">
                  <c:v>1400-4</c:v>
                </c:pt>
                <c:pt idx="5">
                  <c:v>1401-1</c:v>
                </c:pt>
                <c:pt idx="6">
                  <c:v>1401-2</c:v>
                </c:pt>
                <c:pt idx="7">
                  <c:v>1401-3</c:v>
                </c:pt>
                <c:pt idx="8">
                  <c:v>1401-دی</c:v>
                </c:pt>
                <c:pt idx="9">
                  <c:v>1401-بهمن</c:v>
                </c:pt>
                <c:pt idx="10">
                  <c:v>1401-اسفند</c:v>
                </c:pt>
                <c:pt idx="11">
                  <c:v>1402-1</c:v>
                </c:pt>
                <c:pt idx="12">
                  <c:v>1402-2</c:v>
                </c:pt>
                <c:pt idx="13">
                  <c:v>1402-3</c:v>
                </c:pt>
                <c:pt idx="14">
                  <c:v>1402-4</c:v>
                </c:pt>
                <c:pt idx="15">
                  <c:v>1403-1</c:v>
                </c:pt>
                <c:pt idx="16">
                  <c:v>1403-2</c:v>
                </c:pt>
                <c:pt idx="17">
                  <c:v>1403-3</c:v>
                </c:pt>
                <c:pt idx="18">
                  <c:v>1403-دی</c:v>
                </c:pt>
                <c:pt idx="19">
                  <c:v>1403-بهمن</c:v>
                </c:pt>
                <c:pt idx="20">
                  <c:v>1403-اسفند</c:v>
                </c:pt>
              </c:strCache>
            </c:strRef>
          </c:cat>
          <c:val>
            <c:numRef>
              <c:f>'Trend Analysis'!$D$5:$W$5</c:f>
              <c:numCache>
                <c:formatCode>#,##0.0</c:formatCode>
                <c:ptCount val="20"/>
                <c:pt idx="1">
                  <c:v>3977.9</c:v>
                </c:pt>
                <c:pt idx="2">
                  <c:v>4675.3</c:v>
                </c:pt>
                <c:pt idx="3">
                  <c:v>4649.3</c:v>
                </c:pt>
                <c:pt idx="4">
                  <c:v>6086</c:v>
                </c:pt>
                <c:pt idx="5">
                  <c:v>6095.3</c:v>
                </c:pt>
                <c:pt idx="6">
                  <c:v>6095.3</c:v>
                </c:pt>
                <c:pt idx="7">
                  <c:v>6095.3</c:v>
                </c:pt>
                <c:pt idx="8">
                  <c:v>6317.5</c:v>
                </c:pt>
                <c:pt idx="9">
                  <c:v>7061.4</c:v>
                </c:pt>
                <c:pt idx="10">
                  <c:v>7683.9</c:v>
                </c:pt>
                <c:pt idx="11">
                  <c:v>7707</c:v>
                </c:pt>
                <c:pt idx="12">
                  <c:v>7700.9</c:v>
                </c:pt>
                <c:pt idx="13">
                  <c:v>7716.9</c:v>
                </c:pt>
                <c:pt idx="14">
                  <c:v>8933</c:v>
                </c:pt>
                <c:pt idx="15">
                  <c:v>8955.5</c:v>
                </c:pt>
                <c:pt idx="16">
                  <c:v>9454.1</c:v>
                </c:pt>
                <c:pt idx="17">
                  <c:v>9543.9</c:v>
                </c:pt>
                <c:pt idx="18">
                  <c:v>9759.4</c:v>
                </c:pt>
                <c:pt idx="19">
                  <c:v>9768.7999999999993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F096-4CDC-B5EA-2DE4BA0E188D}"/>
            </c:ext>
          </c:extLst>
        </c:ser>
        <c:ser>
          <c:idx val="2"/>
          <c:order val="2"/>
          <c:tx>
            <c:strRef>
              <c:f>'Trend Analysis'!C6</c:f>
              <c:strCache>
                <c:ptCount val="1"/>
                <c:pt idx="0">
                  <c:v>3,000.0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'Trend Analysis'!$C$4:$W$4</c:f>
              <c:strCache>
                <c:ptCount val="21"/>
                <c:pt idx="0">
                  <c:v>سه ماهه چهارم 99</c:v>
                </c:pt>
                <c:pt idx="1">
                  <c:v>1400-1</c:v>
                </c:pt>
                <c:pt idx="2">
                  <c:v>1400-2</c:v>
                </c:pt>
                <c:pt idx="3">
                  <c:v>1400-3</c:v>
                </c:pt>
                <c:pt idx="4">
                  <c:v>1400-4</c:v>
                </c:pt>
                <c:pt idx="5">
                  <c:v>1401-1</c:v>
                </c:pt>
                <c:pt idx="6">
                  <c:v>1401-2</c:v>
                </c:pt>
                <c:pt idx="7">
                  <c:v>1401-3</c:v>
                </c:pt>
                <c:pt idx="8">
                  <c:v>1401-دی</c:v>
                </c:pt>
                <c:pt idx="9">
                  <c:v>1401-بهمن</c:v>
                </c:pt>
                <c:pt idx="10">
                  <c:v>1401-اسفند</c:v>
                </c:pt>
                <c:pt idx="11">
                  <c:v>1402-1</c:v>
                </c:pt>
                <c:pt idx="12">
                  <c:v>1402-2</c:v>
                </c:pt>
                <c:pt idx="13">
                  <c:v>1402-3</c:v>
                </c:pt>
                <c:pt idx="14">
                  <c:v>1402-4</c:v>
                </c:pt>
                <c:pt idx="15">
                  <c:v>1403-1</c:v>
                </c:pt>
                <c:pt idx="16">
                  <c:v>1403-2</c:v>
                </c:pt>
                <c:pt idx="17">
                  <c:v>1403-3</c:v>
                </c:pt>
                <c:pt idx="18">
                  <c:v>1403-دی</c:v>
                </c:pt>
                <c:pt idx="19">
                  <c:v>1403-بهمن</c:v>
                </c:pt>
                <c:pt idx="20">
                  <c:v>1403-اسفند</c:v>
                </c:pt>
              </c:strCache>
            </c:strRef>
          </c:cat>
          <c:val>
            <c:numRef>
              <c:f>'Trend Analysis'!$D$6:$W$6</c:f>
              <c:numCache>
                <c:formatCode>#,##0.0</c:formatCode>
                <c:ptCount val="20"/>
                <c:pt idx="1">
                  <c:v>3137.2</c:v>
                </c:pt>
                <c:pt idx="2">
                  <c:v>3138.3</c:v>
                </c:pt>
                <c:pt idx="3">
                  <c:v>3754.7</c:v>
                </c:pt>
                <c:pt idx="4">
                  <c:v>4509</c:v>
                </c:pt>
                <c:pt idx="5">
                  <c:v>4733.5</c:v>
                </c:pt>
                <c:pt idx="6">
                  <c:v>4969.6000000000004</c:v>
                </c:pt>
                <c:pt idx="7">
                  <c:v>5002.7</c:v>
                </c:pt>
                <c:pt idx="8">
                  <c:v>5453.3</c:v>
                </c:pt>
                <c:pt idx="9">
                  <c:v>6054</c:v>
                </c:pt>
                <c:pt idx="10">
                  <c:v>6341.6</c:v>
                </c:pt>
                <c:pt idx="11">
                  <c:v>6344.8</c:v>
                </c:pt>
                <c:pt idx="12">
                  <c:v>8465.9</c:v>
                </c:pt>
                <c:pt idx="13">
                  <c:v>8468.2999999999993</c:v>
                </c:pt>
                <c:pt idx="14">
                  <c:v>11322.1</c:v>
                </c:pt>
                <c:pt idx="15">
                  <c:v>11806.6</c:v>
                </c:pt>
                <c:pt idx="16">
                  <c:v>11806.6</c:v>
                </c:pt>
                <c:pt idx="17">
                  <c:v>11806.4</c:v>
                </c:pt>
                <c:pt idx="18">
                  <c:v>12185.9</c:v>
                </c:pt>
                <c:pt idx="19">
                  <c:v>12985.2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F096-4CDC-B5EA-2DE4BA0E188D}"/>
            </c:ext>
          </c:extLst>
        </c:ser>
        <c:ser>
          <c:idx val="3"/>
          <c:order val="3"/>
          <c:tx>
            <c:strRef>
              <c:f>'Trend Analysis'!C7</c:f>
              <c:strCache>
                <c:ptCount val="1"/>
                <c:pt idx="0">
                  <c:v>3,000.0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'Trend Analysis'!$C$4:$W$4</c:f>
              <c:strCache>
                <c:ptCount val="21"/>
                <c:pt idx="0">
                  <c:v>سه ماهه چهارم 99</c:v>
                </c:pt>
                <c:pt idx="1">
                  <c:v>1400-1</c:v>
                </c:pt>
                <c:pt idx="2">
                  <c:v>1400-2</c:v>
                </c:pt>
                <c:pt idx="3">
                  <c:v>1400-3</c:v>
                </c:pt>
                <c:pt idx="4">
                  <c:v>1400-4</c:v>
                </c:pt>
                <c:pt idx="5">
                  <c:v>1401-1</c:v>
                </c:pt>
                <c:pt idx="6">
                  <c:v>1401-2</c:v>
                </c:pt>
                <c:pt idx="7">
                  <c:v>1401-3</c:v>
                </c:pt>
                <c:pt idx="8">
                  <c:v>1401-دی</c:v>
                </c:pt>
                <c:pt idx="9">
                  <c:v>1401-بهمن</c:v>
                </c:pt>
                <c:pt idx="10">
                  <c:v>1401-اسفند</c:v>
                </c:pt>
                <c:pt idx="11">
                  <c:v>1402-1</c:v>
                </c:pt>
                <c:pt idx="12">
                  <c:v>1402-2</c:v>
                </c:pt>
                <c:pt idx="13">
                  <c:v>1402-3</c:v>
                </c:pt>
                <c:pt idx="14">
                  <c:v>1402-4</c:v>
                </c:pt>
                <c:pt idx="15">
                  <c:v>1403-1</c:v>
                </c:pt>
                <c:pt idx="16">
                  <c:v>1403-2</c:v>
                </c:pt>
                <c:pt idx="17">
                  <c:v>1403-3</c:v>
                </c:pt>
                <c:pt idx="18">
                  <c:v>1403-دی</c:v>
                </c:pt>
                <c:pt idx="19">
                  <c:v>1403-بهمن</c:v>
                </c:pt>
                <c:pt idx="20">
                  <c:v>1403-اسفند</c:v>
                </c:pt>
              </c:strCache>
            </c:strRef>
          </c:cat>
          <c:val>
            <c:numRef>
              <c:f>'Trend Analysis'!$D$7:$W$7</c:f>
              <c:numCache>
                <c:formatCode>#,##0.0</c:formatCode>
                <c:ptCount val="20"/>
                <c:pt idx="1">
                  <c:v>3255.4</c:v>
                </c:pt>
                <c:pt idx="2">
                  <c:v>3350.4</c:v>
                </c:pt>
                <c:pt idx="3">
                  <c:v>4163.8</c:v>
                </c:pt>
                <c:pt idx="4">
                  <c:v>5459</c:v>
                </c:pt>
                <c:pt idx="5">
                  <c:v>5746</c:v>
                </c:pt>
                <c:pt idx="6">
                  <c:v>6139.7</c:v>
                </c:pt>
                <c:pt idx="7">
                  <c:v>6139.7</c:v>
                </c:pt>
                <c:pt idx="8">
                  <c:v>6403.5</c:v>
                </c:pt>
                <c:pt idx="9">
                  <c:v>7069.7</c:v>
                </c:pt>
                <c:pt idx="10">
                  <c:v>6737.9</c:v>
                </c:pt>
                <c:pt idx="11">
                  <c:v>7096.6</c:v>
                </c:pt>
                <c:pt idx="12">
                  <c:v>8643.4</c:v>
                </c:pt>
                <c:pt idx="13">
                  <c:v>8649.6</c:v>
                </c:pt>
                <c:pt idx="14">
                  <c:v>9802.5</c:v>
                </c:pt>
                <c:pt idx="15">
                  <c:v>10302.9</c:v>
                </c:pt>
                <c:pt idx="16">
                  <c:v>11719.3</c:v>
                </c:pt>
                <c:pt idx="17">
                  <c:v>11727.1</c:v>
                </c:pt>
                <c:pt idx="18">
                  <c:v>12087.2</c:v>
                </c:pt>
                <c:pt idx="19">
                  <c:v>12560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F096-4CDC-B5EA-2DE4BA0E188D}"/>
            </c:ext>
          </c:extLst>
        </c:ser>
        <c:ser>
          <c:idx val="4"/>
          <c:order val="4"/>
          <c:tx>
            <c:strRef>
              <c:f>'Trend Analysis'!C8</c:f>
              <c:strCache>
                <c:ptCount val="1"/>
                <c:pt idx="0">
                  <c:v>3,000.0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'Trend Analysis'!$C$4:$W$4</c:f>
              <c:strCache>
                <c:ptCount val="21"/>
                <c:pt idx="0">
                  <c:v>سه ماهه چهارم 99</c:v>
                </c:pt>
                <c:pt idx="1">
                  <c:v>1400-1</c:v>
                </c:pt>
                <c:pt idx="2">
                  <c:v>1400-2</c:v>
                </c:pt>
                <c:pt idx="3">
                  <c:v>1400-3</c:v>
                </c:pt>
                <c:pt idx="4">
                  <c:v>1400-4</c:v>
                </c:pt>
                <c:pt idx="5">
                  <c:v>1401-1</c:v>
                </c:pt>
                <c:pt idx="6">
                  <c:v>1401-2</c:v>
                </c:pt>
                <c:pt idx="7">
                  <c:v>1401-3</c:v>
                </c:pt>
                <c:pt idx="8">
                  <c:v>1401-دی</c:v>
                </c:pt>
                <c:pt idx="9">
                  <c:v>1401-بهمن</c:v>
                </c:pt>
                <c:pt idx="10">
                  <c:v>1401-اسفند</c:v>
                </c:pt>
                <c:pt idx="11">
                  <c:v>1402-1</c:v>
                </c:pt>
                <c:pt idx="12">
                  <c:v>1402-2</c:v>
                </c:pt>
                <c:pt idx="13">
                  <c:v>1402-3</c:v>
                </c:pt>
                <c:pt idx="14">
                  <c:v>1402-4</c:v>
                </c:pt>
                <c:pt idx="15">
                  <c:v>1403-1</c:v>
                </c:pt>
                <c:pt idx="16">
                  <c:v>1403-2</c:v>
                </c:pt>
                <c:pt idx="17">
                  <c:v>1403-3</c:v>
                </c:pt>
                <c:pt idx="18">
                  <c:v>1403-دی</c:v>
                </c:pt>
                <c:pt idx="19">
                  <c:v>1403-بهمن</c:v>
                </c:pt>
                <c:pt idx="20">
                  <c:v>1403-اسفند</c:v>
                </c:pt>
              </c:strCache>
            </c:strRef>
          </c:cat>
          <c:val>
            <c:numRef>
              <c:f>'Trend Analysis'!$D$8:$W$8</c:f>
              <c:numCache>
                <c:formatCode>#,##0.0</c:formatCode>
                <c:ptCount val="20"/>
                <c:pt idx="1">
                  <c:v>3161.8</c:v>
                </c:pt>
                <c:pt idx="2">
                  <c:v>3255.6</c:v>
                </c:pt>
                <c:pt idx="3">
                  <c:v>3321.3</c:v>
                </c:pt>
                <c:pt idx="4">
                  <c:v>3913</c:v>
                </c:pt>
                <c:pt idx="5">
                  <c:v>3905.9</c:v>
                </c:pt>
                <c:pt idx="6">
                  <c:v>4272.3999999999996</c:v>
                </c:pt>
                <c:pt idx="7">
                  <c:v>4272.3999999999996</c:v>
                </c:pt>
                <c:pt idx="8">
                  <c:v>4999.8999999999996</c:v>
                </c:pt>
                <c:pt idx="9">
                  <c:v>5531.3</c:v>
                </c:pt>
                <c:pt idx="10">
                  <c:v>5731.8</c:v>
                </c:pt>
                <c:pt idx="11">
                  <c:v>5374</c:v>
                </c:pt>
                <c:pt idx="12">
                  <c:v>6919.3</c:v>
                </c:pt>
                <c:pt idx="13">
                  <c:v>6920.4</c:v>
                </c:pt>
                <c:pt idx="14">
                  <c:v>8537.2999999999993</c:v>
                </c:pt>
                <c:pt idx="15">
                  <c:v>8532.2000000000007</c:v>
                </c:pt>
                <c:pt idx="16">
                  <c:v>9097.4</c:v>
                </c:pt>
                <c:pt idx="17">
                  <c:v>10625</c:v>
                </c:pt>
                <c:pt idx="18">
                  <c:v>11128</c:v>
                </c:pt>
                <c:pt idx="19">
                  <c:v>11823.5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F096-4CDC-B5EA-2DE4BA0E188D}"/>
            </c:ext>
          </c:extLst>
        </c:ser>
        <c:ser>
          <c:idx val="5"/>
          <c:order val="5"/>
          <c:tx>
            <c:strRef>
              <c:f>'Trend Analysis'!C9</c:f>
              <c:strCache>
                <c:ptCount val="1"/>
                <c:pt idx="0">
                  <c:v>3,000.0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'Trend Analysis'!$C$4:$W$4</c:f>
              <c:strCache>
                <c:ptCount val="21"/>
                <c:pt idx="0">
                  <c:v>سه ماهه چهارم 99</c:v>
                </c:pt>
                <c:pt idx="1">
                  <c:v>1400-1</c:v>
                </c:pt>
                <c:pt idx="2">
                  <c:v>1400-2</c:v>
                </c:pt>
                <c:pt idx="3">
                  <c:v>1400-3</c:v>
                </c:pt>
                <c:pt idx="4">
                  <c:v>1400-4</c:v>
                </c:pt>
                <c:pt idx="5">
                  <c:v>1401-1</c:v>
                </c:pt>
                <c:pt idx="6">
                  <c:v>1401-2</c:v>
                </c:pt>
                <c:pt idx="7">
                  <c:v>1401-3</c:v>
                </c:pt>
                <c:pt idx="8">
                  <c:v>1401-دی</c:v>
                </c:pt>
                <c:pt idx="9">
                  <c:v>1401-بهمن</c:v>
                </c:pt>
                <c:pt idx="10">
                  <c:v>1401-اسفند</c:v>
                </c:pt>
                <c:pt idx="11">
                  <c:v>1402-1</c:v>
                </c:pt>
                <c:pt idx="12">
                  <c:v>1402-2</c:v>
                </c:pt>
                <c:pt idx="13">
                  <c:v>1402-3</c:v>
                </c:pt>
                <c:pt idx="14">
                  <c:v>1402-4</c:v>
                </c:pt>
                <c:pt idx="15">
                  <c:v>1403-1</c:v>
                </c:pt>
                <c:pt idx="16">
                  <c:v>1403-2</c:v>
                </c:pt>
                <c:pt idx="17">
                  <c:v>1403-3</c:v>
                </c:pt>
                <c:pt idx="18">
                  <c:v>1403-دی</c:v>
                </c:pt>
                <c:pt idx="19">
                  <c:v>1403-بهمن</c:v>
                </c:pt>
                <c:pt idx="20">
                  <c:v>1403-اسفند</c:v>
                </c:pt>
              </c:strCache>
            </c:strRef>
          </c:cat>
          <c:val>
            <c:numRef>
              <c:f>'Trend Analysis'!$D$9:$W$9</c:f>
              <c:numCache>
                <c:formatCode>#,##0.0</c:formatCode>
                <c:ptCount val="20"/>
                <c:pt idx="1">
                  <c:v>3379.5</c:v>
                </c:pt>
                <c:pt idx="2">
                  <c:v>3413.4</c:v>
                </c:pt>
                <c:pt idx="3">
                  <c:v>3533.4</c:v>
                </c:pt>
                <c:pt idx="4">
                  <c:v>3703</c:v>
                </c:pt>
                <c:pt idx="5">
                  <c:v>3724.2</c:v>
                </c:pt>
                <c:pt idx="6">
                  <c:v>3840.4</c:v>
                </c:pt>
                <c:pt idx="7">
                  <c:v>3995.5</c:v>
                </c:pt>
                <c:pt idx="8">
                  <c:v>4419.5</c:v>
                </c:pt>
                <c:pt idx="9">
                  <c:v>4984.8999999999996</c:v>
                </c:pt>
                <c:pt idx="10">
                  <c:v>5868.1</c:v>
                </c:pt>
                <c:pt idx="11">
                  <c:v>5886.4</c:v>
                </c:pt>
                <c:pt idx="12">
                  <c:v>5822.6</c:v>
                </c:pt>
                <c:pt idx="13">
                  <c:v>5851.3</c:v>
                </c:pt>
                <c:pt idx="14">
                  <c:v>6711.4</c:v>
                </c:pt>
                <c:pt idx="15">
                  <c:v>6734.6</c:v>
                </c:pt>
                <c:pt idx="16">
                  <c:v>8347.2000000000007</c:v>
                </c:pt>
                <c:pt idx="17">
                  <c:v>8429.5</c:v>
                </c:pt>
                <c:pt idx="18">
                  <c:v>8999.2999999999993</c:v>
                </c:pt>
                <c:pt idx="19">
                  <c:v>9111.1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F096-4CDC-B5EA-2DE4BA0E188D}"/>
            </c:ext>
          </c:extLst>
        </c:ser>
        <c:ser>
          <c:idx val="6"/>
          <c:order val="6"/>
          <c:tx>
            <c:strRef>
              <c:f>'Trend Analysis'!C10</c:f>
              <c:strCache>
                <c:ptCount val="1"/>
                <c:pt idx="0">
                  <c:v>3,000.0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'Trend Analysis'!$C$4:$W$4</c:f>
              <c:strCache>
                <c:ptCount val="21"/>
                <c:pt idx="0">
                  <c:v>سه ماهه چهارم 99</c:v>
                </c:pt>
                <c:pt idx="1">
                  <c:v>1400-1</c:v>
                </c:pt>
                <c:pt idx="2">
                  <c:v>1400-2</c:v>
                </c:pt>
                <c:pt idx="3">
                  <c:v>1400-3</c:v>
                </c:pt>
                <c:pt idx="4">
                  <c:v>1400-4</c:v>
                </c:pt>
                <c:pt idx="5">
                  <c:v>1401-1</c:v>
                </c:pt>
                <c:pt idx="6">
                  <c:v>1401-2</c:v>
                </c:pt>
                <c:pt idx="7">
                  <c:v>1401-3</c:v>
                </c:pt>
                <c:pt idx="8">
                  <c:v>1401-دی</c:v>
                </c:pt>
                <c:pt idx="9">
                  <c:v>1401-بهمن</c:v>
                </c:pt>
                <c:pt idx="10">
                  <c:v>1401-اسفند</c:v>
                </c:pt>
                <c:pt idx="11">
                  <c:v>1402-1</c:v>
                </c:pt>
                <c:pt idx="12">
                  <c:v>1402-2</c:v>
                </c:pt>
                <c:pt idx="13">
                  <c:v>1402-3</c:v>
                </c:pt>
                <c:pt idx="14">
                  <c:v>1402-4</c:v>
                </c:pt>
                <c:pt idx="15">
                  <c:v>1403-1</c:v>
                </c:pt>
                <c:pt idx="16">
                  <c:v>1403-2</c:v>
                </c:pt>
                <c:pt idx="17">
                  <c:v>1403-3</c:v>
                </c:pt>
                <c:pt idx="18">
                  <c:v>1403-دی</c:v>
                </c:pt>
                <c:pt idx="19">
                  <c:v>1403-بهمن</c:v>
                </c:pt>
                <c:pt idx="20">
                  <c:v>1403-اسفند</c:v>
                </c:pt>
              </c:strCache>
            </c:strRef>
          </c:cat>
          <c:val>
            <c:numRef>
              <c:f>'Trend Analysis'!$D$10:$W$10</c:f>
              <c:numCache>
                <c:formatCode>#,##0.0</c:formatCode>
                <c:ptCount val="20"/>
                <c:pt idx="1">
                  <c:v>3152.9</c:v>
                </c:pt>
                <c:pt idx="2">
                  <c:v>3243</c:v>
                </c:pt>
                <c:pt idx="3">
                  <c:v>3302.5</c:v>
                </c:pt>
                <c:pt idx="4">
                  <c:v>3425</c:v>
                </c:pt>
                <c:pt idx="5">
                  <c:v>3492.4</c:v>
                </c:pt>
                <c:pt idx="6">
                  <c:v>3908.5</c:v>
                </c:pt>
                <c:pt idx="7">
                  <c:v>4351.1000000000004</c:v>
                </c:pt>
                <c:pt idx="8">
                  <c:v>4445.2</c:v>
                </c:pt>
                <c:pt idx="9">
                  <c:v>4770.5</c:v>
                </c:pt>
                <c:pt idx="10">
                  <c:v>4996.3999999999996</c:v>
                </c:pt>
                <c:pt idx="11">
                  <c:v>4997.2</c:v>
                </c:pt>
                <c:pt idx="12">
                  <c:v>5068</c:v>
                </c:pt>
                <c:pt idx="13">
                  <c:v>5068.5</c:v>
                </c:pt>
                <c:pt idx="14">
                  <c:v>5729.5</c:v>
                </c:pt>
                <c:pt idx="15">
                  <c:v>5478.1</c:v>
                </c:pt>
                <c:pt idx="16">
                  <c:v>6134.6</c:v>
                </c:pt>
                <c:pt idx="17">
                  <c:v>7296.6</c:v>
                </c:pt>
                <c:pt idx="18">
                  <c:v>7852.3</c:v>
                </c:pt>
                <c:pt idx="19">
                  <c:v>8074.7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F096-4CDC-B5EA-2DE4BA0E18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Period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Price Index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Euro Exchange Rate Trend (IRR/EUR)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'Exchange Rate Analysis'!B4</c:f>
              <c:strCache>
                <c:ptCount val="1"/>
                <c:pt idx="0">
                  <c:v>Avg Rate</c:v>
                </c:pt>
              </c:strCache>
            </c:strRef>
          </c:tx>
          <c:spPr>
            <a:ln w="25000">
              <a:solidFill>
                <a:srgbClr val="1B365D"/>
              </a:solidFill>
              <a:prstDash val="solid"/>
            </a:ln>
          </c:spPr>
          <c:marker>
            <c:symbol val="none"/>
          </c:marker>
          <c:cat>
            <c:strRef>
              <c:f>'Exchange Rate Analysis'!$A$5:$A$33</c:f>
              <c:strCache>
                <c:ptCount val="29"/>
                <c:pt idx="0">
                  <c:v>1397-Q3</c:v>
                </c:pt>
                <c:pt idx="1">
                  <c:v>1397-Q4</c:v>
                </c:pt>
                <c:pt idx="2">
                  <c:v>1398-Q1</c:v>
                </c:pt>
                <c:pt idx="3">
                  <c:v>1398-Q2</c:v>
                </c:pt>
                <c:pt idx="4">
                  <c:v>1398-Q3</c:v>
                </c:pt>
                <c:pt idx="5">
                  <c:v>1398-Q4</c:v>
                </c:pt>
                <c:pt idx="6">
                  <c:v>1399-Q1</c:v>
                </c:pt>
                <c:pt idx="7">
                  <c:v>1399-Q2</c:v>
                </c:pt>
                <c:pt idx="8">
                  <c:v>1399-Q3</c:v>
                </c:pt>
                <c:pt idx="9">
                  <c:v>1399-Q4</c:v>
                </c:pt>
                <c:pt idx="10">
                  <c:v>1400-Q1</c:v>
                </c:pt>
                <c:pt idx="11">
                  <c:v>1400-Q2</c:v>
                </c:pt>
                <c:pt idx="12">
                  <c:v>1400-Q3</c:v>
                </c:pt>
                <c:pt idx="13">
                  <c:v>1400-Q4</c:v>
                </c:pt>
                <c:pt idx="14">
                  <c:v>1401-Q1</c:v>
                </c:pt>
                <c:pt idx="15">
                  <c:v>1401-Q2</c:v>
                </c:pt>
                <c:pt idx="16">
                  <c:v>1401-Q3</c:v>
                </c:pt>
                <c:pt idx="17">
                  <c:v>1401-Q4</c:v>
                </c:pt>
                <c:pt idx="18">
                  <c:v>1402-Q1</c:v>
                </c:pt>
                <c:pt idx="19">
                  <c:v>1402-Q2</c:v>
                </c:pt>
                <c:pt idx="20">
                  <c:v>1402-Q3</c:v>
                </c:pt>
                <c:pt idx="21">
                  <c:v>1402-Q4</c:v>
                </c:pt>
                <c:pt idx="22">
                  <c:v>1403-Q1</c:v>
                </c:pt>
                <c:pt idx="23">
                  <c:v>1403-Q2</c:v>
                </c:pt>
                <c:pt idx="24">
                  <c:v>1403-Q3</c:v>
                </c:pt>
                <c:pt idx="25">
                  <c:v>1403-Q4</c:v>
                </c:pt>
                <c:pt idx="26">
                  <c:v>1404-Q1</c:v>
                </c:pt>
                <c:pt idx="27">
                  <c:v>1404-Q2</c:v>
                </c:pt>
                <c:pt idx="28">
                  <c:v>1404-Q3</c:v>
                </c:pt>
              </c:strCache>
            </c:strRef>
          </c:cat>
          <c:val>
            <c:numRef>
              <c:f>'Exchange Rate Analysis'!$B$5:$B$33</c:f>
              <c:numCache>
                <c:formatCode>#,##0</c:formatCode>
                <c:ptCount val="29"/>
                <c:pt idx="0">
                  <c:v>99783</c:v>
                </c:pt>
                <c:pt idx="1">
                  <c:v>99736</c:v>
                </c:pt>
                <c:pt idx="2">
                  <c:v>114445</c:v>
                </c:pt>
                <c:pt idx="3">
                  <c:v>127040</c:v>
                </c:pt>
                <c:pt idx="4">
                  <c:v>120357</c:v>
                </c:pt>
                <c:pt idx="5">
                  <c:v>138210</c:v>
                </c:pt>
                <c:pt idx="6">
                  <c:v>162538</c:v>
                </c:pt>
                <c:pt idx="7">
                  <c:v>248334</c:v>
                </c:pt>
                <c:pt idx="8">
                  <c:v>306848</c:v>
                </c:pt>
                <c:pt idx="9">
                  <c:v>295437</c:v>
                </c:pt>
                <c:pt idx="10">
                  <c:v>263066</c:v>
                </c:pt>
                <c:pt idx="11">
                  <c:v>266748</c:v>
                </c:pt>
                <c:pt idx="12">
                  <c:v>270165</c:v>
                </c:pt>
                <c:pt idx="13">
                  <c:v>274364</c:v>
                </c:pt>
                <c:pt idx="14">
                  <c:v>264647</c:v>
                </c:pt>
                <c:pt idx="15">
                  <c:v>268978</c:v>
                </c:pt>
                <c:pt idx="16">
                  <c:v>281119</c:v>
                </c:pt>
                <c:pt idx="17">
                  <c:v>328139</c:v>
                </c:pt>
                <c:pt idx="18">
                  <c:v>413277</c:v>
                </c:pt>
                <c:pt idx="19">
                  <c:v>409923</c:v>
                </c:pt>
                <c:pt idx="20">
                  <c:v>405709</c:v>
                </c:pt>
                <c:pt idx="21">
                  <c:v>431500</c:v>
                </c:pt>
                <c:pt idx="22">
                  <c:v>447359</c:v>
                </c:pt>
                <c:pt idx="23">
                  <c:v>486258</c:v>
                </c:pt>
                <c:pt idx="24">
                  <c:v>541639</c:v>
                </c:pt>
                <c:pt idx="25">
                  <c:v>700234</c:v>
                </c:pt>
                <c:pt idx="26">
                  <c:v>780053</c:v>
                </c:pt>
                <c:pt idx="27">
                  <c:v>814281</c:v>
                </c:pt>
                <c:pt idx="28">
                  <c:v>822292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E51-4ADA-93C1-FBCA084290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Quarter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Rate (IRR)</a:t>
                </a:r>
              </a:p>
            </c:rich>
          </c:tx>
          <c:overlay val="1"/>
        </c:title>
        <c:numFmt formatCode="#,##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0"/>
  <c:chart>
    <c:title>
      <c:tx>
        <c:rich>
          <a:bodyPr/>
          <a:lstStyle/>
          <a:p>
            <a:pPr>
              <a:defRPr/>
            </a:pPr>
            <a:r>
              <a:t>Year-over-Year Index Comparison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'YoY Comparison'!C4</c:f>
              <c:strCache>
                <c:ptCount val="1"/>
                <c:pt idx="0">
                  <c:v>1399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'YoY Comparison'!$B$5:$B$12</c:f>
              <c:strCache>
                <c:ptCount val="8"/>
                <c:pt idx="0">
                  <c:v>پمپ ها</c:v>
                </c:pt>
                <c:pt idx="1">
                  <c:v>همزن ها</c:v>
                </c:pt>
                <c:pt idx="2">
                  <c:v>آشغال گیر</c:v>
                </c:pt>
                <c:pt idx="3">
                  <c:v>بلوئرها و کمپرسورها</c:v>
                </c:pt>
                <c:pt idx="4">
                  <c:v>دیفیوزرها</c:v>
                </c:pt>
                <c:pt idx="5">
                  <c:v>آبگیری لجن</c:v>
                </c:pt>
                <c:pt idx="6">
                  <c:v>گند زدایی</c:v>
                </c:pt>
                <c:pt idx="7">
                  <c:v>تجهیزات فرآوری گاز</c:v>
                </c:pt>
              </c:strCache>
            </c:strRef>
          </c:cat>
          <c:val>
            <c:numRef>
              <c:f>'YoY Comparison'!$C$5:$C$12</c:f>
              <c:numCache>
                <c:formatCode>#,##0</c:formatCode>
                <c:ptCount val="8"/>
                <c:pt idx="0">
                  <c:v>3000</c:v>
                </c:pt>
                <c:pt idx="1">
                  <c:v>3000</c:v>
                </c:pt>
                <c:pt idx="2">
                  <c:v>3000</c:v>
                </c:pt>
                <c:pt idx="3">
                  <c:v>3000</c:v>
                </c:pt>
                <c:pt idx="4">
                  <c:v>3000</c:v>
                </c:pt>
                <c:pt idx="5">
                  <c:v>3000</c:v>
                </c:pt>
                <c:pt idx="6">
                  <c:v>3000</c:v>
                </c:pt>
                <c:pt idx="7">
                  <c:v>3000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87B-406B-ACFC-2C4949288922}"/>
            </c:ext>
          </c:extLst>
        </c:ser>
        <c:ser>
          <c:idx val="1"/>
          <c:order val="1"/>
          <c:tx>
            <c:strRef>
              <c:f>'YoY Comparison'!D4</c:f>
              <c:strCache>
                <c:ptCount val="1"/>
                <c:pt idx="0">
                  <c:v>1400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'YoY Comparison'!$B$5:$B$12</c:f>
              <c:strCache>
                <c:ptCount val="8"/>
                <c:pt idx="0">
                  <c:v>پمپ ها</c:v>
                </c:pt>
                <c:pt idx="1">
                  <c:v>همزن ها</c:v>
                </c:pt>
                <c:pt idx="2">
                  <c:v>آشغال گیر</c:v>
                </c:pt>
                <c:pt idx="3">
                  <c:v>بلوئرها و کمپرسورها</c:v>
                </c:pt>
                <c:pt idx="4">
                  <c:v>دیفیوزرها</c:v>
                </c:pt>
                <c:pt idx="5">
                  <c:v>آبگیری لجن</c:v>
                </c:pt>
                <c:pt idx="6">
                  <c:v>گند زدایی</c:v>
                </c:pt>
                <c:pt idx="7">
                  <c:v>تجهیزات فرآوری گاز</c:v>
                </c:pt>
              </c:strCache>
            </c:strRef>
          </c:cat>
          <c:val>
            <c:numRef>
              <c:f>'YoY Comparison'!$D$5:$D$12</c:f>
              <c:numCache>
                <c:formatCode>#,##0</c:formatCode>
                <c:ptCount val="8"/>
                <c:pt idx="0">
                  <c:v>4649.3</c:v>
                </c:pt>
                <c:pt idx="1">
                  <c:v>3754.7</c:v>
                </c:pt>
                <c:pt idx="2">
                  <c:v>4163.8</c:v>
                </c:pt>
                <c:pt idx="3">
                  <c:v>3321.3</c:v>
                </c:pt>
                <c:pt idx="4">
                  <c:v>3533.4</c:v>
                </c:pt>
                <c:pt idx="5">
                  <c:v>3302.5</c:v>
                </c:pt>
                <c:pt idx="6">
                  <c:v>3969</c:v>
                </c:pt>
                <c:pt idx="7">
                  <c:v>4199.3999999999996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87B-406B-ACFC-2C4949288922}"/>
            </c:ext>
          </c:extLst>
        </c:ser>
        <c:ser>
          <c:idx val="2"/>
          <c:order val="2"/>
          <c:tx>
            <c:strRef>
              <c:f>'YoY Comparison'!E4</c:f>
              <c:strCache>
                <c:ptCount val="1"/>
                <c:pt idx="0">
                  <c:v>1401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'YoY Comparison'!$B$5:$B$12</c:f>
              <c:strCache>
                <c:ptCount val="8"/>
                <c:pt idx="0">
                  <c:v>پمپ ها</c:v>
                </c:pt>
                <c:pt idx="1">
                  <c:v>همزن ها</c:v>
                </c:pt>
                <c:pt idx="2">
                  <c:v>آشغال گیر</c:v>
                </c:pt>
                <c:pt idx="3">
                  <c:v>بلوئرها و کمپرسورها</c:v>
                </c:pt>
                <c:pt idx="4">
                  <c:v>دیفیوزرها</c:v>
                </c:pt>
                <c:pt idx="5">
                  <c:v>آبگیری لجن</c:v>
                </c:pt>
                <c:pt idx="6">
                  <c:v>گند زدایی</c:v>
                </c:pt>
                <c:pt idx="7">
                  <c:v>تجهیزات فرآوری گاز</c:v>
                </c:pt>
              </c:strCache>
            </c:strRef>
          </c:cat>
          <c:val>
            <c:numRef>
              <c:f>'YoY Comparison'!$E$5:$E$12</c:f>
              <c:numCache>
                <c:formatCode>#,##0</c:formatCode>
                <c:ptCount val="8"/>
                <c:pt idx="0">
                  <c:v>7061.4</c:v>
                </c:pt>
                <c:pt idx="1">
                  <c:v>6054</c:v>
                </c:pt>
                <c:pt idx="2">
                  <c:v>7069.7</c:v>
                </c:pt>
                <c:pt idx="3">
                  <c:v>5531.3</c:v>
                </c:pt>
                <c:pt idx="4">
                  <c:v>4984.8999999999996</c:v>
                </c:pt>
                <c:pt idx="5">
                  <c:v>4770.5</c:v>
                </c:pt>
                <c:pt idx="6">
                  <c:v>6342.9</c:v>
                </c:pt>
                <c:pt idx="7">
                  <c:v>6680.5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87B-406B-ACFC-2C4949288922}"/>
            </c:ext>
          </c:extLst>
        </c:ser>
        <c:ser>
          <c:idx val="3"/>
          <c:order val="3"/>
          <c:tx>
            <c:strRef>
              <c:f>'YoY Comparison'!F4</c:f>
              <c:strCache>
                <c:ptCount val="1"/>
                <c:pt idx="0">
                  <c:v>1402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'YoY Comparison'!$B$5:$B$12</c:f>
              <c:strCache>
                <c:ptCount val="8"/>
                <c:pt idx="0">
                  <c:v>پمپ ها</c:v>
                </c:pt>
                <c:pt idx="1">
                  <c:v>همزن ها</c:v>
                </c:pt>
                <c:pt idx="2">
                  <c:v>آشغال گیر</c:v>
                </c:pt>
                <c:pt idx="3">
                  <c:v>بلوئرها و کمپرسورها</c:v>
                </c:pt>
                <c:pt idx="4">
                  <c:v>دیفیوزرها</c:v>
                </c:pt>
                <c:pt idx="5">
                  <c:v>آبگیری لجن</c:v>
                </c:pt>
                <c:pt idx="6">
                  <c:v>گند زدایی</c:v>
                </c:pt>
                <c:pt idx="7">
                  <c:v>تجهیزات فرآوری گاز</c:v>
                </c:pt>
              </c:strCache>
            </c:strRef>
          </c:cat>
          <c:val>
            <c:numRef>
              <c:f>'YoY Comparison'!$F$5:$F$12</c:f>
              <c:numCache>
                <c:formatCode>#,##0</c:formatCode>
                <c:ptCount val="8"/>
                <c:pt idx="0">
                  <c:v>7716.9</c:v>
                </c:pt>
                <c:pt idx="1">
                  <c:v>8468.2999999999993</c:v>
                </c:pt>
                <c:pt idx="2">
                  <c:v>8649.6</c:v>
                </c:pt>
                <c:pt idx="3">
                  <c:v>6920.4</c:v>
                </c:pt>
                <c:pt idx="4">
                  <c:v>5851.3</c:v>
                </c:pt>
                <c:pt idx="5">
                  <c:v>5068.5</c:v>
                </c:pt>
                <c:pt idx="6">
                  <c:v>8680.5</c:v>
                </c:pt>
                <c:pt idx="7">
                  <c:v>7864.1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87B-406B-ACFC-2C4949288922}"/>
            </c:ext>
          </c:extLst>
        </c:ser>
        <c:ser>
          <c:idx val="4"/>
          <c:order val="4"/>
          <c:tx>
            <c:strRef>
              <c:f>'YoY Comparison'!G4</c:f>
              <c:strCache>
                <c:ptCount val="1"/>
                <c:pt idx="0">
                  <c:v>1403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'YoY Comparison'!$B$5:$B$12</c:f>
              <c:strCache>
                <c:ptCount val="8"/>
                <c:pt idx="0">
                  <c:v>پمپ ها</c:v>
                </c:pt>
                <c:pt idx="1">
                  <c:v>همزن ها</c:v>
                </c:pt>
                <c:pt idx="2">
                  <c:v>آشغال گیر</c:v>
                </c:pt>
                <c:pt idx="3">
                  <c:v>بلوئرها و کمپرسورها</c:v>
                </c:pt>
                <c:pt idx="4">
                  <c:v>دیفیوزرها</c:v>
                </c:pt>
                <c:pt idx="5">
                  <c:v>آبگیری لجن</c:v>
                </c:pt>
                <c:pt idx="6">
                  <c:v>گند زدایی</c:v>
                </c:pt>
                <c:pt idx="7">
                  <c:v>تجهیزات فرآوری گاز</c:v>
                </c:pt>
              </c:strCache>
            </c:strRef>
          </c:cat>
          <c:val>
            <c:numRef>
              <c:f>'YoY Comparison'!$G$5:$G$12</c:f>
              <c:numCache>
                <c:formatCode>#,##0</c:formatCode>
                <c:ptCount val="8"/>
                <c:pt idx="0">
                  <c:v>9768.7999999999993</c:v>
                </c:pt>
                <c:pt idx="1">
                  <c:v>12985.2</c:v>
                </c:pt>
                <c:pt idx="2">
                  <c:v>12560</c:v>
                </c:pt>
                <c:pt idx="3">
                  <c:v>11823.5</c:v>
                </c:pt>
                <c:pt idx="4">
                  <c:v>9111.1</c:v>
                </c:pt>
                <c:pt idx="5">
                  <c:v>8074.7</c:v>
                </c:pt>
                <c:pt idx="6">
                  <c:v>13786.4</c:v>
                </c:pt>
                <c:pt idx="7">
                  <c:v>9970.7999999999993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87B-406B-ACFC-2C49492889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Index Value</a:t>
                </a:r>
              </a:p>
            </c:rich>
          </c:tx>
          <c:overlay val="1"/>
        </c:title>
        <c:numFmt formatCode="#,##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4-Year Growth by Equipment Category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'Benchmark Analysis'!E5</c:f>
              <c:strCache>
                <c:ptCount val="1"/>
                <c:pt idx="0">
                  <c:v>Growth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'Benchmark Analysis'!$B$6:$B$36</c:f>
              <c:strCache>
                <c:ptCount val="31"/>
                <c:pt idx="0">
                  <c:v>پمپ ها</c:v>
                </c:pt>
                <c:pt idx="1">
                  <c:v>همزن ها</c:v>
                </c:pt>
                <c:pt idx="2">
                  <c:v>آشغال گیر</c:v>
                </c:pt>
                <c:pt idx="3">
                  <c:v>بلوئرها و کمپرسورها</c:v>
                </c:pt>
                <c:pt idx="4">
                  <c:v>دیفیوزرها</c:v>
                </c:pt>
                <c:pt idx="5">
                  <c:v>آبگیری لجن</c:v>
                </c:pt>
                <c:pt idx="6">
                  <c:v>گند زدایی</c:v>
                </c:pt>
                <c:pt idx="7">
                  <c:v>تجهیزات فرآوری گاز</c:v>
                </c:pt>
                <c:pt idx="8">
                  <c:v>مبدل‌های حرارتی</c:v>
                </c:pt>
                <c:pt idx="9">
                  <c:v>دیگ حرارتی آب گرم</c:v>
                </c:pt>
                <c:pt idx="10">
                  <c:v>مشعل‌ ها</c:v>
                </c:pt>
                <c:pt idx="11">
                  <c:v>جرثقیل‌ ها</c:v>
                </c:pt>
                <c:pt idx="12">
                  <c:v>الکتروموتورها</c:v>
                </c:pt>
                <c:pt idx="13">
                  <c:v>خنثی سازی و حذف بو</c:v>
                </c:pt>
                <c:pt idx="14">
                  <c:v>لوله ها و اتصالات و متعلقات فولادی</c:v>
                </c:pt>
                <c:pt idx="15">
                  <c:v>لوله ها و اتصالات و متعلقات استیل</c:v>
                </c:pt>
                <c:pt idx="16">
                  <c:v>لوله ها و اتصالات و متعلقات چدنی نشکن</c:v>
                </c:pt>
                <c:pt idx="17">
                  <c:v>لوله ها و اتصالات و متعلقات پلی اتیلن</c:v>
                </c:pt>
                <c:pt idx="18">
                  <c:v>لوله ها و اتصالات فایبرگلاس</c:v>
                </c:pt>
                <c:pt idx="19">
                  <c:v>لوله ها و اتصالات و متعلقات پلی‌پروپیلن و پی وی سخت</c:v>
                </c:pt>
                <c:pt idx="20">
                  <c:v>شیرآلات و متعلقات فلزی</c:v>
                </c:pt>
                <c:pt idx="21">
                  <c:v>شیرآلات و متعلقات پلاستیکی</c:v>
                </c:pt>
                <c:pt idx="22">
                  <c:v>کارهای فلزی</c:v>
                </c:pt>
                <c:pt idx="23">
                  <c:v>مواد شیمیایی</c:v>
                </c:pt>
                <c:pt idx="24">
                  <c:v>عملگرها</c:v>
                </c:pt>
                <c:pt idx="25">
                  <c:v>غشاها</c:v>
                </c:pt>
                <c:pt idx="26">
                  <c:v>غلاف غشا</c:v>
                </c:pt>
                <c:pt idx="27">
                  <c:v>فیلتر کارتریج</c:v>
                </c:pt>
                <c:pt idx="28">
                  <c:v>تجهیزات ابزار دقیق اندازه گیری سطح یا فشار</c:v>
                </c:pt>
                <c:pt idx="29">
                  <c:v>تجهیزات ابزاردقیق اندازه گیری دبی</c:v>
                </c:pt>
                <c:pt idx="30">
                  <c:v>آنالایزرها</c:v>
                </c:pt>
              </c:strCache>
            </c:strRef>
          </c:cat>
          <c:val>
            <c:numRef>
              <c:f>'Benchmark Analysis'!$E$6:$E$36</c:f>
              <c:numCache>
                <c:formatCode>\+0.0%;\-0.0%</c:formatCode>
                <c:ptCount val="31"/>
                <c:pt idx="0">
                  <c:v>2.2559999999999998</c:v>
                </c:pt>
                <c:pt idx="1">
                  <c:v>3.3279999999999998</c:v>
                </c:pt>
                <c:pt idx="2">
                  <c:v>3.1869999999999998</c:v>
                </c:pt>
                <c:pt idx="3">
                  <c:v>2.9409999999999998</c:v>
                </c:pt>
                <c:pt idx="4">
                  <c:v>2.0369999999999999</c:v>
                </c:pt>
                <c:pt idx="5">
                  <c:v>1.6919999999999999</c:v>
                </c:pt>
                <c:pt idx="6">
                  <c:v>3.5950000000000002</c:v>
                </c:pt>
                <c:pt idx="7">
                  <c:v>2.3239999999999998</c:v>
                </c:pt>
                <c:pt idx="8">
                  <c:v>2.3450000000000002</c:v>
                </c:pt>
                <c:pt idx="9">
                  <c:v>3.2559999999999998</c:v>
                </c:pt>
                <c:pt idx="10">
                  <c:v>2.2109999999999999</c:v>
                </c:pt>
                <c:pt idx="11">
                  <c:v>1.8959999999999999</c:v>
                </c:pt>
                <c:pt idx="12">
                  <c:v>1.8260000000000001</c:v>
                </c:pt>
                <c:pt idx="13">
                  <c:v>2.8439999999999999</c:v>
                </c:pt>
                <c:pt idx="14">
                  <c:v>1.3420000000000001</c:v>
                </c:pt>
                <c:pt idx="15">
                  <c:v>2.2400000000000002</c:v>
                </c:pt>
                <c:pt idx="16">
                  <c:v>1.5669999999999999</c:v>
                </c:pt>
                <c:pt idx="17">
                  <c:v>1.994</c:v>
                </c:pt>
                <c:pt idx="18">
                  <c:v>1.73</c:v>
                </c:pt>
                <c:pt idx="19">
                  <c:v>1.28</c:v>
                </c:pt>
                <c:pt idx="20">
                  <c:v>3.1080000000000001</c:v>
                </c:pt>
                <c:pt idx="21">
                  <c:v>2.101</c:v>
                </c:pt>
                <c:pt idx="22">
                  <c:v>2.8479999999999999</c:v>
                </c:pt>
                <c:pt idx="23">
                  <c:v>2.556</c:v>
                </c:pt>
                <c:pt idx="24">
                  <c:v>2.2330000000000001</c:v>
                </c:pt>
                <c:pt idx="25">
                  <c:v>2.7490000000000001</c:v>
                </c:pt>
                <c:pt idx="26">
                  <c:v>3.1</c:v>
                </c:pt>
                <c:pt idx="27">
                  <c:v>2.4569999999999999</c:v>
                </c:pt>
                <c:pt idx="28">
                  <c:v>2.0910000000000002</c:v>
                </c:pt>
                <c:pt idx="29">
                  <c:v>0.86299999999999999</c:v>
                </c:pt>
                <c:pt idx="30">
                  <c:v>2.2040000000000002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AC7-4D1C-866E-CD58BC3963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Growth %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b"/>
        <c:majorGridlines/>
        <c:numFmt formatCode="\+0.0%;\-0.0%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Statistical Range by Equipment (Min-Mean-Max)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'Statistical Summary'!F4</c:f>
              <c:strCache>
                <c:ptCount val="1"/>
                <c:pt idx="0">
                  <c:v>Min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'Statistical Summary'!$B$5:$B$14</c:f>
              <c:strCache>
                <c:ptCount val="10"/>
                <c:pt idx="0">
                  <c:v>پمپ ها</c:v>
                </c:pt>
                <c:pt idx="1">
                  <c:v>همزن ها</c:v>
                </c:pt>
                <c:pt idx="2">
                  <c:v>آشغال گیر</c:v>
                </c:pt>
                <c:pt idx="3">
                  <c:v>بلوئرها و کمپرسورها</c:v>
                </c:pt>
                <c:pt idx="4">
                  <c:v>دیفیوزرها</c:v>
                </c:pt>
                <c:pt idx="5">
                  <c:v>آبگیری لجن</c:v>
                </c:pt>
                <c:pt idx="6">
                  <c:v>گند زدایی</c:v>
                </c:pt>
                <c:pt idx="7">
                  <c:v>تجهیزات فرآوری گاز</c:v>
                </c:pt>
                <c:pt idx="8">
                  <c:v>مبدل‌های حرارتی</c:v>
                </c:pt>
                <c:pt idx="9">
                  <c:v>دیگ حرارتی آب گرم</c:v>
                </c:pt>
              </c:strCache>
            </c:strRef>
          </c:cat>
          <c:val>
            <c:numRef>
              <c:f>'Statistical Summary'!$F$5:$F$14</c:f>
              <c:numCache>
                <c:formatCode>#,##0.0</c:formatCode>
                <c:ptCount val="10"/>
                <c:pt idx="0">
                  <c:v>3000</c:v>
                </c:pt>
                <c:pt idx="1">
                  <c:v>3000</c:v>
                </c:pt>
                <c:pt idx="2">
                  <c:v>3000</c:v>
                </c:pt>
                <c:pt idx="3">
                  <c:v>3000</c:v>
                </c:pt>
                <c:pt idx="4">
                  <c:v>3000</c:v>
                </c:pt>
                <c:pt idx="5">
                  <c:v>3000</c:v>
                </c:pt>
                <c:pt idx="6">
                  <c:v>3000</c:v>
                </c:pt>
                <c:pt idx="7">
                  <c:v>3000</c:v>
                </c:pt>
                <c:pt idx="8">
                  <c:v>3000</c:v>
                </c:pt>
                <c:pt idx="9">
                  <c:v>3000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FA1-4E23-8A46-1D109026D4ED}"/>
            </c:ext>
          </c:extLst>
        </c:ser>
        <c:ser>
          <c:idx val="1"/>
          <c:order val="1"/>
          <c:tx>
            <c:strRef>
              <c:f>'Statistical Summary'!C4</c:f>
              <c:strCache>
                <c:ptCount val="1"/>
                <c:pt idx="0">
                  <c:v>Mean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'Statistical Summary'!$B$5:$B$14</c:f>
              <c:strCache>
                <c:ptCount val="10"/>
                <c:pt idx="0">
                  <c:v>پمپ ها</c:v>
                </c:pt>
                <c:pt idx="1">
                  <c:v>همزن ها</c:v>
                </c:pt>
                <c:pt idx="2">
                  <c:v>آشغال گیر</c:v>
                </c:pt>
                <c:pt idx="3">
                  <c:v>بلوئرها و کمپرسورها</c:v>
                </c:pt>
                <c:pt idx="4">
                  <c:v>دیفیوزرها</c:v>
                </c:pt>
                <c:pt idx="5">
                  <c:v>آبگیری لجن</c:v>
                </c:pt>
                <c:pt idx="6">
                  <c:v>گند زدایی</c:v>
                </c:pt>
                <c:pt idx="7">
                  <c:v>تجهیزات فرآوری گاز</c:v>
                </c:pt>
                <c:pt idx="8">
                  <c:v>مبدل‌های حرارتی</c:v>
                </c:pt>
                <c:pt idx="9">
                  <c:v>دیگ حرارتی آب گرم</c:v>
                </c:pt>
              </c:strCache>
            </c:strRef>
          </c:cat>
          <c:val>
            <c:numRef>
              <c:f>'Statistical Summary'!$C$5:$C$14</c:f>
              <c:numCache>
                <c:formatCode>#,##0.0</c:formatCode>
                <c:ptCount val="10"/>
                <c:pt idx="0">
                  <c:v>7063.8349999999991</c:v>
                </c:pt>
                <c:pt idx="1">
                  <c:v>7264.2850000000017</c:v>
                </c:pt>
                <c:pt idx="2">
                  <c:v>7502.6850000000004</c:v>
                </c:pt>
                <c:pt idx="3">
                  <c:v>6216.125</c:v>
                </c:pt>
                <c:pt idx="4">
                  <c:v>5487.7650000000012</c:v>
                </c:pt>
                <c:pt idx="5">
                  <c:v>4889.3500000000004</c:v>
                </c:pt>
                <c:pt idx="6">
                  <c:v>7403.6849999999995</c:v>
                </c:pt>
                <c:pt idx="7">
                  <c:v>6571.38</c:v>
                </c:pt>
                <c:pt idx="8">
                  <c:v>6683.5650000000005</c:v>
                </c:pt>
                <c:pt idx="9">
                  <c:v>7412.0199999999995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FA1-4E23-8A46-1D109026D4ED}"/>
            </c:ext>
          </c:extLst>
        </c:ser>
        <c:ser>
          <c:idx val="2"/>
          <c:order val="2"/>
          <c:tx>
            <c:strRef>
              <c:f>'Statistical Summary'!G4</c:f>
              <c:strCache>
                <c:ptCount val="1"/>
                <c:pt idx="0">
                  <c:v>Max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'Statistical Summary'!$B$5:$B$14</c:f>
              <c:strCache>
                <c:ptCount val="10"/>
                <c:pt idx="0">
                  <c:v>پمپ ها</c:v>
                </c:pt>
                <c:pt idx="1">
                  <c:v>همزن ها</c:v>
                </c:pt>
                <c:pt idx="2">
                  <c:v>آشغال گیر</c:v>
                </c:pt>
                <c:pt idx="3">
                  <c:v>بلوئرها و کمپرسورها</c:v>
                </c:pt>
                <c:pt idx="4">
                  <c:v>دیفیوزرها</c:v>
                </c:pt>
                <c:pt idx="5">
                  <c:v>آبگیری لجن</c:v>
                </c:pt>
                <c:pt idx="6">
                  <c:v>گند زدایی</c:v>
                </c:pt>
                <c:pt idx="7">
                  <c:v>تجهیزات فرآوری گاز</c:v>
                </c:pt>
                <c:pt idx="8">
                  <c:v>مبدل‌های حرارتی</c:v>
                </c:pt>
                <c:pt idx="9">
                  <c:v>دیگ حرارتی آب گرم</c:v>
                </c:pt>
              </c:strCache>
            </c:strRef>
          </c:cat>
          <c:val>
            <c:numRef>
              <c:f>'Statistical Summary'!$G$5:$G$14</c:f>
              <c:numCache>
                <c:formatCode>#,##0.0</c:formatCode>
                <c:ptCount val="10"/>
                <c:pt idx="0">
                  <c:v>9768.7999999999993</c:v>
                </c:pt>
                <c:pt idx="1">
                  <c:v>12985.2</c:v>
                </c:pt>
                <c:pt idx="2">
                  <c:v>12560</c:v>
                </c:pt>
                <c:pt idx="3">
                  <c:v>11823.5</c:v>
                </c:pt>
                <c:pt idx="4">
                  <c:v>9111.1</c:v>
                </c:pt>
                <c:pt idx="5">
                  <c:v>8074.7</c:v>
                </c:pt>
                <c:pt idx="6">
                  <c:v>13786.4</c:v>
                </c:pt>
                <c:pt idx="7">
                  <c:v>9970.7999999999993</c:v>
                </c:pt>
                <c:pt idx="8">
                  <c:v>10036.200000000001</c:v>
                </c:pt>
                <c:pt idx="9">
                  <c:v>12767.3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FA1-4E23-8A46-1D109026D4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Index Value</a:t>
                </a:r>
              </a:p>
            </c:rich>
          </c:tx>
          <c:overlay val="1"/>
        </c:title>
        <c:numFmt formatCode="#,##0.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0</xdr:colOff>
      <xdr:row>7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</xdr:row>
      <xdr:rowOff>0</xdr:rowOff>
    </xdr:from>
    <xdr:ext cx="8640000" cy="43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</xdr:row>
      <xdr:rowOff>0</xdr:rowOff>
    </xdr:from>
    <xdr:ext cx="7200000" cy="43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</xdr:row>
      <xdr:rowOff>0</xdr:rowOff>
    </xdr:from>
    <xdr:ext cx="7920000" cy="43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0</xdr:colOff>
      <xdr:row>3</xdr:row>
      <xdr:rowOff>0</xdr:rowOff>
    </xdr:from>
    <xdr:ext cx="6480000" cy="504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</xdr:row>
      <xdr:rowOff>0</xdr:rowOff>
    </xdr:from>
    <xdr:ext cx="7920000" cy="43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365D"/>
  </sheetPr>
  <dimension ref="A1:L29"/>
  <sheetViews>
    <sheetView zoomScaleNormal="100" workbookViewId="0"/>
  </sheetViews>
  <sheetFormatPr defaultColWidth="8.7109375" defaultRowHeight="15"/>
  <cols>
    <col min="1" max="1" width="4" style="1" customWidth="1"/>
    <col min="2" max="6" width="18" style="1" customWidth="1"/>
    <col min="7" max="7" width="4" style="1" customWidth="1"/>
    <col min="8" max="11" width="18" style="1" customWidth="1"/>
    <col min="12" max="12" width="4" style="1" customWidth="1"/>
  </cols>
  <sheetData>
    <row r="1" spans="2:11" ht="19.5" customHeight="1"/>
    <row r="2" spans="2:11" ht="19.5" customHeight="1">
      <c r="B2" s="31" t="s">
        <v>0</v>
      </c>
      <c r="C2" s="26"/>
      <c r="D2" s="26"/>
      <c r="E2" s="26"/>
      <c r="F2" s="26"/>
      <c r="G2" s="26"/>
      <c r="H2" s="26"/>
      <c r="I2" s="26"/>
      <c r="J2" s="26"/>
      <c r="K2" s="26"/>
    </row>
    <row r="3" spans="2:11" ht="19.5" customHeight="1">
      <c r="B3" s="32" t="s">
        <v>1</v>
      </c>
      <c r="C3" s="26"/>
      <c r="D3" s="26"/>
      <c r="E3" s="26"/>
      <c r="F3" s="26"/>
      <c r="G3" s="26"/>
      <c r="H3" s="26"/>
      <c r="I3" s="26"/>
      <c r="J3" s="26"/>
      <c r="K3" s="26"/>
    </row>
    <row r="4" spans="2:11" ht="19.5" customHeight="1">
      <c r="B4" s="28" t="s">
        <v>2</v>
      </c>
      <c r="C4" s="26"/>
      <c r="D4" s="26"/>
      <c r="E4" s="26"/>
      <c r="F4" s="26"/>
      <c r="G4" s="26"/>
      <c r="H4" s="26"/>
      <c r="I4" s="26"/>
      <c r="J4" s="26"/>
      <c r="K4" s="26"/>
    </row>
    <row r="5" spans="2:11" ht="19.5" customHeight="1"/>
    <row r="6" spans="2:11" ht="19.5" customHeight="1">
      <c r="B6" s="30" t="s">
        <v>3</v>
      </c>
      <c r="C6" s="34"/>
      <c r="D6" s="34"/>
      <c r="E6" s="34"/>
    </row>
    <row r="7" spans="2:11" ht="19.5" customHeight="1"/>
    <row r="8" spans="2:11" ht="19.5" customHeight="1">
      <c r="B8" s="27" t="s">
        <v>4</v>
      </c>
      <c r="C8" s="35"/>
      <c r="D8" s="27" t="s">
        <v>5</v>
      </c>
      <c r="E8" s="35"/>
      <c r="H8" s="27" t="s">
        <v>6</v>
      </c>
      <c r="I8" s="35"/>
      <c r="J8" s="27" t="s">
        <v>7</v>
      </c>
      <c r="K8" s="35"/>
    </row>
    <row r="9" spans="2:11" ht="19.5" customHeight="1">
      <c r="B9" s="36"/>
      <c r="C9" s="26"/>
      <c r="D9" s="36"/>
      <c r="E9" s="26"/>
      <c r="H9" s="36"/>
      <c r="I9" s="26"/>
      <c r="J9" s="36"/>
      <c r="K9" s="26"/>
    </row>
    <row r="10" spans="2:11" ht="19.5" customHeight="1">
      <c r="B10" s="36"/>
      <c r="C10" s="26"/>
      <c r="D10" s="36"/>
      <c r="E10" s="26"/>
      <c r="H10" s="36"/>
      <c r="I10" s="26"/>
      <c r="J10" s="36"/>
      <c r="K10" s="26"/>
    </row>
    <row r="11" spans="2:11" ht="19.5" customHeight="1">
      <c r="B11" s="2" t="s">
        <v>8</v>
      </c>
      <c r="D11" s="2" t="s">
        <v>9</v>
      </c>
      <c r="H11" s="2" t="s">
        <v>10</v>
      </c>
      <c r="J11" s="2" t="s">
        <v>11</v>
      </c>
    </row>
    <row r="12" spans="2:11" ht="19.5" customHeight="1"/>
    <row r="13" spans="2:11" ht="19.5" customHeight="1">
      <c r="B13" s="29" t="s">
        <v>12</v>
      </c>
      <c r="C13" s="26"/>
      <c r="D13" s="26"/>
      <c r="E13" s="26"/>
      <c r="H13" s="25" t="s">
        <v>13</v>
      </c>
      <c r="I13" s="26"/>
      <c r="J13" s="26"/>
      <c r="K13" s="26"/>
    </row>
    <row r="14" spans="2:11" ht="19.5" customHeight="1">
      <c r="B14" s="3" t="s">
        <v>14</v>
      </c>
      <c r="C14" s="3" t="s">
        <v>15</v>
      </c>
      <c r="D14" s="3" t="s">
        <v>16</v>
      </c>
      <c r="E14" s="3" t="s">
        <v>17</v>
      </c>
      <c r="H14" s="3" t="s">
        <v>14</v>
      </c>
      <c r="I14" s="3" t="s">
        <v>15</v>
      </c>
      <c r="J14" s="3" t="s">
        <v>16</v>
      </c>
      <c r="K14" s="3" t="s">
        <v>17</v>
      </c>
    </row>
    <row r="15" spans="2:11" ht="19.5" customHeight="1">
      <c r="B15" s="4">
        <v>1</v>
      </c>
      <c r="C15" s="4">
        <v>7</v>
      </c>
      <c r="D15" s="4" t="s">
        <v>18</v>
      </c>
      <c r="E15" s="4" t="s">
        <v>19</v>
      </c>
      <c r="H15" s="4">
        <v>29</v>
      </c>
      <c r="I15" s="4">
        <v>6</v>
      </c>
      <c r="J15" s="4" t="s">
        <v>20</v>
      </c>
      <c r="K15" s="4" t="s">
        <v>21</v>
      </c>
    </row>
    <row r="16" spans="2:11" ht="19.5" customHeight="1">
      <c r="B16" s="5">
        <v>2</v>
      </c>
      <c r="C16" s="5">
        <v>2</v>
      </c>
      <c r="D16" s="5" t="s">
        <v>22</v>
      </c>
      <c r="E16" s="5" t="s">
        <v>23</v>
      </c>
      <c r="H16" s="5">
        <v>30</v>
      </c>
      <c r="I16" s="5">
        <v>17</v>
      </c>
      <c r="J16" s="5" t="s">
        <v>24</v>
      </c>
      <c r="K16" s="5" t="s">
        <v>25</v>
      </c>
    </row>
    <row r="17" spans="2:11" ht="19.5" customHeight="1">
      <c r="B17" s="4">
        <v>3</v>
      </c>
      <c r="C17" s="4">
        <v>10</v>
      </c>
      <c r="D17" s="4" t="s">
        <v>26</v>
      </c>
      <c r="E17" s="4" t="s">
        <v>27</v>
      </c>
      <c r="H17" s="4">
        <v>31</v>
      </c>
      <c r="I17" s="4">
        <v>15</v>
      </c>
      <c r="J17" s="4" t="s">
        <v>24</v>
      </c>
      <c r="K17" s="4" t="s">
        <v>28</v>
      </c>
    </row>
    <row r="18" spans="2:11" ht="19.5" customHeight="1">
      <c r="B18" s="5">
        <v>4</v>
      </c>
      <c r="C18" s="5">
        <v>3</v>
      </c>
      <c r="D18" s="5" t="s">
        <v>29</v>
      </c>
      <c r="E18" s="5" t="s">
        <v>30</v>
      </c>
      <c r="H18" s="5">
        <v>32</v>
      </c>
      <c r="I18" s="5">
        <v>20</v>
      </c>
      <c r="J18" s="5" t="s">
        <v>24</v>
      </c>
      <c r="K18" s="5" t="s">
        <v>31</v>
      </c>
    </row>
    <row r="19" spans="2:11" ht="19.5" customHeight="1">
      <c r="B19" s="4">
        <v>5</v>
      </c>
      <c r="C19" s="4">
        <v>21</v>
      </c>
      <c r="D19" s="4" t="s">
        <v>32</v>
      </c>
      <c r="E19" s="4" t="s">
        <v>33</v>
      </c>
      <c r="H19" s="4">
        <v>33</v>
      </c>
      <c r="I19" s="4">
        <v>32</v>
      </c>
      <c r="J19" s="4" t="s">
        <v>34</v>
      </c>
      <c r="K19" s="4" t="s">
        <v>35</v>
      </c>
    </row>
    <row r="20" spans="2:11" ht="19.5" customHeight="1"/>
    <row r="21" spans="2:11" ht="19.5" customHeight="1"/>
    <row r="22" spans="2:11" ht="19.5" customHeight="1"/>
    <row r="23" spans="2:11" ht="19.5" customHeight="1"/>
    <row r="24" spans="2:11" ht="19.5" customHeight="1"/>
    <row r="25" spans="2:11" ht="19.5" customHeight="1"/>
    <row r="26" spans="2:11" ht="19.5" customHeight="1"/>
    <row r="27" spans="2:11" ht="19.5" customHeight="1"/>
    <row r="28" spans="2:11" ht="19.5" customHeight="1"/>
    <row r="29" spans="2:11" ht="19.5" customHeight="1"/>
  </sheetData>
  <mergeCells count="10">
    <mergeCell ref="B2:K2"/>
    <mergeCell ref="J8:K10"/>
    <mergeCell ref="B3:K3"/>
    <mergeCell ref="H13:K13"/>
    <mergeCell ref="D8:E10"/>
    <mergeCell ref="B8:C10"/>
    <mergeCell ref="B4:K4"/>
    <mergeCell ref="B13:E13"/>
    <mergeCell ref="B6:E6"/>
    <mergeCell ref="H8:I10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E5090"/>
  </sheetPr>
  <dimension ref="A1:AC37"/>
  <sheetViews>
    <sheetView zoomScaleNormal="100" workbookViewId="0"/>
  </sheetViews>
  <sheetFormatPr defaultColWidth="8.7109375" defaultRowHeight="15"/>
  <cols>
    <col min="1" max="1" width="8" style="1" customWidth="1"/>
    <col min="2" max="2" width="25" style="1" customWidth="1"/>
    <col min="3" max="29" width="11" style="1" customWidth="1"/>
  </cols>
  <sheetData>
    <row r="1" spans="1:27" ht="39.75" customHeight="1">
      <c r="A1" s="31" t="s">
        <v>36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</row>
    <row r="2" spans="1:27" ht="17.850000000000001" customHeight="1">
      <c r="A2" s="32" t="s">
        <v>37</v>
      </c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4" spans="1:27" ht="26.1" customHeight="1">
      <c r="A4" s="3" t="s">
        <v>38</v>
      </c>
      <c r="B4" s="3" t="s">
        <v>39</v>
      </c>
      <c r="C4" s="3" t="s">
        <v>40</v>
      </c>
      <c r="D4" s="3" t="s">
        <v>41</v>
      </c>
      <c r="E4" s="3" t="s">
        <v>42</v>
      </c>
      <c r="F4" s="3" t="s">
        <v>43</v>
      </c>
      <c r="G4" s="3" t="s">
        <v>44</v>
      </c>
      <c r="H4" s="3" t="s">
        <v>45</v>
      </c>
      <c r="I4" s="3" t="s">
        <v>46</v>
      </c>
      <c r="J4" s="3" t="s">
        <v>47</v>
      </c>
      <c r="K4" s="3" t="s">
        <v>48</v>
      </c>
      <c r="L4" s="3" t="s">
        <v>49</v>
      </c>
      <c r="M4" s="3" t="s">
        <v>50</v>
      </c>
      <c r="N4" s="3" t="s">
        <v>51</v>
      </c>
      <c r="O4" s="3" t="s">
        <v>52</v>
      </c>
      <c r="P4" s="3" t="s">
        <v>53</v>
      </c>
      <c r="Q4" s="3" t="s">
        <v>54</v>
      </c>
      <c r="R4" s="3" t="s">
        <v>55</v>
      </c>
      <c r="S4" s="3" t="s">
        <v>56</v>
      </c>
      <c r="T4" s="3" t="s">
        <v>57</v>
      </c>
      <c r="U4" s="3" t="s">
        <v>58</v>
      </c>
      <c r="V4" s="3" t="s">
        <v>59</v>
      </c>
      <c r="W4" s="3" t="s">
        <v>60</v>
      </c>
      <c r="X4" s="3" t="s">
        <v>61</v>
      </c>
      <c r="Y4" s="3" t="s">
        <v>62</v>
      </c>
      <c r="Z4" s="3" t="s">
        <v>63</v>
      </c>
      <c r="AA4" s="3" t="s">
        <v>64</v>
      </c>
    </row>
    <row r="5" spans="1:27" ht="23.85" customHeight="1">
      <c r="A5" s="6">
        <v>1</v>
      </c>
      <c r="B5" s="6" t="s">
        <v>65</v>
      </c>
      <c r="C5" s="7">
        <v>3000</v>
      </c>
      <c r="D5" s="5"/>
      <c r="E5" s="7">
        <v>3977.9</v>
      </c>
      <c r="F5" s="7">
        <v>4675.3</v>
      </c>
      <c r="G5" s="7">
        <v>4649.3</v>
      </c>
      <c r="H5" s="7">
        <v>6086</v>
      </c>
      <c r="I5" s="7">
        <v>6095.3</v>
      </c>
      <c r="J5" s="7">
        <v>6095.3</v>
      </c>
      <c r="K5" s="7">
        <v>6095.3</v>
      </c>
      <c r="L5" s="7">
        <v>6317.5</v>
      </c>
      <c r="M5" s="7">
        <v>7061.4</v>
      </c>
      <c r="N5" s="7">
        <v>7683.9</v>
      </c>
      <c r="O5" s="7">
        <v>7707</v>
      </c>
      <c r="P5" s="7">
        <v>7700.9</v>
      </c>
      <c r="Q5" s="7">
        <v>7716.9</v>
      </c>
      <c r="R5" s="7">
        <v>8933</v>
      </c>
      <c r="S5" s="7">
        <v>8955.5</v>
      </c>
      <c r="T5" s="7">
        <v>9454.1</v>
      </c>
      <c r="U5" s="7">
        <v>9543.9</v>
      </c>
      <c r="V5" s="7">
        <v>9759.4</v>
      </c>
      <c r="W5" s="7">
        <v>9768.7999999999993</v>
      </c>
      <c r="X5" s="8">
        <v>225.6</v>
      </c>
      <c r="Y5" s="5"/>
      <c r="Z5" s="5"/>
      <c r="AA5" s="5"/>
    </row>
    <row r="6" spans="1:27" ht="23.85" customHeight="1">
      <c r="A6" s="9">
        <v>2</v>
      </c>
      <c r="B6" s="9" t="s">
        <v>22</v>
      </c>
      <c r="C6" s="10">
        <v>3000</v>
      </c>
      <c r="D6" s="4"/>
      <c r="E6" s="10">
        <v>3137.2</v>
      </c>
      <c r="F6" s="10">
        <v>3138.3</v>
      </c>
      <c r="G6" s="10">
        <v>3754.7</v>
      </c>
      <c r="H6" s="10">
        <v>4509</v>
      </c>
      <c r="I6" s="10">
        <v>4733.5</v>
      </c>
      <c r="J6" s="10">
        <v>4969.6000000000004</v>
      </c>
      <c r="K6" s="10">
        <v>5002.7</v>
      </c>
      <c r="L6" s="10">
        <v>5453.3</v>
      </c>
      <c r="M6" s="10">
        <v>6054</v>
      </c>
      <c r="N6" s="10">
        <v>6341.6</v>
      </c>
      <c r="O6" s="10">
        <v>6344.8</v>
      </c>
      <c r="P6" s="10">
        <v>8465.9</v>
      </c>
      <c r="Q6" s="10">
        <v>8468.2999999999993</v>
      </c>
      <c r="R6" s="10">
        <v>11322.1</v>
      </c>
      <c r="S6" s="10">
        <v>11806.6</v>
      </c>
      <c r="T6" s="10">
        <v>11806.6</v>
      </c>
      <c r="U6" s="10">
        <v>11806.4</v>
      </c>
      <c r="V6" s="10">
        <v>12185.9</v>
      </c>
      <c r="W6" s="10">
        <v>12985.2</v>
      </c>
      <c r="X6" s="11">
        <v>332.8</v>
      </c>
      <c r="Y6" s="4"/>
      <c r="Z6" s="4"/>
      <c r="AA6" s="4"/>
    </row>
    <row r="7" spans="1:27" ht="23.85" customHeight="1">
      <c r="A7" s="6">
        <v>3</v>
      </c>
      <c r="B7" s="6" t="s">
        <v>29</v>
      </c>
      <c r="C7" s="7">
        <v>3000</v>
      </c>
      <c r="D7" s="5"/>
      <c r="E7" s="7">
        <v>3255.4</v>
      </c>
      <c r="F7" s="7">
        <v>3350.4</v>
      </c>
      <c r="G7" s="7">
        <v>4163.8</v>
      </c>
      <c r="H7" s="7">
        <v>5459</v>
      </c>
      <c r="I7" s="7">
        <v>5746</v>
      </c>
      <c r="J7" s="7">
        <v>6139.7</v>
      </c>
      <c r="K7" s="7">
        <v>6139.7</v>
      </c>
      <c r="L7" s="7">
        <v>6403.5</v>
      </c>
      <c r="M7" s="7">
        <v>7069.7</v>
      </c>
      <c r="N7" s="7">
        <v>6737.9</v>
      </c>
      <c r="O7" s="7">
        <v>7096.6</v>
      </c>
      <c r="P7" s="7">
        <v>8643.4</v>
      </c>
      <c r="Q7" s="7">
        <v>8649.6</v>
      </c>
      <c r="R7" s="7">
        <v>9802.5</v>
      </c>
      <c r="S7" s="7">
        <v>10302.9</v>
      </c>
      <c r="T7" s="7">
        <v>11719.3</v>
      </c>
      <c r="U7" s="7">
        <v>11727.1</v>
      </c>
      <c r="V7" s="7">
        <v>12087.2</v>
      </c>
      <c r="W7" s="7">
        <v>12560</v>
      </c>
      <c r="X7" s="8">
        <v>318.7</v>
      </c>
      <c r="Y7" s="5"/>
      <c r="Z7" s="5"/>
      <c r="AA7" s="5"/>
    </row>
    <row r="8" spans="1:27" ht="23.85" customHeight="1">
      <c r="A8" s="9">
        <v>4</v>
      </c>
      <c r="B8" s="9" t="s">
        <v>66</v>
      </c>
      <c r="C8" s="10">
        <v>3000</v>
      </c>
      <c r="D8" s="4"/>
      <c r="E8" s="10">
        <v>3161.8</v>
      </c>
      <c r="F8" s="10">
        <v>3255.6</v>
      </c>
      <c r="G8" s="10">
        <v>3321.3</v>
      </c>
      <c r="H8" s="10">
        <v>3913</v>
      </c>
      <c r="I8" s="10">
        <v>3905.9</v>
      </c>
      <c r="J8" s="10">
        <v>4272.3999999999996</v>
      </c>
      <c r="K8" s="10">
        <v>4272.3999999999996</v>
      </c>
      <c r="L8" s="10">
        <v>4999.8999999999996</v>
      </c>
      <c r="M8" s="10">
        <v>5531.3</v>
      </c>
      <c r="N8" s="10">
        <v>5731.8</v>
      </c>
      <c r="O8" s="10">
        <v>5374</v>
      </c>
      <c r="P8" s="10">
        <v>6919.3</v>
      </c>
      <c r="Q8" s="10">
        <v>6920.4</v>
      </c>
      <c r="R8" s="10">
        <v>8537.2999999999993</v>
      </c>
      <c r="S8" s="10">
        <v>8532.2000000000007</v>
      </c>
      <c r="T8" s="10">
        <v>9097.4</v>
      </c>
      <c r="U8" s="10">
        <v>10625</v>
      </c>
      <c r="V8" s="10">
        <v>11128</v>
      </c>
      <c r="W8" s="10">
        <v>11823.5</v>
      </c>
      <c r="X8" s="11">
        <v>294.10000000000002</v>
      </c>
      <c r="Y8" s="4"/>
      <c r="Z8" s="4"/>
      <c r="AA8" s="4"/>
    </row>
    <row r="9" spans="1:27" ht="23.85" customHeight="1">
      <c r="A9" s="6">
        <v>5</v>
      </c>
      <c r="B9" s="6" t="s">
        <v>67</v>
      </c>
      <c r="C9" s="7">
        <v>3000</v>
      </c>
      <c r="D9" s="5"/>
      <c r="E9" s="7">
        <v>3379.5</v>
      </c>
      <c r="F9" s="7">
        <v>3413.4</v>
      </c>
      <c r="G9" s="7">
        <v>3533.4</v>
      </c>
      <c r="H9" s="7">
        <v>3703</v>
      </c>
      <c r="I9" s="7">
        <v>3724.2</v>
      </c>
      <c r="J9" s="7">
        <v>3840.4</v>
      </c>
      <c r="K9" s="7">
        <v>3995.5</v>
      </c>
      <c r="L9" s="7">
        <v>4419.5</v>
      </c>
      <c r="M9" s="7">
        <v>4984.8999999999996</v>
      </c>
      <c r="N9" s="7">
        <v>5868.1</v>
      </c>
      <c r="O9" s="7">
        <v>5886.4</v>
      </c>
      <c r="P9" s="7">
        <v>5822.6</v>
      </c>
      <c r="Q9" s="7">
        <v>5851.3</v>
      </c>
      <c r="R9" s="7">
        <v>6711.4</v>
      </c>
      <c r="S9" s="7">
        <v>6734.6</v>
      </c>
      <c r="T9" s="7">
        <v>8347.2000000000007</v>
      </c>
      <c r="U9" s="7">
        <v>8429.5</v>
      </c>
      <c r="V9" s="7">
        <v>8999.2999999999993</v>
      </c>
      <c r="W9" s="7">
        <v>9111.1</v>
      </c>
      <c r="X9" s="8">
        <v>203.7</v>
      </c>
      <c r="Y9" s="5"/>
      <c r="Z9" s="5"/>
      <c r="AA9" s="5"/>
    </row>
    <row r="10" spans="1:27" ht="23.85" customHeight="1">
      <c r="A10" s="9">
        <v>6</v>
      </c>
      <c r="B10" s="9" t="s">
        <v>20</v>
      </c>
      <c r="C10" s="10">
        <v>3000</v>
      </c>
      <c r="D10" s="4"/>
      <c r="E10" s="10">
        <v>3152.9</v>
      </c>
      <c r="F10" s="10">
        <v>3243</v>
      </c>
      <c r="G10" s="10">
        <v>3302.5</v>
      </c>
      <c r="H10" s="10">
        <v>3425</v>
      </c>
      <c r="I10" s="10">
        <v>3492.4</v>
      </c>
      <c r="J10" s="10">
        <v>3908.5</v>
      </c>
      <c r="K10" s="10">
        <v>4351.1000000000004</v>
      </c>
      <c r="L10" s="10">
        <v>4445.2</v>
      </c>
      <c r="M10" s="10">
        <v>4770.5</v>
      </c>
      <c r="N10" s="10">
        <v>4996.3999999999996</v>
      </c>
      <c r="O10" s="10">
        <v>4997.2</v>
      </c>
      <c r="P10" s="10">
        <v>5068</v>
      </c>
      <c r="Q10" s="10">
        <v>5068.5</v>
      </c>
      <c r="R10" s="10">
        <v>5729.5</v>
      </c>
      <c r="S10" s="10">
        <v>5478.1</v>
      </c>
      <c r="T10" s="10">
        <v>6134.6</v>
      </c>
      <c r="U10" s="10">
        <v>7296.6</v>
      </c>
      <c r="V10" s="10">
        <v>7852.3</v>
      </c>
      <c r="W10" s="10">
        <v>8074.7</v>
      </c>
      <c r="X10" s="11">
        <v>169.2</v>
      </c>
      <c r="Y10" s="4"/>
      <c r="Z10" s="4"/>
      <c r="AA10" s="4"/>
    </row>
    <row r="11" spans="1:27" ht="23.85" customHeight="1">
      <c r="A11" s="6">
        <v>7</v>
      </c>
      <c r="B11" s="6" t="s">
        <v>18</v>
      </c>
      <c r="C11" s="7">
        <v>3000</v>
      </c>
      <c r="D11" s="5"/>
      <c r="E11" s="7">
        <v>3522</v>
      </c>
      <c r="F11" s="7">
        <v>3846</v>
      </c>
      <c r="G11" s="7">
        <v>3969</v>
      </c>
      <c r="H11" s="7">
        <v>4929</v>
      </c>
      <c r="I11" s="7">
        <v>5282.7</v>
      </c>
      <c r="J11" s="7">
        <v>5100.2</v>
      </c>
      <c r="K11" s="7">
        <v>5231.5</v>
      </c>
      <c r="L11" s="7">
        <v>5707.8</v>
      </c>
      <c r="M11" s="7">
        <v>6342.9</v>
      </c>
      <c r="N11" s="7">
        <v>7123.1</v>
      </c>
      <c r="O11" s="7">
        <v>7130.2</v>
      </c>
      <c r="P11" s="7">
        <v>7384.5</v>
      </c>
      <c r="Q11" s="7">
        <v>8680.5</v>
      </c>
      <c r="R11" s="7">
        <v>10049</v>
      </c>
      <c r="S11" s="7">
        <v>10543.2</v>
      </c>
      <c r="T11" s="7">
        <v>10546.8</v>
      </c>
      <c r="U11" s="7">
        <v>12487.2</v>
      </c>
      <c r="V11" s="7">
        <v>13411.7</v>
      </c>
      <c r="W11" s="7">
        <v>13786.4</v>
      </c>
      <c r="X11" s="8">
        <v>359.5</v>
      </c>
      <c r="Y11" s="5"/>
      <c r="Z11" s="5"/>
      <c r="AA11" s="5"/>
    </row>
    <row r="12" spans="1:27" ht="23.85" customHeight="1">
      <c r="A12" s="9">
        <v>8</v>
      </c>
      <c r="B12" s="9" t="s">
        <v>68</v>
      </c>
      <c r="C12" s="10">
        <v>3000</v>
      </c>
      <c r="D12" s="4"/>
      <c r="E12" s="10">
        <v>3600.4</v>
      </c>
      <c r="F12" s="10">
        <v>4050.2</v>
      </c>
      <c r="G12" s="10">
        <v>4199.3999999999996</v>
      </c>
      <c r="H12" s="10">
        <v>4598</v>
      </c>
      <c r="I12" s="10">
        <v>4472.3999999999996</v>
      </c>
      <c r="J12" s="10">
        <v>4959.1000000000004</v>
      </c>
      <c r="K12" s="10">
        <v>5504.6</v>
      </c>
      <c r="L12" s="10">
        <v>6008.5</v>
      </c>
      <c r="M12" s="10">
        <v>6680.5</v>
      </c>
      <c r="N12" s="10">
        <v>6681.7</v>
      </c>
      <c r="O12" s="10">
        <v>6681.9</v>
      </c>
      <c r="P12" s="10">
        <v>6682.6</v>
      </c>
      <c r="Q12" s="10">
        <v>7864.1</v>
      </c>
      <c r="R12" s="10">
        <v>9217.4</v>
      </c>
      <c r="S12" s="10">
        <v>8958.5</v>
      </c>
      <c r="T12" s="10">
        <v>9233.2000000000007</v>
      </c>
      <c r="U12" s="10">
        <v>9233.5</v>
      </c>
      <c r="V12" s="10">
        <v>9830.7999999999993</v>
      </c>
      <c r="W12" s="10">
        <v>9970.7999999999993</v>
      </c>
      <c r="X12" s="11">
        <v>232.4</v>
      </c>
      <c r="Y12" s="4"/>
      <c r="Z12" s="4"/>
      <c r="AA12" s="4"/>
    </row>
    <row r="13" spans="1:27" ht="23.85" customHeight="1">
      <c r="A13" s="6">
        <v>9</v>
      </c>
      <c r="B13" s="6" t="s">
        <v>69</v>
      </c>
      <c r="C13" s="7">
        <v>3000</v>
      </c>
      <c r="D13" s="5"/>
      <c r="E13" s="7">
        <v>3715.1</v>
      </c>
      <c r="F13" s="7">
        <v>4050.5</v>
      </c>
      <c r="G13" s="7">
        <v>4200.7</v>
      </c>
      <c r="H13" s="7">
        <v>4604</v>
      </c>
      <c r="I13" s="7">
        <v>4477.8999999999996</v>
      </c>
      <c r="J13" s="7">
        <v>4982.3999999999996</v>
      </c>
      <c r="K13" s="7">
        <v>5545.7</v>
      </c>
      <c r="L13" s="7">
        <v>6049.8</v>
      </c>
      <c r="M13" s="7">
        <v>6721.9</v>
      </c>
      <c r="N13" s="7">
        <v>7463.4</v>
      </c>
      <c r="O13" s="7">
        <v>7464.3</v>
      </c>
      <c r="P13" s="7">
        <v>7542</v>
      </c>
      <c r="Q13" s="7">
        <v>7914.5</v>
      </c>
      <c r="R13" s="7">
        <v>8708.6</v>
      </c>
      <c r="S13" s="7">
        <v>8709.7000000000007</v>
      </c>
      <c r="T13" s="7">
        <v>9294</v>
      </c>
      <c r="U13" s="7">
        <v>9295.2000000000007</v>
      </c>
      <c r="V13" s="7">
        <v>9895.4</v>
      </c>
      <c r="W13" s="7">
        <v>10036.200000000001</v>
      </c>
      <c r="X13" s="8">
        <v>234.5</v>
      </c>
      <c r="Y13" s="5"/>
      <c r="Z13" s="5"/>
      <c r="AA13" s="5"/>
    </row>
    <row r="14" spans="1:27" ht="23.85" customHeight="1">
      <c r="A14" s="9">
        <v>10</v>
      </c>
      <c r="B14" s="9" t="s">
        <v>26</v>
      </c>
      <c r="C14" s="10">
        <v>3000</v>
      </c>
      <c r="D14" s="4"/>
      <c r="E14" s="10">
        <v>3106.1</v>
      </c>
      <c r="F14" s="10">
        <v>3935.1</v>
      </c>
      <c r="G14" s="10">
        <v>4449.3999999999996</v>
      </c>
      <c r="H14" s="10">
        <v>5259</v>
      </c>
      <c r="I14" s="10">
        <v>4987.8</v>
      </c>
      <c r="J14" s="10">
        <v>5262.7</v>
      </c>
      <c r="K14" s="10">
        <v>5648.9</v>
      </c>
      <c r="L14" s="10">
        <v>6182.9</v>
      </c>
      <c r="M14" s="10">
        <v>6894.8</v>
      </c>
      <c r="N14" s="10">
        <v>7730.7</v>
      </c>
      <c r="O14" s="10">
        <v>7765.9</v>
      </c>
      <c r="P14" s="10">
        <v>8478.6</v>
      </c>
      <c r="Q14" s="10">
        <v>8508.2000000000007</v>
      </c>
      <c r="R14" s="10">
        <v>9451.2999999999993</v>
      </c>
      <c r="S14" s="10">
        <v>9491.1</v>
      </c>
      <c r="T14" s="10">
        <v>10970.3</v>
      </c>
      <c r="U14" s="10">
        <v>12045.4</v>
      </c>
      <c r="V14" s="10">
        <v>12304.9</v>
      </c>
      <c r="W14" s="10">
        <v>12767.3</v>
      </c>
      <c r="X14" s="11">
        <v>325.60000000000002</v>
      </c>
      <c r="Y14" s="4"/>
      <c r="Z14" s="4"/>
      <c r="AA14" s="4"/>
    </row>
    <row r="15" spans="1:27" ht="23.85" customHeight="1">
      <c r="A15" s="6">
        <v>11</v>
      </c>
      <c r="B15" s="6" t="s">
        <v>70</v>
      </c>
      <c r="C15" s="7">
        <v>3000</v>
      </c>
      <c r="D15" s="5"/>
      <c r="E15" s="7">
        <v>3307.7</v>
      </c>
      <c r="F15" s="7">
        <v>3315.5</v>
      </c>
      <c r="G15" s="7">
        <v>3438</v>
      </c>
      <c r="H15" s="7">
        <v>3899</v>
      </c>
      <c r="I15" s="7">
        <v>3915.9</v>
      </c>
      <c r="J15" s="7">
        <v>4051.7</v>
      </c>
      <c r="K15" s="7">
        <v>4287.2</v>
      </c>
      <c r="L15" s="7">
        <v>4699.7</v>
      </c>
      <c r="M15" s="7">
        <v>5249.8</v>
      </c>
      <c r="N15" s="7">
        <v>5483.8</v>
      </c>
      <c r="O15" s="7">
        <v>5530.9</v>
      </c>
      <c r="P15" s="7">
        <v>5567.5</v>
      </c>
      <c r="Q15" s="7">
        <v>6352.6</v>
      </c>
      <c r="R15" s="7">
        <v>7546.9</v>
      </c>
      <c r="S15" s="7">
        <v>7457.4</v>
      </c>
      <c r="T15" s="7">
        <v>8410</v>
      </c>
      <c r="U15" s="7">
        <v>9593.2000000000007</v>
      </c>
      <c r="V15" s="7">
        <v>9613.6</v>
      </c>
      <c r="W15" s="7">
        <v>9633.5</v>
      </c>
      <c r="X15" s="8">
        <v>221.1</v>
      </c>
      <c r="Y15" s="5"/>
      <c r="Z15" s="5"/>
      <c r="AA15" s="5"/>
    </row>
    <row r="16" spans="1:27" ht="23.85" customHeight="1">
      <c r="A16" s="9">
        <v>12</v>
      </c>
      <c r="B16" s="9" t="s">
        <v>71</v>
      </c>
      <c r="C16" s="10">
        <v>3000</v>
      </c>
      <c r="D16" s="4"/>
      <c r="E16" s="10">
        <v>3125.4</v>
      </c>
      <c r="F16" s="10">
        <v>3185.8</v>
      </c>
      <c r="G16" s="10">
        <v>3300.2</v>
      </c>
      <c r="H16" s="10">
        <v>3772</v>
      </c>
      <c r="I16" s="10">
        <v>3775.8</v>
      </c>
      <c r="J16" s="10">
        <v>3992.1</v>
      </c>
      <c r="K16" s="10">
        <v>4261.6000000000004</v>
      </c>
      <c r="L16" s="10">
        <v>4657.6000000000004</v>
      </c>
      <c r="M16" s="10">
        <v>5185.6000000000004</v>
      </c>
      <c r="N16" s="10">
        <v>5195.8999999999996</v>
      </c>
      <c r="O16" s="10">
        <v>4890.7</v>
      </c>
      <c r="P16" s="10">
        <v>5457.1</v>
      </c>
      <c r="Q16" s="10">
        <v>5458.6</v>
      </c>
      <c r="R16" s="10">
        <v>6012.3</v>
      </c>
      <c r="S16" s="10">
        <v>5853.6</v>
      </c>
      <c r="T16" s="10">
        <v>6609.9</v>
      </c>
      <c r="U16" s="10">
        <v>7854.5</v>
      </c>
      <c r="V16" s="10">
        <v>8449.2999999999993</v>
      </c>
      <c r="W16" s="10">
        <v>8687.7000000000007</v>
      </c>
      <c r="X16" s="11">
        <v>189.6</v>
      </c>
      <c r="Y16" s="4"/>
      <c r="Z16" s="4"/>
      <c r="AA16" s="4"/>
    </row>
    <row r="17" spans="1:27" ht="23.85" customHeight="1">
      <c r="A17" s="6">
        <v>13</v>
      </c>
      <c r="B17" s="6" t="s">
        <v>72</v>
      </c>
      <c r="C17" s="7">
        <v>3000</v>
      </c>
      <c r="D17" s="5"/>
      <c r="E17" s="7">
        <v>3016.5</v>
      </c>
      <c r="F17" s="7">
        <v>3142</v>
      </c>
      <c r="G17" s="7">
        <v>3142.2</v>
      </c>
      <c r="H17" s="7">
        <v>3284</v>
      </c>
      <c r="I17" s="7">
        <v>3283.6</v>
      </c>
      <c r="J17" s="7">
        <v>3360.9</v>
      </c>
      <c r="K17" s="7">
        <v>3466.5</v>
      </c>
      <c r="L17" s="7">
        <v>3843.6</v>
      </c>
      <c r="M17" s="7">
        <v>4346.3</v>
      </c>
      <c r="N17" s="7">
        <v>4368</v>
      </c>
      <c r="O17" s="7">
        <v>4937.8</v>
      </c>
      <c r="P17" s="7">
        <v>6354.3</v>
      </c>
      <c r="Q17" s="7">
        <v>6509.9</v>
      </c>
      <c r="R17" s="7">
        <v>6906.3</v>
      </c>
      <c r="S17" s="7">
        <v>6914.2</v>
      </c>
      <c r="T17" s="7">
        <v>8278.6</v>
      </c>
      <c r="U17" s="7">
        <v>8329.7999999999993</v>
      </c>
      <c r="V17" s="7">
        <v>8334.1</v>
      </c>
      <c r="W17" s="7">
        <v>8478.7999999999993</v>
      </c>
      <c r="X17" s="8">
        <v>182.6</v>
      </c>
      <c r="Y17" s="5"/>
      <c r="Z17" s="5"/>
      <c r="AA17" s="5"/>
    </row>
    <row r="18" spans="1:27" ht="23.85" customHeight="1">
      <c r="A18" s="9">
        <v>14</v>
      </c>
      <c r="B18" s="9" t="s">
        <v>73</v>
      </c>
      <c r="C18" s="10">
        <v>3000</v>
      </c>
      <c r="D18" s="4"/>
      <c r="E18" s="10">
        <v>3765</v>
      </c>
      <c r="F18" s="10">
        <v>3837</v>
      </c>
      <c r="G18" s="10">
        <v>3816</v>
      </c>
      <c r="H18" s="10">
        <v>4789</v>
      </c>
      <c r="I18" s="10">
        <v>4880.7</v>
      </c>
      <c r="J18" s="10">
        <v>4695.6000000000004</v>
      </c>
      <c r="K18" s="10">
        <v>4731.8</v>
      </c>
      <c r="L18" s="10">
        <v>4752.1000000000004</v>
      </c>
      <c r="M18" s="10">
        <v>5362.6</v>
      </c>
      <c r="N18" s="10">
        <v>6009.3</v>
      </c>
      <c r="O18" s="10">
        <v>6010.5</v>
      </c>
      <c r="P18" s="10">
        <v>6626.8</v>
      </c>
      <c r="Q18" s="10">
        <v>7239.7</v>
      </c>
      <c r="R18" s="10">
        <v>8149.2</v>
      </c>
      <c r="S18" s="10">
        <v>8151.2</v>
      </c>
      <c r="T18" s="10">
        <v>8763.2999999999993</v>
      </c>
      <c r="U18" s="10">
        <v>10421</v>
      </c>
      <c r="V18" s="10">
        <v>11213.5</v>
      </c>
      <c r="W18" s="10">
        <v>11530.8</v>
      </c>
      <c r="X18" s="11">
        <v>284.39999999999998</v>
      </c>
      <c r="Y18" s="4"/>
      <c r="Z18" s="4"/>
      <c r="AA18" s="4"/>
    </row>
    <row r="19" spans="1:27" ht="23.85" customHeight="1">
      <c r="A19" s="6">
        <v>15</v>
      </c>
      <c r="B19" s="6" t="s">
        <v>74</v>
      </c>
      <c r="C19" s="7">
        <v>3000</v>
      </c>
      <c r="D19" s="5"/>
      <c r="E19" s="7">
        <v>3656.9</v>
      </c>
      <c r="F19" s="7">
        <v>3648.2</v>
      </c>
      <c r="G19" s="7">
        <v>3492</v>
      </c>
      <c r="H19" s="7">
        <v>3750</v>
      </c>
      <c r="I19" s="7">
        <v>3851.7</v>
      </c>
      <c r="J19" s="7">
        <v>4132.8</v>
      </c>
      <c r="K19" s="7">
        <v>4600.7</v>
      </c>
      <c r="L19" s="7">
        <v>4700.2</v>
      </c>
      <c r="M19" s="7">
        <v>5044.2</v>
      </c>
      <c r="N19" s="7">
        <v>5478.1</v>
      </c>
      <c r="O19" s="7">
        <v>5278.7</v>
      </c>
      <c r="P19" s="7">
        <v>5621.4</v>
      </c>
      <c r="Q19" s="7">
        <v>5931.9</v>
      </c>
      <c r="R19" s="7">
        <v>6262.3</v>
      </c>
      <c r="S19" s="7">
        <v>6047.7</v>
      </c>
      <c r="T19" s="7">
        <v>5952.8</v>
      </c>
      <c r="U19" s="7">
        <v>6154.8</v>
      </c>
      <c r="V19" s="7">
        <v>6606.8</v>
      </c>
      <c r="W19" s="7">
        <v>7027.2</v>
      </c>
      <c r="X19" s="8">
        <v>134.19999999999999</v>
      </c>
      <c r="Y19" s="5"/>
      <c r="Z19" s="5"/>
      <c r="AA19" s="5"/>
    </row>
    <row r="20" spans="1:27" ht="23.85" customHeight="1">
      <c r="A20" s="9">
        <v>16</v>
      </c>
      <c r="B20" s="9" t="s">
        <v>75</v>
      </c>
      <c r="C20" s="10">
        <v>3000</v>
      </c>
      <c r="D20" s="4"/>
      <c r="E20" s="10">
        <v>3767.7</v>
      </c>
      <c r="F20" s="10">
        <v>3958.1</v>
      </c>
      <c r="G20" s="10">
        <v>4155.1000000000004</v>
      </c>
      <c r="H20" s="10">
        <v>4409</v>
      </c>
      <c r="I20" s="10">
        <v>4416.8999999999996</v>
      </c>
      <c r="J20" s="10">
        <v>4926.1000000000004</v>
      </c>
      <c r="K20" s="10">
        <v>5489.3</v>
      </c>
      <c r="L20" s="10">
        <v>5987.9</v>
      </c>
      <c r="M20" s="10">
        <v>6652.7</v>
      </c>
      <c r="N20" s="10">
        <v>6974</v>
      </c>
      <c r="O20" s="10">
        <v>7021.1</v>
      </c>
      <c r="P20" s="10">
        <v>7921</v>
      </c>
      <c r="Q20" s="10">
        <v>8633.5</v>
      </c>
      <c r="R20" s="10">
        <v>9585.7999999999993</v>
      </c>
      <c r="S20" s="10">
        <v>9131</v>
      </c>
      <c r="T20" s="10">
        <v>9265.4</v>
      </c>
      <c r="U20" s="10">
        <v>9421.5</v>
      </c>
      <c r="V20" s="10">
        <v>9614.1</v>
      </c>
      <c r="W20" s="10">
        <v>9720.4</v>
      </c>
      <c r="X20" s="11">
        <v>224</v>
      </c>
      <c r="Y20" s="4"/>
      <c r="Z20" s="4"/>
      <c r="AA20" s="4"/>
    </row>
    <row r="21" spans="1:27" ht="23.85" customHeight="1">
      <c r="A21" s="6">
        <v>17</v>
      </c>
      <c r="B21" s="6" t="s">
        <v>76</v>
      </c>
      <c r="C21" s="7">
        <v>3000</v>
      </c>
      <c r="D21" s="5"/>
      <c r="E21" s="7">
        <v>3650.5</v>
      </c>
      <c r="F21" s="7">
        <v>4177.8999999999996</v>
      </c>
      <c r="G21" s="7">
        <v>4137.3</v>
      </c>
      <c r="H21" s="7">
        <v>4716</v>
      </c>
      <c r="I21" s="7">
        <v>4737.2</v>
      </c>
      <c r="J21" s="7">
        <v>5337.1</v>
      </c>
      <c r="K21" s="7">
        <v>5461.2</v>
      </c>
      <c r="L21" s="7">
        <v>5461.2</v>
      </c>
      <c r="M21" s="7">
        <v>5626.7</v>
      </c>
      <c r="N21" s="7">
        <v>6161.2</v>
      </c>
      <c r="O21" s="7">
        <v>6456.3</v>
      </c>
      <c r="P21" s="7">
        <v>6574.7</v>
      </c>
      <c r="Q21" s="7">
        <v>6606.2</v>
      </c>
      <c r="R21" s="7">
        <v>7437.1</v>
      </c>
      <c r="S21" s="7">
        <v>7509.2</v>
      </c>
      <c r="T21" s="7">
        <v>7596.4</v>
      </c>
      <c r="U21" s="7">
        <v>7665.8</v>
      </c>
      <c r="V21" s="7">
        <v>7682.9</v>
      </c>
      <c r="W21" s="7">
        <v>7699.9</v>
      </c>
      <c r="X21" s="8">
        <v>156.69999999999999</v>
      </c>
      <c r="Y21" s="5"/>
      <c r="Z21" s="5"/>
      <c r="AA21" s="5"/>
    </row>
    <row r="22" spans="1:27" ht="23.85" customHeight="1">
      <c r="A22" s="9">
        <v>18</v>
      </c>
      <c r="B22" s="9" t="s">
        <v>77</v>
      </c>
      <c r="C22" s="10">
        <v>3000</v>
      </c>
      <c r="D22" s="4"/>
      <c r="E22" s="10">
        <v>3450.8</v>
      </c>
      <c r="F22" s="10">
        <v>3501.3</v>
      </c>
      <c r="G22" s="10">
        <v>3981.1</v>
      </c>
      <c r="H22" s="10">
        <v>4941</v>
      </c>
      <c r="I22" s="10">
        <v>4956.5</v>
      </c>
      <c r="J22" s="10">
        <v>4920.7</v>
      </c>
      <c r="K22" s="10">
        <v>4741.5</v>
      </c>
      <c r="L22" s="10">
        <v>5271</v>
      </c>
      <c r="M22" s="10">
        <v>5796.5</v>
      </c>
      <c r="N22" s="10">
        <v>5971.3</v>
      </c>
      <c r="O22" s="10">
        <v>5807.8</v>
      </c>
      <c r="P22" s="10">
        <v>6335</v>
      </c>
      <c r="Q22" s="10">
        <v>6462.7</v>
      </c>
      <c r="R22" s="10">
        <v>6760.9</v>
      </c>
      <c r="S22" s="10">
        <v>6862.3</v>
      </c>
      <c r="T22" s="10">
        <v>7716.5</v>
      </c>
      <c r="U22" s="10">
        <v>8369.2000000000007</v>
      </c>
      <c r="V22" s="10">
        <v>8957.2999999999993</v>
      </c>
      <c r="W22" s="10">
        <v>8983.2000000000007</v>
      </c>
      <c r="X22" s="11">
        <v>199.4</v>
      </c>
      <c r="Y22" s="4"/>
      <c r="Z22" s="4"/>
      <c r="AA22" s="4"/>
    </row>
    <row r="23" spans="1:27" ht="23.85" customHeight="1">
      <c r="A23" s="6">
        <v>19</v>
      </c>
      <c r="B23" s="6" t="s">
        <v>78</v>
      </c>
      <c r="C23" s="7">
        <v>3000</v>
      </c>
      <c r="D23" s="5"/>
      <c r="E23" s="7">
        <v>3650.1</v>
      </c>
      <c r="F23" s="7">
        <v>3699.5</v>
      </c>
      <c r="G23" s="7">
        <v>3732.4</v>
      </c>
      <c r="H23" s="7">
        <v>4218</v>
      </c>
      <c r="I23" s="7">
        <v>4728.8999999999996</v>
      </c>
      <c r="J23" s="7">
        <v>4852.1000000000004</v>
      </c>
      <c r="K23" s="7">
        <v>5221.6000000000004</v>
      </c>
      <c r="L23" s="7">
        <v>6162.2</v>
      </c>
      <c r="M23" s="7">
        <v>6569</v>
      </c>
      <c r="N23" s="7">
        <v>6603.3</v>
      </c>
      <c r="O23" s="7">
        <v>6686.7</v>
      </c>
      <c r="P23" s="7">
        <v>6725.7</v>
      </c>
      <c r="Q23" s="7">
        <v>6899.6</v>
      </c>
      <c r="R23" s="7">
        <v>8307.1</v>
      </c>
      <c r="S23" s="7">
        <v>9231.7000000000007</v>
      </c>
      <c r="T23" s="7">
        <v>8060.1</v>
      </c>
      <c r="U23" s="7">
        <v>8147</v>
      </c>
      <c r="V23" s="7">
        <v>8167.4</v>
      </c>
      <c r="W23" s="7">
        <v>8188.7</v>
      </c>
      <c r="X23" s="8">
        <v>173</v>
      </c>
      <c r="Y23" s="5"/>
      <c r="Z23" s="5"/>
      <c r="AA23" s="5"/>
    </row>
    <row r="24" spans="1:27" ht="23.85" customHeight="1">
      <c r="A24" s="9">
        <v>20</v>
      </c>
      <c r="B24" s="9" t="s">
        <v>79</v>
      </c>
      <c r="C24" s="10">
        <v>3000</v>
      </c>
      <c r="D24" s="4"/>
      <c r="E24" s="10">
        <v>3668.2</v>
      </c>
      <c r="F24" s="10">
        <v>3902</v>
      </c>
      <c r="G24" s="10">
        <v>4028.5</v>
      </c>
      <c r="H24" s="10">
        <v>4593</v>
      </c>
      <c r="I24" s="10">
        <v>4395.1000000000004</v>
      </c>
      <c r="J24" s="10">
        <v>4004.3</v>
      </c>
      <c r="K24" s="10">
        <v>4375</v>
      </c>
      <c r="L24" s="10">
        <v>4286.3</v>
      </c>
      <c r="M24" s="10">
        <v>4209.8</v>
      </c>
      <c r="N24" s="10">
        <v>4657.7</v>
      </c>
      <c r="O24" s="10">
        <v>4702.8</v>
      </c>
      <c r="P24" s="10">
        <v>4803.8</v>
      </c>
      <c r="Q24" s="10">
        <v>4861.2</v>
      </c>
      <c r="R24" s="10">
        <v>5605</v>
      </c>
      <c r="S24" s="10">
        <v>5794.6</v>
      </c>
      <c r="T24" s="10">
        <v>5958.2</v>
      </c>
      <c r="U24" s="10">
        <v>6407.2</v>
      </c>
      <c r="V24" s="10">
        <v>6525.9</v>
      </c>
      <c r="W24" s="10">
        <v>6840</v>
      </c>
      <c r="X24" s="11">
        <v>128</v>
      </c>
      <c r="Y24" s="4"/>
      <c r="Z24" s="4"/>
      <c r="AA24" s="4"/>
    </row>
    <row r="25" spans="1:27" ht="23.85" customHeight="1">
      <c r="A25" s="6">
        <v>21</v>
      </c>
      <c r="B25" s="6" t="s">
        <v>80</v>
      </c>
      <c r="C25" s="7">
        <v>3000</v>
      </c>
      <c r="D25" s="5"/>
      <c r="E25" s="7">
        <v>3588.1</v>
      </c>
      <c r="F25" s="7">
        <v>3683.7</v>
      </c>
      <c r="G25" s="7">
        <v>3801.1</v>
      </c>
      <c r="H25" s="7">
        <v>4386</v>
      </c>
      <c r="I25" s="7">
        <v>4390.3</v>
      </c>
      <c r="J25" s="7">
        <v>4995.2</v>
      </c>
      <c r="K25" s="7">
        <v>4995.2</v>
      </c>
      <c r="L25" s="7">
        <v>5396.1</v>
      </c>
      <c r="M25" s="7">
        <v>6004.2</v>
      </c>
      <c r="N25" s="7">
        <v>5718.2</v>
      </c>
      <c r="O25" s="7">
        <v>5732.7</v>
      </c>
      <c r="P25" s="7">
        <v>8433.4</v>
      </c>
      <c r="Q25" s="7">
        <v>9027.2000000000007</v>
      </c>
      <c r="R25" s="7">
        <v>11162.2</v>
      </c>
      <c r="S25" s="7">
        <v>11186.1</v>
      </c>
      <c r="T25" s="7">
        <v>11318.8</v>
      </c>
      <c r="U25" s="7">
        <v>12301.6</v>
      </c>
      <c r="V25" s="7">
        <v>12313.1</v>
      </c>
      <c r="W25" s="7">
        <v>12323.5</v>
      </c>
      <c r="X25" s="8">
        <v>310.8</v>
      </c>
      <c r="Y25" s="5"/>
      <c r="Z25" s="5"/>
      <c r="AA25" s="5"/>
    </row>
    <row r="26" spans="1:27" ht="23.85" customHeight="1">
      <c r="A26" s="9">
        <v>22</v>
      </c>
      <c r="B26" s="9" t="s">
        <v>81</v>
      </c>
      <c r="C26" s="10">
        <v>3000</v>
      </c>
      <c r="D26" s="4"/>
      <c r="E26" s="10">
        <v>3405.2</v>
      </c>
      <c r="F26" s="10">
        <v>4916.7</v>
      </c>
      <c r="G26" s="10">
        <v>3641.8</v>
      </c>
      <c r="H26" s="10">
        <v>4567</v>
      </c>
      <c r="I26" s="10">
        <v>4585.1000000000004</v>
      </c>
      <c r="J26" s="10">
        <v>4388.8999999999996</v>
      </c>
      <c r="K26" s="10">
        <v>4389.5</v>
      </c>
      <c r="L26" s="10">
        <v>4826.5</v>
      </c>
      <c r="M26" s="10">
        <v>5409.2</v>
      </c>
      <c r="N26" s="10">
        <v>6180.8</v>
      </c>
      <c r="O26" s="10">
        <v>6320.6</v>
      </c>
      <c r="P26" s="10">
        <v>6616.2</v>
      </c>
      <c r="Q26" s="10">
        <v>6533.2</v>
      </c>
      <c r="R26" s="10">
        <v>7537.6</v>
      </c>
      <c r="S26" s="10">
        <v>7799.9</v>
      </c>
      <c r="T26" s="10">
        <v>7855.1</v>
      </c>
      <c r="U26" s="10">
        <v>8565.2000000000007</v>
      </c>
      <c r="V26" s="10">
        <v>8813.2999999999993</v>
      </c>
      <c r="W26" s="10">
        <v>9303.2999999999993</v>
      </c>
      <c r="X26" s="11">
        <v>210.1</v>
      </c>
      <c r="Y26" s="4"/>
      <c r="Z26" s="4"/>
      <c r="AA26" s="4"/>
    </row>
    <row r="27" spans="1:27" ht="23.85" customHeight="1">
      <c r="A27" s="6">
        <v>23</v>
      </c>
      <c r="B27" s="6" t="s">
        <v>82</v>
      </c>
      <c r="C27" s="7">
        <v>3000</v>
      </c>
      <c r="D27" s="5"/>
      <c r="E27" s="7">
        <v>3683.6</v>
      </c>
      <c r="F27" s="7">
        <v>3842.4</v>
      </c>
      <c r="G27" s="7">
        <v>4387.8999999999996</v>
      </c>
      <c r="H27" s="7">
        <v>4835</v>
      </c>
      <c r="I27" s="7">
        <v>4937.7</v>
      </c>
      <c r="J27" s="7">
        <v>5221.6000000000004</v>
      </c>
      <c r="K27" s="7">
        <v>5792</v>
      </c>
      <c r="L27" s="7">
        <v>5923.7</v>
      </c>
      <c r="M27" s="7">
        <v>6366.8</v>
      </c>
      <c r="N27" s="7">
        <v>6668.3</v>
      </c>
      <c r="O27" s="7">
        <v>6652</v>
      </c>
      <c r="P27" s="7">
        <v>6933.8</v>
      </c>
      <c r="Q27" s="7">
        <v>7595.9</v>
      </c>
      <c r="R27" s="7">
        <v>9077.1</v>
      </c>
      <c r="S27" s="7">
        <v>9418.7999999999993</v>
      </c>
      <c r="T27" s="7">
        <v>10728.6</v>
      </c>
      <c r="U27" s="7">
        <v>10769</v>
      </c>
      <c r="V27" s="7">
        <v>11277.6</v>
      </c>
      <c r="W27" s="7">
        <v>11544.1</v>
      </c>
      <c r="X27" s="8">
        <v>284.8</v>
      </c>
      <c r="Y27" s="5"/>
      <c r="Z27" s="5"/>
      <c r="AA27" s="5"/>
    </row>
    <row r="28" spans="1:27" ht="23.85" customHeight="1">
      <c r="A28" s="9">
        <v>24</v>
      </c>
      <c r="B28" s="9" t="s">
        <v>83</v>
      </c>
      <c r="C28" s="10">
        <v>3000</v>
      </c>
      <c r="D28" s="4"/>
      <c r="E28" s="10">
        <v>3161.7</v>
      </c>
      <c r="F28" s="10">
        <v>3255.6</v>
      </c>
      <c r="G28" s="10">
        <v>3321.3</v>
      </c>
      <c r="H28" s="10">
        <v>3487</v>
      </c>
      <c r="I28" s="10">
        <v>3487.4</v>
      </c>
      <c r="J28" s="10">
        <v>3977.5</v>
      </c>
      <c r="K28" s="10">
        <v>4500.7</v>
      </c>
      <c r="L28" s="10">
        <v>4899.3</v>
      </c>
      <c r="M28" s="10">
        <v>5430.7</v>
      </c>
      <c r="N28" s="10">
        <v>6378.8</v>
      </c>
      <c r="O28" s="10">
        <v>6803.8</v>
      </c>
      <c r="P28" s="10">
        <v>7338.9</v>
      </c>
      <c r="Q28" s="10">
        <v>7350.1</v>
      </c>
      <c r="R28" s="10">
        <v>8783.2000000000007</v>
      </c>
      <c r="S28" s="10">
        <v>9186.5</v>
      </c>
      <c r="T28" s="10">
        <v>9694.2999999999993</v>
      </c>
      <c r="U28" s="10">
        <v>10002.200000000001</v>
      </c>
      <c r="V28" s="10">
        <v>10284.4</v>
      </c>
      <c r="W28" s="10">
        <v>10668.2</v>
      </c>
      <c r="X28" s="11">
        <v>255.6</v>
      </c>
      <c r="Y28" s="4"/>
      <c r="Z28" s="4"/>
      <c r="AA28" s="4"/>
    </row>
    <row r="29" spans="1:27" ht="23.85" customHeight="1">
      <c r="A29" s="6">
        <v>25</v>
      </c>
      <c r="B29" s="6" t="s">
        <v>84</v>
      </c>
      <c r="C29" s="7">
        <v>3000</v>
      </c>
      <c r="D29" s="5"/>
      <c r="E29" s="7">
        <v>3155.1</v>
      </c>
      <c r="F29" s="7">
        <v>3245.4</v>
      </c>
      <c r="G29" s="7">
        <v>3304.8</v>
      </c>
      <c r="H29" s="7">
        <v>3572</v>
      </c>
      <c r="I29" s="7">
        <v>3572.5</v>
      </c>
      <c r="J29" s="7">
        <v>3692.7</v>
      </c>
      <c r="K29" s="7">
        <v>3869.2</v>
      </c>
      <c r="L29" s="7">
        <v>4265.8</v>
      </c>
      <c r="M29" s="7">
        <v>4794.6000000000004</v>
      </c>
      <c r="N29" s="7">
        <v>5151.8</v>
      </c>
      <c r="O29" s="7">
        <v>4969.1000000000004</v>
      </c>
      <c r="P29" s="7">
        <v>6090.8</v>
      </c>
      <c r="Q29" s="7">
        <v>6091.9</v>
      </c>
      <c r="R29" s="7">
        <v>6707</v>
      </c>
      <c r="S29" s="7">
        <v>6528</v>
      </c>
      <c r="T29" s="7">
        <v>7375</v>
      </c>
      <c r="U29" s="7">
        <v>8767.7999999999993</v>
      </c>
      <c r="V29" s="7">
        <v>9433.7000000000007</v>
      </c>
      <c r="W29" s="7">
        <v>9700.4</v>
      </c>
      <c r="X29" s="8">
        <v>223.3</v>
      </c>
      <c r="Y29" s="5"/>
      <c r="Z29" s="5"/>
      <c r="AA29" s="5"/>
    </row>
    <row r="30" spans="1:27" ht="23.85" customHeight="1">
      <c r="A30" s="9">
        <v>26</v>
      </c>
      <c r="B30" s="9" t="s">
        <v>85</v>
      </c>
      <c r="C30" s="10">
        <v>3000</v>
      </c>
      <c r="D30" s="4"/>
      <c r="E30" s="4"/>
      <c r="F30" s="4"/>
      <c r="G30" s="10">
        <v>3810.6</v>
      </c>
      <c r="H30" s="10">
        <v>4192</v>
      </c>
      <c r="I30" s="10">
        <v>4267.8999999999996</v>
      </c>
      <c r="J30" s="10">
        <v>4757.5</v>
      </c>
      <c r="K30" s="10">
        <v>5403.4</v>
      </c>
      <c r="L30" s="10">
        <v>5860.7</v>
      </c>
      <c r="M30" s="10">
        <v>6470.4</v>
      </c>
      <c r="N30" s="10">
        <v>6710.5</v>
      </c>
      <c r="O30" s="10">
        <v>6295.5</v>
      </c>
      <c r="P30" s="10">
        <v>6806.9</v>
      </c>
      <c r="Q30" s="10">
        <v>7065.7</v>
      </c>
      <c r="R30" s="10">
        <v>7780.8</v>
      </c>
      <c r="S30" s="10">
        <v>7574.8</v>
      </c>
      <c r="T30" s="10">
        <v>8554.4</v>
      </c>
      <c r="U30" s="10">
        <v>10168.1</v>
      </c>
      <c r="V30" s="10">
        <v>10938.5</v>
      </c>
      <c r="W30" s="10">
        <v>11247.5</v>
      </c>
      <c r="X30" s="11">
        <v>274.89999999999998</v>
      </c>
      <c r="Y30" s="4"/>
      <c r="Z30" s="4"/>
      <c r="AA30" s="4"/>
    </row>
    <row r="31" spans="1:27" ht="23.85" customHeight="1">
      <c r="A31" s="6">
        <v>27</v>
      </c>
      <c r="B31" s="6" t="s">
        <v>86</v>
      </c>
      <c r="C31" s="7">
        <v>3000</v>
      </c>
      <c r="D31" s="5"/>
      <c r="E31" s="5"/>
      <c r="F31" s="5"/>
      <c r="G31" s="7">
        <v>3810.6</v>
      </c>
      <c r="H31" s="7">
        <v>4192</v>
      </c>
      <c r="I31" s="7">
        <v>4267.8999999999996</v>
      </c>
      <c r="J31" s="7">
        <v>4687.6000000000004</v>
      </c>
      <c r="K31" s="7">
        <v>5278.8</v>
      </c>
      <c r="L31" s="7">
        <v>5736.1</v>
      </c>
      <c r="M31" s="7">
        <v>6345.8</v>
      </c>
      <c r="N31" s="7">
        <v>6713.6</v>
      </c>
      <c r="O31" s="7">
        <v>6493.2</v>
      </c>
      <c r="P31" s="7">
        <v>8030.3</v>
      </c>
      <c r="Q31" s="7">
        <v>8248.2999999999993</v>
      </c>
      <c r="R31" s="7">
        <v>9285.1</v>
      </c>
      <c r="S31" s="7">
        <v>9137.4</v>
      </c>
      <c r="T31" s="7">
        <v>9980.4</v>
      </c>
      <c r="U31" s="7">
        <v>11258.4</v>
      </c>
      <c r="V31" s="7">
        <v>12020.3</v>
      </c>
      <c r="W31" s="7">
        <v>12300.2</v>
      </c>
      <c r="X31" s="8">
        <v>310</v>
      </c>
      <c r="Y31" s="5"/>
      <c r="Z31" s="5"/>
      <c r="AA31" s="5"/>
    </row>
    <row r="32" spans="1:27" ht="23.85" customHeight="1">
      <c r="A32" s="9">
        <v>28</v>
      </c>
      <c r="B32" s="9" t="s">
        <v>87</v>
      </c>
      <c r="C32" s="10">
        <v>3000</v>
      </c>
      <c r="D32" s="4"/>
      <c r="E32" s="4"/>
      <c r="F32" s="4"/>
      <c r="G32" s="10">
        <v>3810.6</v>
      </c>
      <c r="H32" s="10">
        <v>4192</v>
      </c>
      <c r="I32" s="10">
        <v>4344.1000000000004</v>
      </c>
      <c r="J32" s="10">
        <v>4709.8999999999996</v>
      </c>
      <c r="K32" s="10">
        <v>4538.3999999999996</v>
      </c>
      <c r="L32" s="10">
        <v>5045.2</v>
      </c>
      <c r="M32" s="10">
        <v>5548.2</v>
      </c>
      <c r="N32" s="10">
        <v>6317.8</v>
      </c>
      <c r="O32" s="10">
        <v>6246.2</v>
      </c>
      <c r="P32" s="10">
        <v>6953.1</v>
      </c>
      <c r="Q32" s="10">
        <v>7042.6</v>
      </c>
      <c r="R32" s="10">
        <v>8407.7000000000007</v>
      </c>
      <c r="S32" s="10">
        <v>8597.6</v>
      </c>
      <c r="T32" s="10">
        <v>8859.7999999999993</v>
      </c>
      <c r="U32" s="10">
        <v>9781.9</v>
      </c>
      <c r="V32" s="10">
        <v>10188.700000000001</v>
      </c>
      <c r="W32" s="10">
        <v>10369.5</v>
      </c>
      <c r="X32" s="11">
        <v>245.7</v>
      </c>
      <c r="Y32" s="4"/>
      <c r="Z32" s="4"/>
      <c r="AA32" s="4"/>
    </row>
    <row r="33" spans="1:27" ht="23.85" customHeight="1">
      <c r="A33" s="6">
        <v>31</v>
      </c>
      <c r="B33" s="6" t="s">
        <v>88</v>
      </c>
      <c r="C33" s="7">
        <v>3000</v>
      </c>
      <c r="D33" s="5"/>
      <c r="E33" s="7">
        <v>3245.3</v>
      </c>
      <c r="F33" s="7">
        <v>3285.2</v>
      </c>
      <c r="G33" s="7">
        <v>3288</v>
      </c>
      <c r="H33" s="7">
        <v>3433</v>
      </c>
      <c r="I33" s="7">
        <v>3432.6</v>
      </c>
      <c r="J33" s="7">
        <v>3881.4</v>
      </c>
      <c r="K33" s="7">
        <v>4359.8</v>
      </c>
      <c r="L33" s="7">
        <v>4754.3999999999996</v>
      </c>
      <c r="M33" s="7">
        <v>5280.5</v>
      </c>
      <c r="N33" s="7">
        <v>5568.3</v>
      </c>
      <c r="O33" s="7">
        <v>5295.4</v>
      </c>
      <c r="P33" s="7">
        <v>5702.5</v>
      </c>
      <c r="Q33" s="7">
        <v>5906.4</v>
      </c>
      <c r="R33" s="7">
        <v>6577.1</v>
      </c>
      <c r="S33" s="7">
        <v>6455.4</v>
      </c>
      <c r="T33" s="7">
        <v>7204.9</v>
      </c>
      <c r="U33" s="7">
        <v>8438.7000000000007</v>
      </c>
      <c r="V33" s="7">
        <v>9032.7000000000007</v>
      </c>
      <c r="W33" s="7">
        <v>9273.9</v>
      </c>
      <c r="X33" s="8">
        <v>209.1</v>
      </c>
      <c r="Y33" s="5"/>
      <c r="Z33" s="5"/>
      <c r="AA33" s="5"/>
    </row>
    <row r="34" spans="1:27" ht="15" customHeight="1">
      <c r="A34" s="9">
        <v>32</v>
      </c>
      <c r="B34" s="9" t="s">
        <v>89</v>
      </c>
      <c r="C34" s="10">
        <v>3000</v>
      </c>
      <c r="D34" s="4"/>
      <c r="E34" s="10">
        <v>3159.7</v>
      </c>
      <c r="F34" s="10">
        <v>3184.4</v>
      </c>
      <c r="G34" s="10">
        <v>3212.3</v>
      </c>
      <c r="H34" s="10">
        <v>3376</v>
      </c>
      <c r="I34" s="10">
        <v>3376.2</v>
      </c>
      <c r="J34" s="10">
        <v>3340.9</v>
      </c>
      <c r="K34" s="10">
        <v>3213.6</v>
      </c>
      <c r="L34" s="10">
        <v>3213.6</v>
      </c>
      <c r="M34" s="10">
        <v>3213.6</v>
      </c>
      <c r="N34" s="10">
        <v>3333.9</v>
      </c>
      <c r="O34" s="10">
        <v>3128.9</v>
      </c>
      <c r="P34" s="10">
        <v>3383.1</v>
      </c>
      <c r="Q34" s="10">
        <v>3513.6</v>
      </c>
      <c r="R34" s="10">
        <v>3877.9</v>
      </c>
      <c r="S34" s="10">
        <v>3782.9</v>
      </c>
      <c r="T34" s="10">
        <v>4256.3</v>
      </c>
      <c r="U34" s="10">
        <v>5054</v>
      </c>
      <c r="V34" s="10">
        <v>5435.9</v>
      </c>
      <c r="W34" s="10">
        <v>5588.9</v>
      </c>
      <c r="X34" s="11">
        <v>86.3</v>
      </c>
      <c r="Y34" s="4"/>
      <c r="Z34" s="4"/>
      <c r="AA34" s="4"/>
    </row>
    <row r="35" spans="1:27" ht="23.85" customHeight="1">
      <c r="A35" s="6">
        <v>33</v>
      </c>
      <c r="B35" s="6" t="s">
        <v>90</v>
      </c>
      <c r="C35" s="7">
        <v>3000</v>
      </c>
      <c r="D35" s="5"/>
      <c r="E35" s="7">
        <v>3162</v>
      </c>
      <c r="F35" s="7">
        <v>3159</v>
      </c>
      <c r="G35" s="7">
        <v>3159</v>
      </c>
      <c r="H35" s="7">
        <v>3326</v>
      </c>
      <c r="I35" s="7">
        <v>3326.4</v>
      </c>
      <c r="J35" s="7">
        <v>3967.7</v>
      </c>
      <c r="K35" s="7">
        <v>4643.7</v>
      </c>
      <c r="L35" s="7">
        <v>5022.8</v>
      </c>
      <c r="M35" s="7">
        <v>5528.3</v>
      </c>
      <c r="N35" s="7">
        <v>5735.2</v>
      </c>
      <c r="O35" s="7">
        <v>5382.6</v>
      </c>
      <c r="P35" s="7">
        <v>5819.9</v>
      </c>
      <c r="Q35" s="7">
        <v>6042.4</v>
      </c>
      <c r="R35" s="7">
        <v>6668.9</v>
      </c>
      <c r="S35" s="7">
        <v>6505.5</v>
      </c>
      <c r="T35" s="7">
        <v>7319.7</v>
      </c>
      <c r="U35" s="7">
        <v>8691.5</v>
      </c>
      <c r="V35" s="7">
        <v>9348.1</v>
      </c>
      <c r="W35" s="7">
        <v>9611.2999999999993</v>
      </c>
      <c r="X35" s="8">
        <v>220.4</v>
      </c>
      <c r="Y35" s="5"/>
      <c r="Z35" s="5"/>
      <c r="AA35" s="5"/>
    </row>
    <row r="36" spans="1:27" ht="23.85" customHeight="1">
      <c r="A36" s="9">
        <v>34</v>
      </c>
      <c r="B36" s="9" t="s">
        <v>91</v>
      </c>
      <c r="C36" s="10">
        <v>3000</v>
      </c>
      <c r="D36" s="4"/>
      <c r="E36" s="10">
        <v>4125</v>
      </c>
      <c r="F36" s="10">
        <v>4248</v>
      </c>
      <c r="G36" s="10">
        <v>4374</v>
      </c>
      <c r="H36" s="10">
        <v>5152</v>
      </c>
      <c r="I36" s="10">
        <v>5231.2</v>
      </c>
      <c r="J36" s="10">
        <v>5548.2</v>
      </c>
      <c r="K36" s="10">
        <v>5758.2</v>
      </c>
      <c r="L36" s="10">
        <v>5758.2</v>
      </c>
      <c r="M36" s="10">
        <v>5758.2</v>
      </c>
      <c r="N36" s="10">
        <v>7157.4</v>
      </c>
      <c r="O36" s="10">
        <v>7393.5</v>
      </c>
      <c r="P36" s="10">
        <v>7646.9</v>
      </c>
      <c r="Q36" s="10">
        <v>7820.8</v>
      </c>
      <c r="R36" s="10">
        <v>9822.9</v>
      </c>
      <c r="S36" s="10">
        <v>10182.700000000001</v>
      </c>
      <c r="T36" s="10">
        <v>10198.299999999999</v>
      </c>
      <c r="U36" s="10">
        <v>10573.7</v>
      </c>
      <c r="V36" s="10">
        <v>10655.8</v>
      </c>
      <c r="W36" s="10">
        <v>10745.8</v>
      </c>
      <c r="X36" s="11">
        <v>258.2</v>
      </c>
      <c r="Y36" s="4"/>
      <c r="Z36" s="4"/>
      <c r="AA36" s="4"/>
    </row>
    <row r="37" spans="1:27" ht="23.85" customHeight="1">
      <c r="A37" s="6"/>
      <c r="B37" s="6" t="s">
        <v>92</v>
      </c>
      <c r="C37" s="7">
        <v>3000</v>
      </c>
      <c r="D37" s="5"/>
      <c r="E37" s="7">
        <v>3475.9</v>
      </c>
      <c r="F37" s="7">
        <v>3618</v>
      </c>
      <c r="G37" s="7">
        <v>3810.6</v>
      </c>
      <c r="H37" s="7">
        <v>4270.3</v>
      </c>
      <c r="I37" s="7">
        <v>4314.3999999999996</v>
      </c>
      <c r="J37" s="7">
        <v>4653.8999999999996</v>
      </c>
      <c r="K37" s="7">
        <v>4983.8999999999996</v>
      </c>
      <c r="L37" s="7">
        <v>5307.6</v>
      </c>
      <c r="M37" s="7">
        <v>5813.2</v>
      </c>
      <c r="N37" s="7">
        <v>6225.9</v>
      </c>
      <c r="O37" s="7">
        <v>6255</v>
      </c>
      <c r="P37" s="7">
        <v>7018.9</v>
      </c>
      <c r="Q37" s="7">
        <v>7248.5</v>
      </c>
      <c r="R37" s="7">
        <v>8531.5</v>
      </c>
      <c r="S37" s="7">
        <v>8633</v>
      </c>
      <c r="T37" s="7">
        <v>9350.6</v>
      </c>
      <c r="U37" s="7">
        <v>9865</v>
      </c>
      <c r="V37" s="7">
        <v>10292.9</v>
      </c>
      <c r="W37" s="7">
        <v>10640.8</v>
      </c>
      <c r="X37" s="8">
        <v>254.7</v>
      </c>
      <c r="Y37" s="5"/>
      <c r="Z37" s="5"/>
      <c r="AA37" s="5"/>
    </row>
  </sheetData>
  <mergeCells count="2">
    <mergeCell ref="A1:AA1"/>
    <mergeCell ref="A2:AA2"/>
  </mergeCells>
  <conditionalFormatting sqref="X5:X3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C9A227"/>
  </sheetPr>
  <dimension ref="A1:G33"/>
  <sheetViews>
    <sheetView topLeftCell="A41" zoomScaleNormal="100" workbookViewId="0"/>
  </sheetViews>
  <sheetFormatPr defaultColWidth="8.7109375" defaultRowHeight="15"/>
  <cols>
    <col min="1" max="1" width="20" style="1" customWidth="1"/>
    <col min="2" max="5" width="15" style="1" customWidth="1"/>
    <col min="6" max="6" width="12" style="1" customWidth="1"/>
    <col min="7" max="7" width="15" style="1" customWidth="1"/>
  </cols>
  <sheetData>
    <row r="1" spans="1:7" ht="39.75" customHeight="1">
      <c r="A1" s="31" t="s">
        <v>93</v>
      </c>
      <c r="B1" s="26"/>
      <c r="C1" s="26"/>
      <c r="D1" s="26"/>
      <c r="E1" s="26"/>
      <c r="F1" s="26"/>
      <c r="G1" s="26"/>
    </row>
    <row r="2" spans="1:7" ht="17.850000000000001" customHeight="1">
      <c r="A2" s="32" t="s">
        <v>94</v>
      </c>
      <c r="B2" s="26"/>
      <c r="C2" s="26"/>
      <c r="D2" s="26"/>
      <c r="E2" s="26"/>
      <c r="F2" s="26"/>
      <c r="G2" s="26"/>
    </row>
    <row r="4" spans="1:7" ht="15" customHeight="1">
      <c r="A4" s="3" t="s">
        <v>95</v>
      </c>
      <c r="B4" s="3" t="s">
        <v>96</v>
      </c>
      <c r="C4" s="3" t="s">
        <v>97</v>
      </c>
      <c r="D4" s="3" t="s">
        <v>98</v>
      </c>
      <c r="E4" s="3" t="s">
        <v>99</v>
      </c>
      <c r="F4" s="3" t="s">
        <v>100</v>
      </c>
      <c r="G4" s="3" t="s">
        <v>101</v>
      </c>
    </row>
    <row r="5" spans="1:7" ht="15" customHeight="1">
      <c r="A5" s="5" t="s">
        <v>102</v>
      </c>
      <c r="B5" s="12">
        <v>99783</v>
      </c>
      <c r="C5" s="12">
        <v>92122</v>
      </c>
      <c r="D5" s="12">
        <v>143086</v>
      </c>
      <c r="E5" s="12">
        <v>9993</v>
      </c>
      <c r="F5" s="5">
        <v>71</v>
      </c>
    </row>
    <row r="6" spans="1:7" ht="15" customHeight="1">
      <c r="A6" s="4" t="s">
        <v>103</v>
      </c>
      <c r="B6" s="13">
        <v>99736</v>
      </c>
      <c r="C6" s="13">
        <v>92389</v>
      </c>
      <c r="D6" s="13">
        <v>115293</v>
      </c>
      <c r="E6" s="13">
        <v>5343</v>
      </c>
      <c r="F6" s="4">
        <v>74</v>
      </c>
    </row>
    <row r="7" spans="1:7" ht="15" customHeight="1">
      <c r="A7" s="5" t="s">
        <v>104</v>
      </c>
      <c r="B7" s="12">
        <v>114445</v>
      </c>
      <c r="C7" s="12">
        <v>11560</v>
      </c>
      <c r="D7" s="12">
        <v>128969</v>
      </c>
      <c r="E7" s="12">
        <v>14717</v>
      </c>
      <c r="F7" s="5">
        <v>68</v>
      </c>
    </row>
    <row r="8" spans="1:7" ht="15" customHeight="1">
      <c r="A8" s="4" t="s">
        <v>105</v>
      </c>
      <c r="B8" s="13">
        <v>127040</v>
      </c>
      <c r="C8" s="13">
        <v>119572</v>
      </c>
      <c r="D8" s="13">
        <v>132330</v>
      </c>
      <c r="E8" s="13">
        <v>3531</v>
      </c>
      <c r="F8" s="4">
        <v>75</v>
      </c>
    </row>
    <row r="9" spans="1:7" ht="15" customHeight="1">
      <c r="A9" s="5" t="s">
        <v>106</v>
      </c>
      <c r="B9" s="12">
        <v>120357</v>
      </c>
      <c r="C9" s="12">
        <v>107436</v>
      </c>
      <c r="D9" s="12">
        <v>125515</v>
      </c>
      <c r="E9" s="12">
        <v>2356</v>
      </c>
      <c r="F9" s="5">
        <v>73</v>
      </c>
      <c r="G9" s="8">
        <f>IF(B5&gt;0,(B9-B5)/B5,0)</f>
        <v>0.20618742671597368</v>
      </c>
    </row>
    <row r="10" spans="1:7" ht="15" customHeight="1">
      <c r="A10" s="4" t="s">
        <v>107</v>
      </c>
      <c r="B10" s="13">
        <v>138210</v>
      </c>
      <c r="C10" s="13">
        <v>124773</v>
      </c>
      <c r="D10" s="13">
        <v>157238</v>
      </c>
      <c r="E10" s="13">
        <v>9592</v>
      </c>
      <c r="F10" s="4">
        <v>73</v>
      </c>
      <c r="G10" s="11">
        <f>IF(B6&gt;0,(B10-B6)/B6,0)</f>
        <v>0.38575840218175983</v>
      </c>
    </row>
    <row r="11" spans="1:7" ht="15" customHeight="1">
      <c r="A11" s="5" t="s">
        <v>108</v>
      </c>
      <c r="B11" s="12">
        <v>162538</v>
      </c>
      <c r="C11" s="12">
        <v>146943</v>
      </c>
      <c r="D11" s="12">
        <v>181385</v>
      </c>
      <c r="E11" s="12">
        <v>10827</v>
      </c>
      <c r="F11" s="5">
        <v>63</v>
      </c>
      <c r="G11" s="8">
        <f>IF(B7&gt;0,(B11-B7)/B7,0)</f>
        <v>0.42022805714535366</v>
      </c>
    </row>
    <row r="12" spans="1:7" ht="15" customHeight="1">
      <c r="A12" s="4" t="s">
        <v>109</v>
      </c>
      <c r="B12" s="13">
        <v>248334</v>
      </c>
      <c r="C12" s="13">
        <v>181000</v>
      </c>
      <c r="D12" s="13">
        <v>2057436</v>
      </c>
      <c r="E12" s="13">
        <v>213871</v>
      </c>
      <c r="F12" s="4">
        <v>75</v>
      </c>
      <c r="G12" s="11">
        <f>IF(B8&gt;0,(B12-B8)/B8,0)</f>
        <v>0.95477015113350128</v>
      </c>
    </row>
    <row r="13" spans="1:7" ht="15" customHeight="1">
      <c r="A13" s="5" t="s">
        <v>110</v>
      </c>
      <c r="B13" s="12">
        <v>306848</v>
      </c>
      <c r="C13" s="12">
        <v>268046</v>
      </c>
      <c r="D13" s="12">
        <v>353602</v>
      </c>
      <c r="E13" s="12">
        <v>16395</v>
      </c>
      <c r="F13" s="5">
        <v>72</v>
      </c>
      <c r="G13" s="8">
        <f>IF(B9&gt;0,(B13-B9)/B9,0)</f>
        <v>1.5494819578420864</v>
      </c>
    </row>
    <row r="14" spans="1:7" ht="15" customHeight="1">
      <c r="A14" s="4" t="s">
        <v>111</v>
      </c>
      <c r="B14" s="13">
        <v>295437</v>
      </c>
      <c r="C14" s="13">
        <v>271922</v>
      </c>
      <c r="D14" s="13">
        <v>320774</v>
      </c>
      <c r="E14" s="13">
        <v>14421</v>
      </c>
      <c r="F14" s="4">
        <v>72</v>
      </c>
      <c r="G14" s="11">
        <f>IF(B10&gt;0,(B14-B10)/B10,0)</f>
        <v>1.1375949641849359</v>
      </c>
    </row>
    <row r="15" spans="1:7" ht="15" customHeight="1">
      <c r="A15" s="5" t="s">
        <v>112</v>
      </c>
      <c r="B15" s="12">
        <v>263066</v>
      </c>
      <c r="C15" s="12">
        <v>247057</v>
      </c>
      <c r="D15" s="12">
        <v>301508</v>
      </c>
      <c r="E15" s="12">
        <v>14178</v>
      </c>
      <c r="F15" s="5">
        <v>70</v>
      </c>
      <c r="G15" s="8">
        <f>IF(B11&gt;0,(B15-B11)/B11,0)</f>
        <v>0.61848921482976293</v>
      </c>
    </row>
    <row r="16" spans="1:7" ht="15" customHeight="1">
      <c r="A16" s="4" t="s">
        <v>113</v>
      </c>
      <c r="B16" s="13">
        <v>266748</v>
      </c>
      <c r="C16" s="13">
        <v>248895</v>
      </c>
      <c r="D16" s="13">
        <v>274257</v>
      </c>
      <c r="E16" s="13">
        <v>5985</v>
      </c>
      <c r="F16" s="4">
        <v>66</v>
      </c>
      <c r="G16" s="11">
        <f>IF(B12&gt;0,(B16-B12)/B12,0)</f>
        <v>7.4150136509700648E-2</v>
      </c>
    </row>
    <row r="17" spans="1:7" ht="15" customHeight="1">
      <c r="A17" s="5" t="s">
        <v>114</v>
      </c>
      <c r="B17" s="12">
        <v>270165</v>
      </c>
      <c r="C17" s="12">
        <v>265714</v>
      </c>
      <c r="D17" s="12">
        <v>277111</v>
      </c>
      <c r="E17" s="12">
        <v>2578</v>
      </c>
      <c r="F17" s="5">
        <v>73</v>
      </c>
      <c r="G17" s="8">
        <f>IF(B13&gt;0,(B17-B13)/B13,0)</f>
        <v>-0.119547789133382</v>
      </c>
    </row>
    <row r="18" spans="1:7" ht="15" customHeight="1">
      <c r="A18" s="4" t="s">
        <v>115</v>
      </c>
      <c r="B18" s="13">
        <v>274364</v>
      </c>
      <c r="C18" s="13">
        <v>261888</v>
      </c>
      <c r="D18" s="13">
        <v>283130</v>
      </c>
      <c r="E18" s="13">
        <v>6324</v>
      </c>
      <c r="F18" s="4">
        <v>72</v>
      </c>
      <c r="G18" s="11">
        <f>IF(B14&gt;0,(B18-B14)/B14,0)</f>
        <v>-7.1328235799849038E-2</v>
      </c>
    </row>
    <row r="19" spans="1:7" ht="15" customHeight="1">
      <c r="A19" s="5" t="s">
        <v>116</v>
      </c>
      <c r="B19" s="12">
        <v>264647</v>
      </c>
      <c r="C19" s="12">
        <v>260243</v>
      </c>
      <c r="D19" s="12">
        <v>269271</v>
      </c>
      <c r="E19" s="12">
        <v>2382</v>
      </c>
      <c r="F19" s="5">
        <v>70</v>
      </c>
      <c r="G19" s="8">
        <f>IF(B15&gt;0,(B19-B15)/B15,0)</f>
        <v>6.0098986566108886E-3</v>
      </c>
    </row>
    <row r="20" spans="1:7" ht="15" customHeight="1">
      <c r="A20" s="4" t="s">
        <v>117</v>
      </c>
      <c r="B20" s="13">
        <v>268978</v>
      </c>
      <c r="C20" s="13">
        <v>264300</v>
      </c>
      <c r="D20" s="13">
        <v>274440</v>
      </c>
      <c r="E20" s="13">
        <v>2503</v>
      </c>
      <c r="F20" s="4">
        <v>75</v>
      </c>
      <c r="G20" s="11">
        <f>IF(B16&gt;0,(B20-B16)/B16,0)</f>
        <v>8.3599502151843683E-3</v>
      </c>
    </row>
    <row r="21" spans="1:7" ht="15" customHeight="1">
      <c r="A21" s="5" t="s">
        <v>118</v>
      </c>
      <c r="B21" s="12">
        <v>281119</v>
      </c>
      <c r="C21" s="12">
        <v>260192</v>
      </c>
      <c r="D21" s="12">
        <v>308112</v>
      </c>
      <c r="E21" s="12">
        <v>14483</v>
      </c>
      <c r="F21" s="5">
        <v>74</v>
      </c>
      <c r="G21" s="8">
        <f>IF(B17&gt;0,(B21-B17)/B17,0)</f>
        <v>4.0545592508281977E-2</v>
      </c>
    </row>
    <row r="22" spans="1:7" ht="15" customHeight="1">
      <c r="A22" s="4" t="s">
        <v>119</v>
      </c>
      <c r="B22" s="13">
        <v>328139</v>
      </c>
      <c r="C22" s="13">
        <v>300325</v>
      </c>
      <c r="D22" s="13">
        <v>414443</v>
      </c>
      <c r="E22" s="13">
        <v>40252</v>
      </c>
      <c r="F22" s="4">
        <v>70</v>
      </c>
      <c r="G22" s="11">
        <f>IF(B18&gt;0,(B22-B18)/B18,0)</f>
        <v>0.19599874619119126</v>
      </c>
    </row>
    <row r="23" spans="1:7" ht="15" customHeight="1">
      <c r="A23" s="5" t="s">
        <v>120</v>
      </c>
      <c r="B23" s="12">
        <v>413277</v>
      </c>
      <c r="C23" s="12">
        <v>393088</v>
      </c>
      <c r="D23" s="12">
        <v>431173</v>
      </c>
      <c r="E23" s="12">
        <v>8981</v>
      </c>
      <c r="F23" s="5">
        <v>69</v>
      </c>
      <c r="G23" s="8">
        <f>IF(B19&gt;0,(B23-B19)/B19,0)</f>
        <v>0.56161603947900407</v>
      </c>
    </row>
    <row r="24" spans="1:7" ht="15" customHeight="1">
      <c r="A24" s="4" t="s">
        <v>121</v>
      </c>
      <c r="B24" s="13">
        <v>409923</v>
      </c>
      <c r="C24" s="13">
        <v>399355</v>
      </c>
      <c r="D24" s="13">
        <v>421614</v>
      </c>
      <c r="E24" s="13">
        <v>5563</v>
      </c>
      <c r="F24" s="4">
        <v>73</v>
      </c>
      <c r="G24" s="11">
        <f>IF(B20&gt;0,(B24-B20)/B20,0)</f>
        <v>0.52400196298582036</v>
      </c>
    </row>
    <row r="25" spans="1:7" ht="15" customHeight="1">
      <c r="A25" s="5" t="s">
        <v>122</v>
      </c>
      <c r="B25" s="12">
        <v>405709</v>
      </c>
      <c r="C25" s="12">
        <v>391657</v>
      </c>
      <c r="D25" s="12">
        <v>428583</v>
      </c>
      <c r="E25" s="12">
        <v>10356</v>
      </c>
      <c r="F25" s="5">
        <v>75</v>
      </c>
      <c r="G25" s="8">
        <f>IF(B21&gt;0,(B25-B21)/B21,0)</f>
        <v>0.44319309616212349</v>
      </c>
    </row>
    <row r="26" spans="1:7" ht="15" customHeight="1">
      <c r="A26" s="4" t="s">
        <v>123</v>
      </c>
      <c r="B26" s="13">
        <v>431500</v>
      </c>
      <c r="C26" s="13">
        <v>424279</v>
      </c>
      <c r="D26" s="13">
        <v>441709</v>
      </c>
      <c r="E26" s="13">
        <v>4134</v>
      </c>
      <c r="F26" s="4">
        <v>71</v>
      </c>
      <c r="G26" s="11">
        <f>IF(B22&gt;0,(B26-B22)/B22,0)</f>
        <v>0.31499151274307535</v>
      </c>
    </row>
    <row r="27" spans="1:7" ht="15" customHeight="1">
      <c r="A27" s="5" t="s">
        <v>124</v>
      </c>
      <c r="B27" s="12">
        <v>447359</v>
      </c>
      <c r="C27" s="12">
        <v>432024</v>
      </c>
      <c r="D27" s="12">
        <v>461909</v>
      </c>
      <c r="E27" s="12">
        <v>9468</v>
      </c>
      <c r="F27" s="5">
        <v>68</v>
      </c>
      <c r="G27" s="8">
        <f>IF(B23&gt;0,(B27-B23)/B23,0)</f>
        <v>8.246769116113406E-2</v>
      </c>
    </row>
    <row r="28" spans="1:7" ht="15" customHeight="1">
      <c r="A28" s="4" t="s">
        <v>125</v>
      </c>
      <c r="B28" s="13">
        <v>486258</v>
      </c>
      <c r="C28" s="13">
        <v>458804</v>
      </c>
      <c r="D28" s="13">
        <v>513300</v>
      </c>
      <c r="E28" s="13">
        <v>16891</v>
      </c>
      <c r="F28" s="4">
        <v>72</v>
      </c>
      <c r="G28" s="11">
        <f>IF(B24&gt;0,(B28-B24)/B24,0)</f>
        <v>0.18621789945916672</v>
      </c>
    </row>
    <row r="29" spans="1:7" ht="15" customHeight="1">
      <c r="A29" s="5" t="s">
        <v>126</v>
      </c>
      <c r="B29" s="12">
        <v>541639</v>
      </c>
      <c r="C29" s="12">
        <v>516581</v>
      </c>
      <c r="D29" s="12">
        <v>656722</v>
      </c>
      <c r="E29" s="12">
        <v>31344</v>
      </c>
      <c r="F29" s="5">
        <v>76</v>
      </c>
      <c r="G29" s="8">
        <f>IF(B25&gt;0,(B29-B25)/B25,0)</f>
        <v>0.33504309739246602</v>
      </c>
    </row>
    <row r="30" spans="1:7" ht="15" customHeight="1">
      <c r="A30" s="4" t="s">
        <v>127</v>
      </c>
      <c r="B30" s="13">
        <v>700234</v>
      </c>
      <c r="C30" s="13">
        <v>655901</v>
      </c>
      <c r="D30" s="13">
        <v>751585</v>
      </c>
      <c r="E30" s="13">
        <v>23213</v>
      </c>
      <c r="F30" s="4">
        <v>73</v>
      </c>
      <c r="G30" s="11">
        <f>IF(B26&gt;0,(B30-B26)/B26,0)</f>
        <v>0.62279026651216685</v>
      </c>
    </row>
    <row r="31" spans="1:7" ht="15" customHeight="1">
      <c r="A31" s="5" t="s">
        <v>128</v>
      </c>
      <c r="B31" s="12">
        <v>780053</v>
      </c>
      <c r="C31" s="12">
        <v>742049</v>
      </c>
      <c r="D31" s="12">
        <v>803943</v>
      </c>
      <c r="E31" s="12">
        <v>15642</v>
      </c>
      <c r="F31" s="5">
        <v>68</v>
      </c>
      <c r="G31" s="8">
        <f>IF(B27&gt;0,(B31-B27)/B27,0)</f>
        <v>0.74368460229927191</v>
      </c>
    </row>
    <row r="32" spans="1:7" ht="15" customHeight="1">
      <c r="A32" s="4" t="s">
        <v>129</v>
      </c>
      <c r="B32" s="13">
        <v>814281</v>
      </c>
      <c r="C32" s="13">
        <v>799642</v>
      </c>
      <c r="D32" s="13">
        <v>828289</v>
      </c>
      <c r="E32" s="13">
        <v>5937</v>
      </c>
      <c r="F32" s="4">
        <v>74</v>
      </c>
      <c r="G32" s="11">
        <f>IF(B28&gt;0,(B32-B28)/B28,0)</f>
        <v>0.67458633071332508</v>
      </c>
    </row>
    <row r="33" spans="1:7" ht="15" customHeight="1">
      <c r="A33" s="5" t="s">
        <v>130</v>
      </c>
      <c r="B33" s="12">
        <v>822292</v>
      </c>
      <c r="C33" s="12">
        <v>810136</v>
      </c>
      <c r="D33" s="12">
        <v>836017</v>
      </c>
      <c r="E33" s="12">
        <v>5769</v>
      </c>
      <c r="F33" s="5">
        <v>65</v>
      </c>
      <c r="G33" s="8">
        <f>IF(B29&gt;0,(B33-B29)/B29,0)</f>
        <v>0.51815508115183728</v>
      </c>
    </row>
  </sheetData>
  <mergeCells count="2">
    <mergeCell ref="A2:G2"/>
    <mergeCell ref="A1:G1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B22222"/>
  </sheetPr>
  <dimension ref="A1:X27"/>
  <sheetViews>
    <sheetView zoomScaleNormal="100" workbookViewId="0"/>
  </sheetViews>
  <sheetFormatPr defaultColWidth="8.7109375" defaultRowHeight="15"/>
  <cols>
    <col min="1" max="1" width="8" style="1" customWidth="1"/>
    <col min="2" max="2" width="22" style="1" customWidth="1"/>
    <col min="3" max="24" width="10" style="1" customWidth="1"/>
  </cols>
  <sheetData>
    <row r="1" spans="1:23" ht="39.75" customHeight="1">
      <c r="A1" s="31" t="s">
        <v>131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</row>
    <row r="2" spans="1:23" ht="17.850000000000001" customHeight="1">
      <c r="A2" s="32" t="s">
        <v>132</v>
      </c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</row>
    <row r="4" spans="1:23" ht="26.1" customHeight="1">
      <c r="A4" s="3" t="s">
        <v>38</v>
      </c>
      <c r="B4" s="3" t="s">
        <v>39</v>
      </c>
      <c r="C4" s="3" t="s">
        <v>40</v>
      </c>
      <c r="D4" s="3" t="s">
        <v>41</v>
      </c>
      <c r="E4" s="3" t="s">
        <v>42</v>
      </c>
      <c r="F4" s="3" t="s">
        <v>43</v>
      </c>
      <c r="G4" s="3" t="s">
        <v>44</v>
      </c>
      <c r="H4" s="3" t="s">
        <v>45</v>
      </c>
      <c r="I4" s="3" t="s">
        <v>46</v>
      </c>
      <c r="J4" s="3" t="s">
        <v>47</v>
      </c>
      <c r="K4" s="3" t="s">
        <v>48</v>
      </c>
      <c r="L4" s="3" t="s">
        <v>49</v>
      </c>
      <c r="M4" s="3" t="s">
        <v>50</v>
      </c>
      <c r="N4" s="3" t="s">
        <v>51</v>
      </c>
      <c r="O4" s="3" t="s">
        <v>52</v>
      </c>
      <c r="P4" s="3" t="s">
        <v>53</v>
      </c>
      <c r="Q4" s="3" t="s">
        <v>54</v>
      </c>
      <c r="R4" s="3" t="s">
        <v>55</v>
      </c>
      <c r="S4" s="3" t="s">
        <v>56</v>
      </c>
      <c r="T4" s="3" t="s">
        <v>57</v>
      </c>
      <c r="U4" s="3" t="s">
        <v>58</v>
      </c>
      <c r="V4" s="3" t="s">
        <v>59</v>
      </c>
      <c r="W4" s="3" t="s">
        <v>60</v>
      </c>
    </row>
    <row r="5" spans="1:23" ht="15" customHeight="1">
      <c r="A5" s="9">
        <v>1</v>
      </c>
      <c r="B5" s="9" t="s">
        <v>65</v>
      </c>
      <c r="C5" s="13">
        <v>3000</v>
      </c>
      <c r="D5" s="4"/>
      <c r="E5" s="13">
        <v>3977.9</v>
      </c>
      <c r="F5" s="13">
        <v>4675.3</v>
      </c>
      <c r="G5" s="13">
        <v>4649.3</v>
      </c>
      <c r="H5" s="13">
        <v>6086</v>
      </c>
      <c r="I5" s="13">
        <v>6095.3</v>
      </c>
      <c r="J5" s="13">
        <v>6095.3</v>
      </c>
      <c r="K5" s="13">
        <v>6095.3</v>
      </c>
      <c r="L5" s="13">
        <v>6317.5</v>
      </c>
      <c r="M5" s="13">
        <v>7061.4</v>
      </c>
      <c r="N5" s="13">
        <v>7683.9</v>
      </c>
      <c r="O5" s="13">
        <v>7707</v>
      </c>
      <c r="P5" s="13">
        <v>7700.9</v>
      </c>
      <c r="Q5" s="13">
        <v>7716.9</v>
      </c>
      <c r="R5" s="13">
        <v>8933</v>
      </c>
      <c r="S5" s="13">
        <v>8955.5</v>
      </c>
      <c r="T5" s="13">
        <v>9454.1</v>
      </c>
      <c r="U5" s="13">
        <v>9543.9</v>
      </c>
      <c r="V5" s="13">
        <v>9759.4</v>
      </c>
      <c r="W5" s="13">
        <v>9768.7999999999993</v>
      </c>
    </row>
    <row r="6" spans="1:23" ht="15" customHeight="1">
      <c r="A6" s="9">
        <v>2</v>
      </c>
      <c r="B6" s="9" t="s">
        <v>22</v>
      </c>
      <c r="C6" s="13">
        <v>3000</v>
      </c>
      <c r="D6" s="4"/>
      <c r="E6" s="13">
        <v>3137.2</v>
      </c>
      <c r="F6" s="13">
        <v>3138.3</v>
      </c>
      <c r="G6" s="13">
        <v>3754.7</v>
      </c>
      <c r="H6" s="13">
        <v>4509</v>
      </c>
      <c r="I6" s="13">
        <v>4733.5</v>
      </c>
      <c r="J6" s="13">
        <v>4969.6000000000004</v>
      </c>
      <c r="K6" s="13">
        <v>5002.7</v>
      </c>
      <c r="L6" s="13">
        <v>5453.3</v>
      </c>
      <c r="M6" s="13">
        <v>6054</v>
      </c>
      <c r="N6" s="13">
        <v>6341.6</v>
      </c>
      <c r="O6" s="13">
        <v>6344.8</v>
      </c>
      <c r="P6" s="13">
        <v>8465.9</v>
      </c>
      <c r="Q6" s="13">
        <v>8468.2999999999993</v>
      </c>
      <c r="R6" s="13">
        <v>11322.1</v>
      </c>
      <c r="S6" s="13">
        <v>11806.6</v>
      </c>
      <c r="T6" s="13">
        <v>11806.6</v>
      </c>
      <c r="U6" s="13">
        <v>11806.4</v>
      </c>
      <c r="V6" s="13">
        <v>12185.9</v>
      </c>
      <c r="W6" s="13">
        <v>12985.2</v>
      </c>
    </row>
    <row r="7" spans="1:23" ht="15" customHeight="1">
      <c r="A7" s="9">
        <v>3</v>
      </c>
      <c r="B7" s="9" t="s">
        <v>29</v>
      </c>
      <c r="C7" s="13">
        <v>3000</v>
      </c>
      <c r="D7" s="4"/>
      <c r="E7" s="13">
        <v>3255.4</v>
      </c>
      <c r="F7" s="13">
        <v>3350.4</v>
      </c>
      <c r="G7" s="13">
        <v>4163.8</v>
      </c>
      <c r="H7" s="13">
        <v>5459</v>
      </c>
      <c r="I7" s="13">
        <v>5746</v>
      </c>
      <c r="J7" s="13">
        <v>6139.7</v>
      </c>
      <c r="K7" s="13">
        <v>6139.7</v>
      </c>
      <c r="L7" s="13">
        <v>6403.5</v>
      </c>
      <c r="M7" s="13">
        <v>7069.7</v>
      </c>
      <c r="N7" s="13">
        <v>6737.9</v>
      </c>
      <c r="O7" s="13">
        <v>7096.6</v>
      </c>
      <c r="P7" s="13">
        <v>8643.4</v>
      </c>
      <c r="Q7" s="13">
        <v>8649.6</v>
      </c>
      <c r="R7" s="13">
        <v>9802.5</v>
      </c>
      <c r="S7" s="13">
        <v>10302.9</v>
      </c>
      <c r="T7" s="13">
        <v>11719.3</v>
      </c>
      <c r="U7" s="13">
        <v>11727.1</v>
      </c>
      <c r="V7" s="13">
        <v>12087.2</v>
      </c>
      <c r="W7" s="13">
        <v>12560</v>
      </c>
    </row>
    <row r="8" spans="1:23" ht="15" customHeight="1">
      <c r="A8" s="9">
        <v>4</v>
      </c>
      <c r="B8" s="9" t="s">
        <v>66</v>
      </c>
      <c r="C8" s="13">
        <v>3000</v>
      </c>
      <c r="D8" s="4"/>
      <c r="E8" s="13">
        <v>3161.8</v>
      </c>
      <c r="F8" s="13">
        <v>3255.6</v>
      </c>
      <c r="G8" s="13">
        <v>3321.3</v>
      </c>
      <c r="H8" s="13">
        <v>3913</v>
      </c>
      <c r="I8" s="13">
        <v>3905.9</v>
      </c>
      <c r="J8" s="13">
        <v>4272.3999999999996</v>
      </c>
      <c r="K8" s="13">
        <v>4272.3999999999996</v>
      </c>
      <c r="L8" s="13">
        <v>4999.8999999999996</v>
      </c>
      <c r="M8" s="13">
        <v>5531.3</v>
      </c>
      <c r="N8" s="13">
        <v>5731.8</v>
      </c>
      <c r="O8" s="13">
        <v>5374</v>
      </c>
      <c r="P8" s="13">
        <v>6919.3</v>
      </c>
      <c r="Q8" s="13">
        <v>6920.4</v>
      </c>
      <c r="R8" s="13">
        <v>8537.2999999999993</v>
      </c>
      <c r="S8" s="13">
        <v>8532.2000000000007</v>
      </c>
      <c r="T8" s="13">
        <v>9097.4</v>
      </c>
      <c r="U8" s="13">
        <v>10625</v>
      </c>
      <c r="V8" s="13">
        <v>11128</v>
      </c>
      <c r="W8" s="13">
        <v>11823.5</v>
      </c>
    </row>
    <row r="9" spans="1:23" ht="15" customHeight="1">
      <c r="A9" s="9">
        <v>5</v>
      </c>
      <c r="B9" s="9" t="s">
        <v>67</v>
      </c>
      <c r="C9" s="13">
        <v>3000</v>
      </c>
      <c r="D9" s="4"/>
      <c r="E9" s="13">
        <v>3379.5</v>
      </c>
      <c r="F9" s="13">
        <v>3413.4</v>
      </c>
      <c r="G9" s="13">
        <v>3533.4</v>
      </c>
      <c r="H9" s="13">
        <v>3703</v>
      </c>
      <c r="I9" s="13">
        <v>3724.2</v>
      </c>
      <c r="J9" s="13">
        <v>3840.4</v>
      </c>
      <c r="K9" s="13">
        <v>3995.5</v>
      </c>
      <c r="L9" s="13">
        <v>4419.5</v>
      </c>
      <c r="M9" s="13">
        <v>4984.8999999999996</v>
      </c>
      <c r="N9" s="13">
        <v>5868.1</v>
      </c>
      <c r="O9" s="13">
        <v>5886.4</v>
      </c>
      <c r="P9" s="13">
        <v>5822.6</v>
      </c>
      <c r="Q9" s="13">
        <v>5851.3</v>
      </c>
      <c r="R9" s="13">
        <v>6711.4</v>
      </c>
      <c r="S9" s="13">
        <v>6734.6</v>
      </c>
      <c r="T9" s="13">
        <v>8347.2000000000007</v>
      </c>
      <c r="U9" s="13">
        <v>8429.5</v>
      </c>
      <c r="V9" s="13">
        <v>8999.2999999999993</v>
      </c>
      <c r="W9" s="13">
        <v>9111.1</v>
      </c>
    </row>
    <row r="10" spans="1:23" ht="15" customHeight="1">
      <c r="A10" s="9">
        <v>6</v>
      </c>
      <c r="B10" s="9" t="s">
        <v>20</v>
      </c>
      <c r="C10" s="13">
        <v>3000</v>
      </c>
      <c r="D10" s="4"/>
      <c r="E10" s="13">
        <v>3152.9</v>
      </c>
      <c r="F10" s="13">
        <v>3243</v>
      </c>
      <c r="G10" s="13">
        <v>3302.5</v>
      </c>
      <c r="H10" s="13">
        <v>3425</v>
      </c>
      <c r="I10" s="13">
        <v>3492.4</v>
      </c>
      <c r="J10" s="13">
        <v>3908.5</v>
      </c>
      <c r="K10" s="13">
        <v>4351.1000000000004</v>
      </c>
      <c r="L10" s="13">
        <v>4445.2</v>
      </c>
      <c r="M10" s="13">
        <v>4770.5</v>
      </c>
      <c r="N10" s="13">
        <v>4996.3999999999996</v>
      </c>
      <c r="O10" s="13">
        <v>4997.2</v>
      </c>
      <c r="P10" s="13">
        <v>5068</v>
      </c>
      <c r="Q10" s="13">
        <v>5068.5</v>
      </c>
      <c r="R10" s="13">
        <v>5729.5</v>
      </c>
      <c r="S10" s="13">
        <v>5478.1</v>
      </c>
      <c r="T10" s="13">
        <v>6134.6</v>
      </c>
      <c r="U10" s="13">
        <v>7296.6</v>
      </c>
      <c r="V10" s="13">
        <v>7852.3</v>
      </c>
      <c r="W10" s="13">
        <v>8074.7</v>
      </c>
    </row>
    <row r="11" spans="1:23" ht="15" customHeight="1">
      <c r="A11" s="9">
        <v>7</v>
      </c>
      <c r="B11" s="9" t="s">
        <v>18</v>
      </c>
      <c r="C11" s="13">
        <v>3000</v>
      </c>
      <c r="D11" s="4"/>
      <c r="E11" s="13">
        <v>3522</v>
      </c>
      <c r="F11" s="13">
        <v>3846</v>
      </c>
      <c r="G11" s="13">
        <v>3969</v>
      </c>
      <c r="H11" s="13">
        <v>4929</v>
      </c>
      <c r="I11" s="13">
        <v>5282.7</v>
      </c>
      <c r="J11" s="13">
        <v>5100.2</v>
      </c>
      <c r="K11" s="13">
        <v>5231.5</v>
      </c>
      <c r="L11" s="13">
        <v>5707.8</v>
      </c>
      <c r="M11" s="13">
        <v>6342.9</v>
      </c>
      <c r="N11" s="13">
        <v>7123.1</v>
      </c>
      <c r="O11" s="13">
        <v>7130.2</v>
      </c>
      <c r="P11" s="13">
        <v>7384.5</v>
      </c>
      <c r="Q11" s="13">
        <v>8680.5</v>
      </c>
      <c r="R11" s="13">
        <v>10049</v>
      </c>
      <c r="S11" s="13">
        <v>10543.2</v>
      </c>
      <c r="T11" s="13">
        <v>10546.8</v>
      </c>
      <c r="U11" s="13">
        <v>12487.2</v>
      </c>
      <c r="V11" s="13">
        <v>13411.7</v>
      </c>
      <c r="W11" s="13">
        <v>13786.4</v>
      </c>
    </row>
    <row r="12" spans="1:23" ht="15" customHeight="1">
      <c r="A12" s="9">
        <v>8</v>
      </c>
      <c r="B12" s="9" t="s">
        <v>68</v>
      </c>
      <c r="C12" s="13">
        <v>3000</v>
      </c>
      <c r="D12" s="4"/>
      <c r="E12" s="13">
        <v>3600.4</v>
      </c>
      <c r="F12" s="13">
        <v>4050.2</v>
      </c>
      <c r="G12" s="13">
        <v>4199.3999999999996</v>
      </c>
      <c r="H12" s="13">
        <v>4598</v>
      </c>
      <c r="I12" s="13">
        <v>4472.3999999999996</v>
      </c>
      <c r="J12" s="13">
        <v>4959.1000000000004</v>
      </c>
      <c r="K12" s="13">
        <v>5504.6</v>
      </c>
      <c r="L12" s="13">
        <v>6008.5</v>
      </c>
      <c r="M12" s="13">
        <v>6680.5</v>
      </c>
      <c r="N12" s="13">
        <v>6681.7</v>
      </c>
      <c r="O12" s="13">
        <v>6681.9</v>
      </c>
      <c r="P12" s="13">
        <v>6682.6</v>
      </c>
      <c r="Q12" s="13">
        <v>7864.1</v>
      </c>
      <c r="R12" s="13">
        <v>9217.4</v>
      </c>
      <c r="S12" s="13">
        <v>8958.5</v>
      </c>
      <c r="T12" s="13">
        <v>9233.2000000000007</v>
      </c>
      <c r="U12" s="13">
        <v>9233.5</v>
      </c>
      <c r="V12" s="13">
        <v>9830.7999999999993</v>
      </c>
      <c r="W12" s="13">
        <v>9970.7999999999993</v>
      </c>
    </row>
    <row r="13" spans="1:23" ht="15" customHeight="1">
      <c r="A13" s="9">
        <v>9</v>
      </c>
      <c r="B13" s="9" t="s">
        <v>69</v>
      </c>
      <c r="C13" s="13">
        <v>3000</v>
      </c>
      <c r="D13" s="4"/>
      <c r="E13" s="13">
        <v>3715.1</v>
      </c>
      <c r="F13" s="13">
        <v>4050.5</v>
      </c>
      <c r="G13" s="13">
        <v>4200.7</v>
      </c>
      <c r="H13" s="13">
        <v>4604</v>
      </c>
      <c r="I13" s="13">
        <v>4477.8999999999996</v>
      </c>
      <c r="J13" s="13">
        <v>4982.3999999999996</v>
      </c>
      <c r="K13" s="13">
        <v>5545.7</v>
      </c>
      <c r="L13" s="13">
        <v>6049.8</v>
      </c>
      <c r="M13" s="13">
        <v>6721.9</v>
      </c>
      <c r="N13" s="13">
        <v>7463.4</v>
      </c>
      <c r="O13" s="13">
        <v>7464.3</v>
      </c>
      <c r="P13" s="13">
        <v>7542</v>
      </c>
      <c r="Q13" s="13">
        <v>7914.5</v>
      </c>
      <c r="R13" s="13">
        <v>8708.6</v>
      </c>
      <c r="S13" s="13">
        <v>8709.7000000000007</v>
      </c>
      <c r="T13" s="13">
        <v>9294</v>
      </c>
      <c r="U13" s="13">
        <v>9295.2000000000007</v>
      </c>
      <c r="V13" s="13">
        <v>9895.4</v>
      </c>
      <c r="W13" s="13">
        <v>10036.200000000001</v>
      </c>
    </row>
    <row r="14" spans="1:23" ht="15" customHeight="1">
      <c r="A14" s="9">
        <v>10</v>
      </c>
      <c r="B14" s="9" t="s">
        <v>26</v>
      </c>
      <c r="C14" s="13">
        <v>3000</v>
      </c>
      <c r="D14" s="4"/>
      <c r="E14" s="13">
        <v>3106.1</v>
      </c>
      <c r="F14" s="13">
        <v>3935.1</v>
      </c>
      <c r="G14" s="13">
        <v>4449.3999999999996</v>
      </c>
      <c r="H14" s="13">
        <v>5259</v>
      </c>
      <c r="I14" s="13">
        <v>4987.8</v>
      </c>
      <c r="J14" s="13">
        <v>5262.7</v>
      </c>
      <c r="K14" s="13">
        <v>5648.9</v>
      </c>
      <c r="L14" s="13">
        <v>6182.9</v>
      </c>
      <c r="M14" s="13">
        <v>6894.8</v>
      </c>
      <c r="N14" s="13">
        <v>7730.7</v>
      </c>
      <c r="O14" s="13">
        <v>7765.9</v>
      </c>
      <c r="P14" s="13">
        <v>8478.6</v>
      </c>
      <c r="Q14" s="13">
        <v>8508.2000000000007</v>
      </c>
      <c r="R14" s="13">
        <v>9451.2999999999993</v>
      </c>
      <c r="S14" s="13">
        <v>9491.1</v>
      </c>
      <c r="T14" s="13">
        <v>10970.3</v>
      </c>
      <c r="U14" s="13">
        <v>12045.4</v>
      </c>
      <c r="V14" s="13">
        <v>12304.9</v>
      </c>
      <c r="W14" s="13">
        <v>12767.3</v>
      </c>
    </row>
    <row r="15" spans="1:23" ht="15" customHeight="1">
      <c r="A15" s="9">
        <v>11</v>
      </c>
      <c r="B15" s="9" t="s">
        <v>70</v>
      </c>
      <c r="C15" s="13">
        <v>3000</v>
      </c>
      <c r="D15" s="4"/>
      <c r="E15" s="13">
        <v>3307.7</v>
      </c>
      <c r="F15" s="13">
        <v>3315.5</v>
      </c>
      <c r="G15" s="13">
        <v>3438</v>
      </c>
      <c r="H15" s="13">
        <v>3899</v>
      </c>
      <c r="I15" s="13">
        <v>3915.9</v>
      </c>
      <c r="J15" s="13">
        <v>4051.7</v>
      </c>
      <c r="K15" s="13">
        <v>4287.2</v>
      </c>
      <c r="L15" s="13">
        <v>4699.7</v>
      </c>
      <c r="M15" s="13">
        <v>5249.8</v>
      </c>
      <c r="N15" s="13">
        <v>5483.8</v>
      </c>
      <c r="O15" s="13">
        <v>5530.9</v>
      </c>
      <c r="P15" s="13">
        <v>5567.5</v>
      </c>
      <c r="Q15" s="13">
        <v>6352.6</v>
      </c>
      <c r="R15" s="13">
        <v>7546.9</v>
      </c>
      <c r="S15" s="13">
        <v>7457.4</v>
      </c>
      <c r="T15" s="13">
        <v>8410</v>
      </c>
      <c r="U15" s="13">
        <v>9593.2000000000007</v>
      </c>
      <c r="V15" s="13">
        <v>9613.6</v>
      </c>
      <c r="W15" s="13">
        <v>9633.5</v>
      </c>
    </row>
    <row r="16" spans="1:23" ht="15" customHeight="1">
      <c r="A16" s="9">
        <v>12</v>
      </c>
      <c r="B16" s="9" t="s">
        <v>71</v>
      </c>
      <c r="C16" s="13">
        <v>3000</v>
      </c>
      <c r="D16" s="4"/>
      <c r="E16" s="13">
        <v>3125.4</v>
      </c>
      <c r="F16" s="13">
        <v>3185.8</v>
      </c>
      <c r="G16" s="13">
        <v>3300.2</v>
      </c>
      <c r="H16" s="13">
        <v>3772</v>
      </c>
      <c r="I16" s="13">
        <v>3775.8</v>
      </c>
      <c r="J16" s="13">
        <v>3992.1</v>
      </c>
      <c r="K16" s="13">
        <v>4261.6000000000004</v>
      </c>
      <c r="L16" s="13">
        <v>4657.6000000000004</v>
      </c>
      <c r="M16" s="13">
        <v>5185.6000000000004</v>
      </c>
      <c r="N16" s="13">
        <v>5195.8999999999996</v>
      </c>
      <c r="O16" s="13">
        <v>4890.7</v>
      </c>
      <c r="P16" s="13">
        <v>5457.1</v>
      </c>
      <c r="Q16" s="13">
        <v>5458.6</v>
      </c>
      <c r="R16" s="13">
        <v>6012.3</v>
      </c>
      <c r="S16" s="13">
        <v>5853.6</v>
      </c>
      <c r="T16" s="13">
        <v>6609.9</v>
      </c>
      <c r="U16" s="13">
        <v>7854.5</v>
      </c>
      <c r="V16" s="13">
        <v>8449.2999999999993</v>
      </c>
      <c r="W16" s="13">
        <v>8687.7000000000007</v>
      </c>
    </row>
    <row r="17" spans="1:23" ht="15" customHeight="1">
      <c r="A17" s="9">
        <v>13</v>
      </c>
      <c r="B17" s="9" t="s">
        <v>72</v>
      </c>
      <c r="C17" s="13">
        <v>3000</v>
      </c>
      <c r="D17" s="4"/>
      <c r="E17" s="13">
        <v>3016.5</v>
      </c>
      <c r="F17" s="13">
        <v>3142</v>
      </c>
      <c r="G17" s="13">
        <v>3142.2</v>
      </c>
      <c r="H17" s="13">
        <v>3284</v>
      </c>
      <c r="I17" s="13">
        <v>3283.6</v>
      </c>
      <c r="J17" s="13">
        <v>3360.9</v>
      </c>
      <c r="K17" s="13">
        <v>3466.5</v>
      </c>
      <c r="L17" s="13">
        <v>3843.6</v>
      </c>
      <c r="M17" s="13">
        <v>4346.3</v>
      </c>
      <c r="N17" s="13">
        <v>4368</v>
      </c>
      <c r="O17" s="13">
        <v>4937.8</v>
      </c>
      <c r="P17" s="13">
        <v>6354.3</v>
      </c>
      <c r="Q17" s="13">
        <v>6509.9</v>
      </c>
      <c r="R17" s="13">
        <v>6906.3</v>
      </c>
      <c r="S17" s="13">
        <v>6914.2</v>
      </c>
      <c r="T17" s="13">
        <v>8278.6</v>
      </c>
      <c r="U17" s="13">
        <v>8329.7999999999993</v>
      </c>
      <c r="V17" s="13">
        <v>8334.1</v>
      </c>
      <c r="W17" s="13">
        <v>8478.7999999999993</v>
      </c>
    </row>
    <row r="18" spans="1:23" ht="15" customHeight="1">
      <c r="A18" s="9">
        <v>14</v>
      </c>
      <c r="B18" s="9" t="s">
        <v>73</v>
      </c>
      <c r="C18" s="13">
        <v>3000</v>
      </c>
      <c r="D18" s="4"/>
      <c r="E18" s="13">
        <v>3765</v>
      </c>
      <c r="F18" s="13">
        <v>3837</v>
      </c>
      <c r="G18" s="13">
        <v>3816</v>
      </c>
      <c r="H18" s="13">
        <v>4789</v>
      </c>
      <c r="I18" s="13">
        <v>4880.7</v>
      </c>
      <c r="J18" s="13">
        <v>4695.6000000000004</v>
      </c>
      <c r="K18" s="13">
        <v>4731.8</v>
      </c>
      <c r="L18" s="13">
        <v>4752.1000000000004</v>
      </c>
      <c r="M18" s="13">
        <v>5362.6</v>
      </c>
      <c r="N18" s="13">
        <v>6009.3</v>
      </c>
      <c r="O18" s="13">
        <v>6010.5</v>
      </c>
      <c r="P18" s="13">
        <v>6626.8</v>
      </c>
      <c r="Q18" s="13">
        <v>7239.7</v>
      </c>
      <c r="R18" s="13">
        <v>8149.2</v>
      </c>
      <c r="S18" s="13">
        <v>8151.2</v>
      </c>
      <c r="T18" s="13">
        <v>8763.2999999999993</v>
      </c>
      <c r="U18" s="13">
        <v>10421</v>
      </c>
      <c r="V18" s="13">
        <v>11213.5</v>
      </c>
      <c r="W18" s="13">
        <v>11530.8</v>
      </c>
    </row>
    <row r="19" spans="1:23" ht="15" customHeight="1">
      <c r="A19" s="9">
        <v>15</v>
      </c>
      <c r="B19" s="9" t="s">
        <v>74</v>
      </c>
      <c r="C19" s="13">
        <v>3000</v>
      </c>
      <c r="D19" s="4"/>
      <c r="E19" s="13">
        <v>3656.9</v>
      </c>
      <c r="F19" s="13">
        <v>3648.2</v>
      </c>
      <c r="G19" s="13">
        <v>3492</v>
      </c>
      <c r="H19" s="13">
        <v>3750</v>
      </c>
      <c r="I19" s="13">
        <v>3851.7</v>
      </c>
      <c r="J19" s="13">
        <v>4132.8</v>
      </c>
      <c r="K19" s="13">
        <v>4600.7</v>
      </c>
      <c r="L19" s="13">
        <v>4700.2</v>
      </c>
      <c r="M19" s="13">
        <v>5044.2</v>
      </c>
      <c r="N19" s="13">
        <v>5478.1</v>
      </c>
      <c r="O19" s="13">
        <v>5278.7</v>
      </c>
      <c r="P19" s="13">
        <v>5621.4</v>
      </c>
      <c r="Q19" s="13">
        <v>5931.9</v>
      </c>
      <c r="R19" s="13">
        <v>6262.3</v>
      </c>
      <c r="S19" s="13">
        <v>6047.7</v>
      </c>
      <c r="T19" s="13">
        <v>5952.8</v>
      </c>
      <c r="U19" s="13">
        <v>6154.8</v>
      </c>
      <c r="V19" s="13">
        <v>6606.8</v>
      </c>
      <c r="W19" s="13">
        <v>7027.2</v>
      </c>
    </row>
    <row r="20" spans="1:23" ht="15" customHeight="1">
      <c r="A20" s="9">
        <v>16</v>
      </c>
      <c r="B20" s="9" t="s">
        <v>75</v>
      </c>
      <c r="C20" s="13">
        <v>3000</v>
      </c>
      <c r="D20" s="4"/>
      <c r="E20" s="13">
        <v>3767.7</v>
      </c>
      <c r="F20" s="13">
        <v>3958.1</v>
      </c>
      <c r="G20" s="13">
        <v>4155.1000000000004</v>
      </c>
      <c r="H20" s="13">
        <v>4409</v>
      </c>
      <c r="I20" s="13">
        <v>4416.8999999999996</v>
      </c>
      <c r="J20" s="13">
        <v>4926.1000000000004</v>
      </c>
      <c r="K20" s="13">
        <v>5489.3</v>
      </c>
      <c r="L20" s="13">
        <v>5987.9</v>
      </c>
      <c r="M20" s="13">
        <v>6652.7</v>
      </c>
      <c r="N20" s="13">
        <v>6974</v>
      </c>
      <c r="O20" s="13">
        <v>7021.1</v>
      </c>
      <c r="P20" s="13">
        <v>7921</v>
      </c>
      <c r="Q20" s="13">
        <v>8633.5</v>
      </c>
      <c r="R20" s="13">
        <v>9585.7999999999993</v>
      </c>
      <c r="S20" s="13">
        <v>9131</v>
      </c>
      <c r="T20" s="13">
        <v>9265.4</v>
      </c>
      <c r="U20" s="13">
        <v>9421.5</v>
      </c>
      <c r="V20" s="13">
        <v>9614.1</v>
      </c>
      <c r="W20" s="13">
        <v>9720.4</v>
      </c>
    </row>
    <row r="21" spans="1:23" ht="15" customHeight="1">
      <c r="A21" s="9">
        <v>17</v>
      </c>
      <c r="B21" s="9" t="s">
        <v>76</v>
      </c>
      <c r="C21" s="13">
        <v>3000</v>
      </c>
      <c r="D21" s="4"/>
      <c r="E21" s="13">
        <v>3650.5</v>
      </c>
      <c r="F21" s="13">
        <v>4177.8999999999996</v>
      </c>
      <c r="G21" s="13">
        <v>4137.3</v>
      </c>
      <c r="H21" s="13">
        <v>4716</v>
      </c>
      <c r="I21" s="13">
        <v>4737.2</v>
      </c>
      <c r="J21" s="13">
        <v>5337.1</v>
      </c>
      <c r="K21" s="13">
        <v>5461.2</v>
      </c>
      <c r="L21" s="13">
        <v>5461.2</v>
      </c>
      <c r="M21" s="13">
        <v>5626.7</v>
      </c>
      <c r="N21" s="13">
        <v>6161.2</v>
      </c>
      <c r="O21" s="13">
        <v>6456.3</v>
      </c>
      <c r="P21" s="13">
        <v>6574.7</v>
      </c>
      <c r="Q21" s="13">
        <v>6606.2</v>
      </c>
      <c r="R21" s="13">
        <v>7437.1</v>
      </c>
      <c r="S21" s="13">
        <v>7509.2</v>
      </c>
      <c r="T21" s="13">
        <v>7596.4</v>
      </c>
      <c r="U21" s="13">
        <v>7665.8</v>
      </c>
      <c r="V21" s="13">
        <v>7682.9</v>
      </c>
      <c r="W21" s="13">
        <v>7699.9</v>
      </c>
    </row>
    <row r="22" spans="1:23" ht="15" customHeight="1">
      <c r="A22" s="9">
        <v>18</v>
      </c>
      <c r="B22" s="9" t="s">
        <v>77</v>
      </c>
      <c r="C22" s="13">
        <v>3000</v>
      </c>
      <c r="D22" s="4"/>
      <c r="E22" s="13">
        <v>3450.8</v>
      </c>
      <c r="F22" s="13">
        <v>3501.3</v>
      </c>
      <c r="G22" s="13">
        <v>3981.1</v>
      </c>
      <c r="H22" s="13">
        <v>4941</v>
      </c>
      <c r="I22" s="13">
        <v>4956.5</v>
      </c>
      <c r="J22" s="13">
        <v>4920.7</v>
      </c>
      <c r="K22" s="13">
        <v>4741.5</v>
      </c>
      <c r="L22" s="13">
        <v>5271</v>
      </c>
      <c r="M22" s="13">
        <v>5796.5</v>
      </c>
      <c r="N22" s="13">
        <v>5971.3</v>
      </c>
      <c r="O22" s="13">
        <v>5807.8</v>
      </c>
      <c r="P22" s="13">
        <v>6335</v>
      </c>
      <c r="Q22" s="13">
        <v>6462.7</v>
      </c>
      <c r="R22" s="13">
        <v>6760.9</v>
      </c>
      <c r="S22" s="13">
        <v>6862.3</v>
      </c>
      <c r="T22" s="13">
        <v>7716.5</v>
      </c>
      <c r="U22" s="13">
        <v>8369.2000000000007</v>
      </c>
      <c r="V22" s="13">
        <v>8957.2999999999993</v>
      </c>
      <c r="W22" s="13">
        <v>8983.2000000000007</v>
      </c>
    </row>
    <row r="23" spans="1:23" ht="15" customHeight="1">
      <c r="A23" s="9">
        <v>19</v>
      </c>
      <c r="B23" s="9" t="s">
        <v>78</v>
      </c>
      <c r="C23" s="13">
        <v>3000</v>
      </c>
      <c r="D23" s="4"/>
      <c r="E23" s="13">
        <v>3650.1</v>
      </c>
      <c r="F23" s="13">
        <v>3699.5</v>
      </c>
      <c r="G23" s="13">
        <v>3732.4</v>
      </c>
      <c r="H23" s="13">
        <v>4218</v>
      </c>
      <c r="I23" s="13">
        <v>4728.8999999999996</v>
      </c>
      <c r="J23" s="13">
        <v>4852.1000000000004</v>
      </c>
      <c r="K23" s="13">
        <v>5221.6000000000004</v>
      </c>
      <c r="L23" s="13">
        <v>6162.2</v>
      </c>
      <c r="M23" s="13">
        <v>6569</v>
      </c>
      <c r="N23" s="13">
        <v>6603.3</v>
      </c>
      <c r="O23" s="13">
        <v>6686.7</v>
      </c>
      <c r="P23" s="13">
        <v>6725.7</v>
      </c>
      <c r="Q23" s="13">
        <v>6899.6</v>
      </c>
      <c r="R23" s="13">
        <v>8307.1</v>
      </c>
      <c r="S23" s="13">
        <v>9231.7000000000007</v>
      </c>
      <c r="T23" s="13">
        <v>8060.1</v>
      </c>
      <c r="U23" s="13">
        <v>8147</v>
      </c>
      <c r="V23" s="13">
        <v>8167.4</v>
      </c>
      <c r="W23" s="13">
        <v>8188.7</v>
      </c>
    </row>
    <row r="24" spans="1:23" ht="15" customHeight="1">
      <c r="A24" s="9">
        <v>20</v>
      </c>
      <c r="B24" s="9" t="s">
        <v>79</v>
      </c>
      <c r="C24" s="13">
        <v>3000</v>
      </c>
      <c r="D24" s="4"/>
      <c r="E24" s="13">
        <v>3668.2</v>
      </c>
      <c r="F24" s="13">
        <v>3902</v>
      </c>
      <c r="G24" s="13">
        <v>4028.5</v>
      </c>
      <c r="H24" s="13">
        <v>4593</v>
      </c>
      <c r="I24" s="13">
        <v>4395.1000000000004</v>
      </c>
      <c r="J24" s="13">
        <v>4004.3</v>
      </c>
      <c r="K24" s="13">
        <v>4375</v>
      </c>
      <c r="L24" s="13">
        <v>4286.3</v>
      </c>
      <c r="M24" s="13">
        <v>4209.8</v>
      </c>
      <c r="N24" s="13">
        <v>4657.7</v>
      </c>
      <c r="O24" s="13">
        <v>4702.8</v>
      </c>
      <c r="P24" s="13">
        <v>4803.8</v>
      </c>
      <c r="Q24" s="13">
        <v>4861.2</v>
      </c>
      <c r="R24" s="13">
        <v>5605</v>
      </c>
      <c r="S24" s="13">
        <v>5794.6</v>
      </c>
      <c r="T24" s="13">
        <v>5958.2</v>
      </c>
      <c r="U24" s="13">
        <v>6407.2</v>
      </c>
      <c r="V24" s="13">
        <v>6525.9</v>
      </c>
      <c r="W24" s="13">
        <v>6840</v>
      </c>
    </row>
    <row r="25" spans="1:23" ht="15" customHeight="1">
      <c r="A25" s="9">
        <v>21</v>
      </c>
      <c r="B25" s="9" t="s">
        <v>80</v>
      </c>
      <c r="C25" s="13">
        <v>3000</v>
      </c>
      <c r="D25" s="4"/>
      <c r="E25" s="13">
        <v>3588.1</v>
      </c>
      <c r="F25" s="13">
        <v>3683.7</v>
      </c>
      <c r="G25" s="13">
        <v>3801.1</v>
      </c>
      <c r="H25" s="13">
        <v>4386</v>
      </c>
      <c r="I25" s="13">
        <v>4390.3</v>
      </c>
      <c r="J25" s="13">
        <v>4995.2</v>
      </c>
      <c r="K25" s="13">
        <v>4995.2</v>
      </c>
      <c r="L25" s="13">
        <v>5396.1</v>
      </c>
      <c r="M25" s="13">
        <v>6004.2</v>
      </c>
      <c r="N25" s="13">
        <v>5718.2</v>
      </c>
      <c r="O25" s="13">
        <v>5732.7</v>
      </c>
      <c r="P25" s="13">
        <v>8433.4</v>
      </c>
      <c r="Q25" s="13">
        <v>9027.2000000000007</v>
      </c>
      <c r="R25" s="13">
        <v>11162.2</v>
      </c>
      <c r="S25" s="13">
        <v>11186.1</v>
      </c>
      <c r="T25" s="13">
        <v>11318.8</v>
      </c>
      <c r="U25" s="13">
        <v>12301.6</v>
      </c>
      <c r="V25" s="13">
        <v>12313.1</v>
      </c>
      <c r="W25" s="13">
        <v>12323.5</v>
      </c>
    </row>
    <row r="26" spans="1:23" ht="15" customHeight="1">
      <c r="A26" s="9">
        <v>22</v>
      </c>
      <c r="B26" s="9" t="s">
        <v>81</v>
      </c>
      <c r="C26" s="13">
        <v>3000</v>
      </c>
      <c r="D26" s="4"/>
      <c r="E26" s="13">
        <v>3405.2</v>
      </c>
      <c r="F26" s="13">
        <v>4916.7</v>
      </c>
      <c r="G26" s="13">
        <v>3641.8</v>
      </c>
      <c r="H26" s="13">
        <v>4567</v>
      </c>
      <c r="I26" s="13">
        <v>4585.1000000000004</v>
      </c>
      <c r="J26" s="13">
        <v>4388.8999999999996</v>
      </c>
      <c r="K26" s="13">
        <v>4389.5</v>
      </c>
      <c r="L26" s="13">
        <v>4826.5</v>
      </c>
      <c r="M26" s="13">
        <v>5409.2</v>
      </c>
      <c r="N26" s="13">
        <v>6180.8</v>
      </c>
      <c r="O26" s="13">
        <v>6320.6</v>
      </c>
      <c r="P26" s="13">
        <v>6616.2</v>
      </c>
      <c r="Q26" s="13">
        <v>6533.2</v>
      </c>
      <c r="R26" s="13">
        <v>7537.6</v>
      </c>
      <c r="S26" s="13">
        <v>7799.9</v>
      </c>
      <c r="T26" s="13">
        <v>7855.1</v>
      </c>
      <c r="U26" s="13">
        <v>8565.2000000000007</v>
      </c>
      <c r="V26" s="13">
        <v>8813.2999999999993</v>
      </c>
      <c r="W26" s="13">
        <v>9303.2999999999993</v>
      </c>
    </row>
    <row r="27" spans="1:23" ht="15" customHeight="1">
      <c r="A27" s="9">
        <v>23</v>
      </c>
      <c r="B27" s="9" t="s">
        <v>82</v>
      </c>
      <c r="C27" s="13">
        <v>3000</v>
      </c>
      <c r="D27" s="4"/>
      <c r="E27" s="13">
        <v>3683.6</v>
      </c>
      <c r="F27" s="13">
        <v>3842.4</v>
      </c>
      <c r="G27" s="13">
        <v>4387.8999999999996</v>
      </c>
      <c r="H27" s="13">
        <v>4835</v>
      </c>
      <c r="I27" s="13">
        <v>4937.7</v>
      </c>
      <c r="J27" s="13">
        <v>5221.6000000000004</v>
      </c>
      <c r="K27" s="13">
        <v>5792</v>
      </c>
      <c r="L27" s="13">
        <v>5923.7</v>
      </c>
      <c r="M27" s="13">
        <v>6366.8</v>
      </c>
      <c r="N27" s="13">
        <v>6668.3</v>
      </c>
      <c r="O27" s="13">
        <v>6652</v>
      </c>
      <c r="P27" s="13">
        <v>6933.8</v>
      </c>
      <c r="Q27" s="13">
        <v>7595.9</v>
      </c>
      <c r="R27" s="13">
        <v>9077.1</v>
      </c>
      <c r="S27" s="13">
        <v>9418.7999999999993</v>
      </c>
      <c r="T27" s="13">
        <v>10728.6</v>
      </c>
      <c r="U27" s="13">
        <v>10769</v>
      </c>
      <c r="V27" s="13">
        <v>11277.6</v>
      </c>
      <c r="W27" s="13">
        <v>11544.1</v>
      </c>
    </row>
  </sheetData>
  <mergeCells count="2">
    <mergeCell ref="A2:W2"/>
    <mergeCell ref="A1:W1"/>
  </mergeCells>
  <conditionalFormatting sqref="C5:W26">
    <cfRule type="colorScale" priority="2">
      <colorScale>
        <cfvo type="num" val="3000"/>
        <cfvo type="num" val="6000"/>
        <cfvo type="num" val="12000"/>
        <color rgb="FF63BE7B"/>
        <color rgb="FFFFEB84"/>
        <color rgb="FFF8696B"/>
      </colorScale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8B8B"/>
  </sheetPr>
  <dimension ref="A1:I36"/>
  <sheetViews>
    <sheetView zoomScaleNormal="100" workbookViewId="0"/>
  </sheetViews>
  <sheetFormatPr defaultColWidth="8.7109375" defaultRowHeight="15"/>
  <cols>
    <col min="1" max="1" width="8" style="1" customWidth="1"/>
    <col min="2" max="2" width="22" style="1" customWidth="1"/>
    <col min="3" max="7" width="12" style="1" customWidth="1"/>
    <col min="8" max="8" width="14" style="1" customWidth="1"/>
    <col min="9" max="9" width="12" style="1" customWidth="1"/>
  </cols>
  <sheetData>
    <row r="1" spans="1:9" ht="39.75" customHeight="1">
      <c r="A1" s="31" t="s">
        <v>133</v>
      </c>
      <c r="B1" s="26"/>
      <c r="C1" s="26"/>
      <c r="D1" s="26"/>
      <c r="E1" s="26"/>
      <c r="F1" s="26"/>
      <c r="G1" s="26"/>
      <c r="H1" s="26"/>
      <c r="I1" s="26"/>
    </row>
    <row r="2" spans="1:9" ht="17.850000000000001" customHeight="1">
      <c r="A2" s="32" t="s">
        <v>134</v>
      </c>
      <c r="B2" s="26"/>
      <c r="C2" s="26"/>
      <c r="D2" s="26"/>
      <c r="E2" s="26"/>
      <c r="F2" s="26"/>
      <c r="G2" s="26"/>
      <c r="H2" s="26"/>
      <c r="I2" s="26"/>
    </row>
    <row r="4" spans="1:9" ht="15" customHeight="1">
      <c r="A4" s="3" t="s">
        <v>135</v>
      </c>
      <c r="B4" s="3" t="s">
        <v>136</v>
      </c>
      <c r="C4" s="3" t="s">
        <v>137</v>
      </c>
      <c r="D4" s="3" t="s">
        <v>138</v>
      </c>
      <c r="E4" s="3" t="s">
        <v>139</v>
      </c>
      <c r="F4" s="3" t="s">
        <v>140</v>
      </c>
      <c r="G4" s="3" t="s">
        <v>141</v>
      </c>
      <c r="H4" s="3" t="s">
        <v>142</v>
      </c>
      <c r="I4" s="3" t="s">
        <v>143</v>
      </c>
    </row>
    <row r="5" spans="1:9" ht="15" customHeight="1">
      <c r="A5" s="4">
        <v>1</v>
      </c>
      <c r="B5" s="9" t="s">
        <v>65</v>
      </c>
      <c r="C5" s="13">
        <v>3000</v>
      </c>
      <c r="D5" s="13">
        <v>4649.3</v>
      </c>
      <c r="E5" s="13">
        <v>7061.4</v>
      </c>
      <c r="F5" s="13">
        <v>7716.9</v>
      </c>
      <c r="G5" s="13">
        <v>9768.7999999999993</v>
      </c>
      <c r="H5" s="14">
        <f>IF(C5&gt;0,(G5-C5)/C5,0)</f>
        <v>2.2562666666666664</v>
      </c>
      <c r="I5" s="15">
        <f>IF(AND(C5&gt;0,G5&gt;0),POWER(G5/C5,1/4)-1,0)</f>
        <v>0.3433215777762495</v>
      </c>
    </row>
    <row r="6" spans="1:9" ht="15" customHeight="1">
      <c r="A6" s="4">
        <v>2</v>
      </c>
      <c r="B6" s="9" t="s">
        <v>22</v>
      </c>
      <c r="C6" s="13">
        <v>3000</v>
      </c>
      <c r="D6" s="13">
        <v>3754.7</v>
      </c>
      <c r="E6" s="13">
        <v>6054</v>
      </c>
      <c r="F6" s="13">
        <v>8468.2999999999993</v>
      </c>
      <c r="G6" s="13">
        <v>12985.2</v>
      </c>
      <c r="H6" s="14">
        <f>IF(C6&gt;0,(G6-C6)/C6,0)</f>
        <v>3.3284000000000002</v>
      </c>
      <c r="I6" s="15">
        <f>IF(AND(C6&gt;0,G6&gt;0),POWER(G6/C6,1/4)-1,0)</f>
        <v>0.44238715804091089</v>
      </c>
    </row>
    <row r="7" spans="1:9" ht="15" customHeight="1">
      <c r="A7" s="4">
        <v>3</v>
      </c>
      <c r="B7" s="9" t="s">
        <v>29</v>
      </c>
      <c r="C7" s="13">
        <v>3000</v>
      </c>
      <c r="D7" s="13">
        <v>4163.8</v>
      </c>
      <c r="E7" s="13">
        <v>7069.7</v>
      </c>
      <c r="F7" s="13">
        <v>8649.6</v>
      </c>
      <c r="G7" s="13">
        <v>12560</v>
      </c>
      <c r="H7" s="14">
        <f>IF(C7&gt;0,(G7-C7)/C7,0)</f>
        <v>3.1866666666666665</v>
      </c>
      <c r="I7" s="15">
        <f>IF(AND(C7&gt;0,G7&gt;0),POWER(G7/C7,1/4)-1,0)</f>
        <v>0.43043160168404215</v>
      </c>
    </row>
    <row r="8" spans="1:9" ht="15" customHeight="1">
      <c r="A8" s="4">
        <v>4</v>
      </c>
      <c r="B8" s="9" t="s">
        <v>66</v>
      </c>
      <c r="C8" s="13">
        <v>3000</v>
      </c>
      <c r="D8" s="13">
        <v>3321.3</v>
      </c>
      <c r="E8" s="13">
        <v>5531.3</v>
      </c>
      <c r="F8" s="13">
        <v>6920.4</v>
      </c>
      <c r="G8" s="13">
        <v>11823.5</v>
      </c>
      <c r="H8" s="14">
        <f>IF(C8&gt;0,(G8-C8)/C8,0)</f>
        <v>2.9411666666666667</v>
      </c>
      <c r="I8" s="15">
        <f>IF(AND(C8&gt;0,G8&gt;0),POWER(G8/C8,1/4)-1,0)</f>
        <v>0.40898445039818809</v>
      </c>
    </row>
    <row r="9" spans="1:9" ht="15" customHeight="1">
      <c r="A9" s="4">
        <v>5</v>
      </c>
      <c r="B9" s="9" t="s">
        <v>67</v>
      </c>
      <c r="C9" s="13">
        <v>3000</v>
      </c>
      <c r="D9" s="13">
        <v>3533.4</v>
      </c>
      <c r="E9" s="13">
        <v>4984.8999999999996</v>
      </c>
      <c r="F9" s="13">
        <v>5851.3</v>
      </c>
      <c r="G9" s="13">
        <v>9111.1</v>
      </c>
      <c r="H9" s="14">
        <f>IF(C9&gt;0,(G9-C9)/C9,0)</f>
        <v>2.0370333333333335</v>
      </c>
      <c r="I9" s="15">
        <f>IF(AND(C9&gt;0,G9&gt;0),POWER(G9/C9,1/4)-1,0)</f>
        <v>0.32011689624250539</v>
      </c>
    </row>
    <row r="10" spans="1:9" ht="15" customHeight="1">
      <c r="A10" s="4">
        <v>6</v>
      </c>
      <c r="B10" s="9" t="s">
        <v>20</v>
      </c>
      <c r="C10" s="13">
        <v>3000</v>
      </c>
      <c r="D10" s="13">
        <v>3302.5</v>
      </c>
      <c r="E10" s="13">
        <v>4770.5</v>
      </c>
      <c r="F10" s="13">
        <v>5068.5</v>
      </c>
      <c r="G10" s="13">
        <v>8074.7</v>
      </c>
      <c r="H10" s="14">
        <f>IF(C10&gt;0,(G10-C10)/C10,0)</f>
        <v>1.6915666666666667</v>
      </c>
      <c r="I10" s="15">
        <f>IF(AND(C10&gt;0,G10&gt;0),POWER(G10/C10,1/4)-1,0)</f>
        <v>0.28085888525183078</v>
      </c>
    </row>
    <row r="11" spans="1:9" ht="15" customHeight="1">
      <c r="A11" s="4">
        <v>7</v>
      </c>
      <c r="B11" s="9" t="s">
        <v>18</v>
      </c>
      <c r="C11" s="13">
        <v>3000</v>
      </c>
      <c r="D11" s="13">
        <v>3969</v>
      </c>
      <c r="E11" s="13">
        <v>6342.9</v>
      </c>
      <c r="F11" s="13">
        <v>8680.5</v>
      </c>
      <c r="G11" s="13">
        <v>13786.4</v>
      </c>
      <c r="H11" s="14">
        <f>IF(C11&gt;0,(G11-C11)/C11,0)</f>
        <v>3.5954666666666664</v>
      </c>
      <c r="I11" s="15">
        <f>IF(AND(C11&gt;0,G11&gt;0),POWER(G11/C11,1/4)-1,0)</f>
        <v>0.46413932385586087</v>
      </c>
    </row>
    <row r="12" spans="1:9" ht="15" customHeight="1">
      <c r="A12" s="4">
        <v>8</v>
      </c>
      <c r="B12" s="9" t="s">
        <v>68</v>
      </c>
      <c r="C12" s="13">
        <v>3000</v>
      </c>
      <c r="D12" s="13">
        <v>4199.3999999999996</v>
      </c>
      <c r="E12" s="13">
        <v>6680.5</v>
      </c>
      <c r="F12" s="13">
        <v>7864.1</v>
      </c>
      <c r="G12" s="13">
        <v>9970.7999999999993</v>
      </c>
      <c r="H12" s="14">
        <f>IF(C12&gt;0,(G12-C12)/C12,0)</f>
        <v>2.3235999999999999</v>
      </c>
      <c r="I12" s="15">
        <f>IF(AND(C12&gt;0,G12&gt;0),POWER(G12/C12,1/4)-1,0)</f>
        <v>0.35021269676874067</v>
      </c>
    </row>
    <row r="13" spans="1:9" ht="15" customHeight="1">
      <c r="A13" s="4">
        <v>9</v>
      </c>
      <c r="B13" s="9" t="s">
        <v>69</v>
      </c>
      <c r="C13" s="13">
        <v>3000</v>
      </c>
      <c r="D13" s="13">
        <v>4200.7</v>
      </c>
      <c r="E13" s="13">
        <v>6721.9</v>
      </c>
      <c r="F13" s="13">
        <v>7914.5</v>
      </c>
      <c r="G13" s="13">
        <v>10036.200000000001</v>
      </c>
      <c r="H13" s="14">
        <f>IF(C13&gt;0,(G13-C13)/C13,0)</f>
        <v>2.3454000000000002</v>
      </c>
      <c r="I13" s="15">
        <f>IF(AND(C13&gt;0,G13&gt;0),POWER(G13/C13,1/4)-1,0)</f>
        <v>0.35242133444374102</v>
      </c>
    </row>
    <row r="14" spans="1:9" ht="15" customHeight="1">
      <c r="A14" s="4">
        <v>10</v>
      </c>
      <c r="B14" s="9" t="s">
        <v>26</v>
      </c>
      <c r="C14" s="13">
        <v>3000</v>
      </c>
      <c r="D14" s="13">
        <v>4449.3999999999996</v>
      </c>
      <c r="E14" s="13">
        <v>6894.8</v>
      </c>
      <c r="F14" s="13">
        <v>8508.2000000000007</v>
      </c>
      <c r="G14" s="13">
        <v>12767.3</v>
      </c>
      <c r="H14" s="14">
        <f>IF(C14&gt;0,(G14-C14)/C14,0)</f>
        <v>3.2557666666666663</v>
      </c>
      <c r="I14" s="15">
        <f>IF(AND(C14&gt;0,G14&gt;0),POWER(G14/C14,1/4)-1,0)</f>
        <v>0.4362976574513544</v>
      </c>
    </row>
    <row r="15" spans="1:9" ht="15" customHeight="1">
      <c r="A15" s="4">
        <v>11</v>
      </c>
      <c r="B15" s="9" t="s">
        <v>70</v>
      </c>
      <c r="C15" s="13">
        <v>3000</v>
      </c>
      <c r="D15" s="13">
        <v>3438</v>
      </c>
      <c r="E15" s="13">
        <v>5249.8</v>
      </c>
      <c r="F15" s="13">
        <v>6352.6</v>
      </c>
      <c r="G15" s="13">
        <v>9633.5</v>
      </c>
      <c r="H15" s="14">
        <f>IF(C15&gt;0,(G15-C15)/C15,0)</f>
        <v>2.2111666666666667</v>
      </c>
      <c r="I15" s="15">
        <f>IF(AND(C15&gt;0,G15&gt;0),POWER(G15/C15,1/4)-1,0)</f>
        <v>0.33864589868124351</v>
      </c>
    </row>
    <row r="16" spans="1:9" ht="15" customHeight="1">
      <c r="A16" s="4">
        <v>12</v>
      </c>
      <c r="B16" s="9" t="s">
        <v>71</v>
      </c>
      <c r="C16" s="13">
        <v>3000</v>
      </c>
      <c r="D16" s="13">
        <v>3300.2</v>
      </c>
      <c r="E16" s="13">
        <v>5185.6000000000004</v>
      </c>
      <c r="F16" s="13">
        <v>5458.6</v>
      </c>
      <c r="G16" s="13">
        <v>8687.7000000000007</v>
      </c>
      <c r="H16" s="14">
        <f>IF(C16&gt;0,(G16-C16)/C16,0)</f>
        <v>1.8959000000000001</v>
      </c>
      <c r="I16" s="15">
        <f>IF(AND(C16&gt;0,G16&gt;0),POWER(G16/C16,1/4)-1,0)</f>
        <v>0.30450542711023254</v>
      </c>
    </row>
    <row r="17" spans="1:9" ht="15" customHeight="1">
      <c r="A17" s="4">
        <v>13</v>
      </c>
      <c r="B17" s="9" t="s">
        <v>72</v>
      </c>
      <c r="C17" s="13">
        <v>3000</v>
      </c>
      <c r="D17" s="13">
        <v>3142.2</v>
      </c>
      <c r="E17" s="13">
        <v>4346.3</v>
      </c>
      <c r="F17" s="13">
        <v>6509.9</v>
      </c>
      <c r="G17" s="13">
        <v>8478.7999999999993</v>
      </c>
      <c r="H17" s="14">
        <f>IF(C17&gt;0,(G17-C17)/C17,0)</f>
        <v>1.8262666666666665</v>
      </c>
      <c r="I17" s="15">
        <f>IF(AND(C17&gt;0,G17&gt;0),POWER(G17/C17,1/4)-1,0)</f>
        <v>0.29659184008534445</v>
      </c>
    </row>
    <row r="18" spans="1:9" ht="15" customHeight="1">
      <c r="A18" s="4">
        <v>14</v>
      </c>
      <c r="B18" s="9" t="s">
        <v>73</v>
      </c>
      <c r="C18" s="13">
        <v>3000</v>
      </c>
      <c r="D18" s="13">
        <v>3816</v>
      </c>
      <c r="E18" s="13">
        <v>5362.6</v>
      </c>
      <c r="F18" s="13">
        <v>7239.7</v>
      </c>
      <c r="G18" s="13">
        <v>11530.8</v>
      </c>
      <c r="H18" s="14">
        <f>IF(C18&gt;0,(G18-C18)/C18,0)</f>
        <v>2.8435999999999999</v>
      </c>
      <c r="I18" s="15">
        <f>IF(AND(C18&gt;0,G18&gt;0),POWER(G18/C18,1/4)-1,0)</f>
        <v>0.40018218018005025</v>
      </c>
    </row>
    <row r="19" spans="1:9" ht="15" customHeight="1">
      <c r="A19" s="4">
        <v>15</v>
      </c>
      <c r="B19" s="9" t="s">
        <v>74</v>
      </c>
      <c r="C19" s="13">
        <v>3000</v>
      </c>
      <c r="D19" s="13">
        <v>3492</v>
      </c>
      <c r="E19" s="13">
        <v>5044.2</v>
      </c>
      <c r="F19" s="13">
        <v>5931.9</v>
      </c>
      <c r="G19" s="13">
        <v>7027.2</v>
      </c>
      <c r="H19" s="14">
        <f>IF(C19&gt;0,(G19-C19)/C19,0)</f>
        <v>1.3424</v>
      </c>
      <c r="I19" s="15">
        <f>IF(AND(C19&gt;0,G19&gt;0),POWER(G19/C19,1/4)-1,0)</f>
        <v>0.23712979010963897</v>
      </c>
    </row>
    <row r="20" spans="1:9" ht="15" customHeight="1">
      <c r="A20" s="4">
        <v>16</v>
      </c>
      <c r="B20" s="9" t="s">
        <v>75</v>
      </c>
      <c r="C20" s="13">
        <v>3000</v>
      </c>
      <c r="D20" s="13">
        <v>4155.1000000000004</v>
      </c>
      <c r="E20" s="13">
        <v>6652.7</v>
      </c>
      <c r="F20" s="13">
        <v>8633.5</v>
      </c>
      <c r="G20" s="13">
        <v>9720.4</v>
      </c>
      <c r="H20" s="14">
        <f>IF(C20&gt;0,(G20-C20)/C20,0)</f>
        <v>2.2401333333333331</v>
      </c>
      <c r="I20" s="15">
        <f>IF(AND(C20&gt;0,G20&gt;0),POWER(G20/C20,1/4)-1,0)</f>
        <v>0.3416545891756213</v>
      </c>
    </row>
    <row r="21" spans="1:9" ht="15" customHeight="1">
      <c r="A21" s="4">
        <v>17</v>
      </c>
      <c r="B21" s="9" t="s">
        <v>76</v>
      </c>
      <c r="C21" s="13">
        <v>3000</v>
      </c>
      <c r="D21" s="13">
        <v>4137.3</v>
      </c>
      <c r="E21" s="13">
        <v>5626.7</v>
      </c>
      <c r="F21" s="13">
        <v>6606.2</v>
      </c>
      <c r="G21" s="13">
        <v>7699.9</v>
      </c>
      <c r="H21" s="14">
        <f>IF(C21&gt;0,(G21-C21)/C21,0)</f>
        <v>1.5666333333333333</v>
      </c>
      <c r="I21" s="15">
        <f>IF(AND(C21&gt;0,G21&gt;0),POWER(G21/C21,1/4)-1,0)</f>
        <v>0.2657296613401352</v>
      </c>
    </row>
    <row r="22" spans="1:9" ht="15" customHeight="1">
      <c r="A22" s="4">
        <v>18</v>
      </c>
      <c r="B22" s="9" t="s">
        <v>77</v>
      </c>
      <c r="C22" s="13">
        <v>3000</v>
      </c>
      <c r="D22" s="13">
        <v>3981.1</v>
      </c>
      <c r="E22" s="13">
        <v>5796.5</v>
      </c>
      <c r="F22" s="13">
        <v>6462.7</v>
      </c>
      <c r="G22" s="13">
        <v>8983.2000000000007</v>
      </c>
      <c r="H22" s="14">
        <f>IF(C22&gt;0,(G22-C22)/C22,0)</f>
        <v>1.9944000000000002</v>
      </c>
      <c r="I22" s="15">
        <f>IF(AND(C22&gt;0,G22&gt;0),POWER(G22/C22,1/4)-1,0)</f>
        <v>0.31545941469353633</v>
      </c>
    </row>
    <row r="23" spans="1:9" ht="15" customHeight="1">
      <c r="A23" s="4">
        <v>19</v>
      </c>
      <c r="B23" s="9" t="s">
        <v>78</v>
      </c>
      <c r="C23" s="13">
        <v>3000</v>
      </c>
      <c r="D23" s="13">
        <v>3732.4</v>
      </c>
      <c r="E23" s="13">
        <v>6569</v>
      </c>
      <c r="F23" s="13">
        <v>6899.6</v>
      </c>
      <c r="G23" s="13">
        <v>8188.7</v>
      </c>
      <c r="H23" s="14">
        <f>IF(C23&gt;0,(G23-C23)/C23,0)</f>
        <v>1.7295666666666667</v>
      </c>
      <c r="I23" s="15">
        <f>IF(AND(C23&gt;0,G23&gt;0),POWER(G23/C23,1/4)-1,0)</f>
        <v>0.28535599206977036</v>
      </c>
    </row>
    <row r="24" spans="1:9" ht="15" customHeight="1">
      <c r="A24" s="4">
        <v>20</v>
      </c>
      <c r="B24" s="9" t="s">
        <v>79</v>
      </c>
      <c r="C24" s="13">
        <v>3000</v>
      </c>
      <c r="D24" s="13">
        <v>4028.5</v>
      </c>
      <c r="E24" s="13">
        <v>4209.8</v>
      </c>
      <c r="F24" s="13">
        <v>4861.2</v>
      </c>
      <c r="G24" s="13">
        <v>6840</v>
      </c>
      <c r="H24" s="14">
        <f>IF(C24&gt;0,(G24-C24)/C24,0)</f>
        <v>1.28</v>
      </c>
      <c r="I24" s="15">
        <f>IF(AND(C24&gt;0,G24&gt;0),POWER(G24/C24,1/4)-1,0)</f>
        <v>0.22880709920400033</v>
      </c>
    </row>
    <row r="25" spans="1:9" ht="15" customHeight="1">
      <c r="A25" s="4">
        <v>21</v>
      </c>
      <c r="B25" s="9" t="s">
        <v>80</v>
      </c>
      <c r="C25" s="13">
        <v>3000</v>
      </c>
      <c r="D25" s="13">
        <v>3801.1</v>
      </c>
      <c r="E25" s="13">
        <v>6004.2</v>
      </c>
      <c r="F25" s="13">
        <v>9027.2000000000007</v>
      </c>
      <c r="G25" s="13">
        <v>12323.5</v>
      </c>
      <c r="H25" s="14">
        <f>IF(C25&gt;0,(G25-C25)/C25,0)</f>
        <v>3.1078333333333332</v>
      </c>
      <c r="I25" s="15">
        <f>IF(AND(C25&gt;0,G25&gt;0),POWER(G25/C25,1/4)-1,0)</f>
        <v>0.4236499056654941</v>
      </c>
    </row>
    <row r="26" spans="1:9" ht="15" customHeight="1">
      <c r="A26" s="4">
        <v>22</v>
      </c>
      <c r="B26" s="9" t="s">
        <v>81</v>
      </c>
      <c r="C26" s="13">
        <v>3000</v>
      </c>
      <c r="D26" s="13">
        <v>3641.8</v>
      </c>
      <c r="E26" s="13">
        <v>5409.2</v>
      </c>
      <c r="F26" s="13">
        <v>6533.2</v>
      </c>
      <c r="G26" s="13">
        <v>9303.2999999999993</v>
      </c>
      <c r="H26" s="14">
        <f>IF(C26&gt;0,(G26-C26)/C26,0)</f>
        <v>2.1010999999999997</v>
      </c>
      <c r="I26" s="15">
        <f>IF(AND(C26&gt;0,G26&gt;0),POWER(G26/C26,1/4)-1,0)</f>
        <v>0.32702450522535975</v>
      </c>
    </row>
    <row r="27" spans="1:9" ht="15" customHeight="1">
      <c r="A27" s="4">
        <v>23</v>
      </c>
      <c r="B27" s="9" t="s">
        <v>82</v>
      </c>
      <c r="C27" s="13">
        <v>3000</v>
      </c>
      <c r="D27" s="13">
        <v>4387.8999999999996</v>
      </c>
      <c r="E27" s="13">
        <v>6366.8</v>
      </c>
      <c r="F27" s="13">
        <v>7595.9</v>
      </c>
      <c r="G27" s="13">
        <v>11544.1</v>
      </c>
      <c r="H27" s="14">
        <f>IF(C27&gt;0,(G27-C27)/C27,0)</f>
        <v>2.8480333333333334</v>
      </c>
      <c r="I27" s="15">
        <f>IF(AND(C27&gt;0,G27&gt;0),POWER(G27/C27,1/4)-1,0)</f>
        <v>0.40058575958306064</v>
      </c>
    </row>
    <row r="28" spans="1:9" ht="15" customHeight="1">
      <c r="A28" s="4">
        <v>24</v>
      </c>
      <c r="B28" s="9" t="s">
        <v>83</v>
      </c>
      <c r="C28" s="13">
        <v>3000</v>
      </c>
      <c r="D28" s="13">
        <v>3321.3</v>
      </c>
      <c r="E28" s="13">
        <v>5430.7</v>
      </c>
      <c r="F28" s="13">
        <v>7350.1</v>
      </c>
      <c r="G28" s="13">
        <v>10668.2</v>
      </c>
      <c r="H28" s="14">
        <f>IF(C28&gt;0,(G28-C28)/C28,0)</f>
        <v>2.5560666666666667</v>
      </c>
      <c r="I28" s="15">
        <f>IF(AND(C28&gt;0,G28&gt;0),POWER(G28/C28,1/4)-1,0)</f>
        <v>0.37322744186592693</v>
      </c>
    </row>
    <row r="29" spans="1:9" ht="15" customHeight="1">
      <c r="A29" s="4">
        <v>25</v>
      </c>
      <c r="B29" s="9" t="s">
        <v>84</v>
      </c>
      <c r="C29" s="13">
        <v>3000</v>
      </c>
      <c r="D29" s="13">
        <v>3304.8</v>
      </c>
      <c r="E29" s="13">
        <v>4794.6000000000004</v>
      </c>
      <c r="F29" s="13">
        <v>6091.9</v>
      </c>
      <c r="G29" s="13">
        <v>9700.4</v>
      </c>
      <c r="H29" s="14">
        <f>IF(C29&gt;0,(G29-C29)/C29,0)</f>
        <v>2.2334666666666667</v>
      </c>
      <c r="I29" s="15">
        <f>IF(AND(C29&gt;0,G29&gt;0),POWER(G29/C29,1/4)-1,0)</f>
        <v>0.34096393291759886</v>
      </c>
    </row>
    <row r="30" spans="1:9" ht="15" customHeight="1">
      <c r="A30" s="4">
        <v>26</v>
      </c>
      <c r="B30" s="9" t="s">
        <v>85</v>
      </c>
      <c r="C30" s="13">
        <v>3000</v>
      </c>
      <c r="D30" s="13">
        <v>3810.6</v>
      </c>
      <c r="E30" s="13">
        <v>6470.4</v>
      </c>
      <c r="F30" s="13">
        <v>7065.7</v>
      </c>
      <c r="G30" s="13">
        <v>11247.5</v>
      </c>
      <c r="H30" s="14">
        <f>IF(C30&gt;0,(G30-C30)/C30,0)</f>
        <v>2.7491666666666665</v>
      </c>
      <c r="I30" s="15">
        <f>IF(AND(C30&gt;0,G30&gt;0),POWER(G30/C30,1/4)-1,0)</f>
        <v>0.39150152547788175</v>
      </c>
    </row>
    <row r="31" spans="1:9" ht="15" customHeight="1">
      <c r="A31" s="4">
        <v>27</v>
      </c>
      <c r="B31" s="9" t="s">
        <v>86</v>
      </c>
      <c r="C31" s="13">
        <v>3000</v>
      </c>
      <c r="D31" s="13">
        <v>3810.6</v>
      </c>
      <c r="E31" s="13">
        <v>6345.8</v>
      </c>
      <c r="F31" s="13">
        <v>8248.2999999999993</v>
      </c>
      <c r="G31" s="13">
        <v>12300.2</v>
      </c>
      <c r="H31" s="14">
        <f>IF(C31&gt;0,(G31-C31)/C31,0)</f>
        <v>3.1000666666666667</v>
      </c>
      <c r="I31" s="15">
        <f>IF(AND(C31&gt;0,G31&gt;0),POWER(G31/C31,1/4)-1,0)</f>
        <v>0.42297650550691945</v>
      </c>
    </row>
    <row r="32" spans="1:9" ht="15" customHeight="1">
      <c r="A32" s="4">
        <v>28</v>
      </c>
      <c r="B32" s="9" t="s">
        <v>87</v>
      </c>
      <c r="C32" s="13">
        <v>3000</v>
      </c>
      <c r="D32" s="13">
        <v>3810.6</v>
      </c>
      <c r="E32" s="13">
        <v>5548.2</v>
      </c>
      <c r="F32" s="13">
        <v>7042.6</v>
      </c>
      <c r="G32" s="13">
        <v>10369.5</v>
      </c>
      <c r="H32" s="14">
        <f>IF(C32&gt;0,(G32-C32)/C32,0)</f>
        <v>2.4565000000000001</v>
      </c>
      <c r="I32" s="15">
        <f>IF(AND(C32&gt;0,G32&gt;0),POWER(G32/C32,1/4)-1,0)</f>
        <v>0.36351255216238054</v>
      </c>
    </row>
    <row r="33" spans="1:9" ht="15" customHeight="1">
      <c r="A33" s="4">
        <v>31</v>
      </c>
      <c r="B33" s="9" t="s">
        <v>88</v>
      </c>
      <c r="C33" s="13">
        <v>3000</v>
      </c>
      <c r="D33" s="13">
        <v>3288</v>
      </c>
      <c r="E33" s="13">
        <v>5280.5</v>
      </c>
      <c r="F33" s="13">
        <v>5906.4</v>
      </c>
      <c r="G33" s="13">
        <v>9273.9</v>
      </c>
      <c r="H33" s="14">
        <f>IF(C33&gt;0,(G33-C33)/C33,0)</f>
        <v>2.0912999999999999</v>
      </c>
      <c r="I33" s="15">
        <f>IF(AND(C33&gt;0,G33&gt;0),POWER(G33/C33,1/4)-1,0)</f>
        <v>0.32597485508646828</v>
      </c>
    </row>
    <row r="34" spans="1:9" ht="15" customHeight="1">
      <c r="A34" s="4">
        <v>32</v>
      </c>
      <c r="B34" s="9" t="s">
        <v>89</v>
      </c>
      <c r="C34" s="13">
        <v>3000</v>
      </c>
      <c r="D34" s="13">
        <v>3212.3</v>
      </c>
      <c r="E34" s="13">
        <v>3213.6</v>
      </c>
      <c r="F34" s="13">
        <v>3513.6</v>
      </c>
      <c r="G34" s="13">
        <v>5588.9</v>
      </c>
      <c r="H34" s="14">
        <f>IF(C34&gt;0,(G34-C34)/C34,0)</f>
        <v>0.86296666666666655</v>
      </c>
      <c r="I34" s="15">
        <f>IF(AND(C34&gt;0,G34&gt;0),POWER(G34/C34,1/4)-1,0)</f>
        <v>0.16829164557705867</v>
      </c>
    </row>
    <row r="35" spans="1:9" ht="15" customHeight="1">
      <c r="A35" s="4">
        <v>33</v>
      </c>
      <c r="B35" s="9" t="s">
        <v>90</v>
      </c>
      <c r="C35" s="13">
        <v>3000</v>
      </c>
      <c r="D35" s="13">
        <v>3159</v>
      </c>
      <c r="E35" s="13">
        <v>5528.3</v>
      </c>
      <c r="F35" s="13">
        <v>6042.4</v>
      </c>
      <c r="G35" s="13">
        <v>9611.2999999999993</v>
      </c>
      <c r="H35" s="14">
        <f>IF(C35&gt;0,(G35-C35)/C35,0)</f>
        <v>2.2037666666666662</v>
      </c>
      <c r="I35" s="15">
        <f>IF(AND(C35&gt;0,G35&gt;0),POWER(G35/C35,1/4)-1,0)</f>
        <v>0.33787401787634486</v>
      </c>
    </row>
    <row r="36" spans="1:9" ht="15" customHeight="1">
      <c r="A36" s="4">
        <v>34</v>
      </c>
      <c r="B36" s="9" t="s">
        <v>91</v>
      </c>
      <c r="C36" s="13">
        <v>3000</v>
      </c>
      <c r="D36" s="13">
        <v>4374</v>
      </c>
      <c r="E36" s="13">
        <v>5758.2</v>
      </c>
      <c r="F36" s="13">
        <v>7820.8</v>
      </c>
      <c r="G36" s="13">
        <v>10745.8</v>
      </c>
      <c r="H36" s="14">
        <f>IF(C36&gt;0,(G36-C36)/C36,0)</f>
        <v>2.5819333333333332</v>
      </c>
      <c r="I36" s="15">
        <f>IF(AND(C36&gt;0,G36&gt;0),POWER(G36/C36,1/4)-1,0)</f>
        <v>0.3757178573724389</v>
      </c>
    </row>
  </sheetData>
  <mergeCells count="2">
    <mergeCell ref="A1:I1"/>
    <mergeCell ref="A2:I2"/>
  </mergeCells>
  <conditionalFormatting sqref="I5:I3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228B22"/>
  </sheetPr>
  <dimension ref="A1:H37"/>
  <sheetViews>
    <sheetView zoomScaleNormal="100" workbookViewId="0"/>
  </sheetViews>
  <sheetFormatPr defaultColWidth="8.7109375" defaultRowHeight="15"/>
  <cols>
    <col min="1" max="1" width="14" style="1" customWidth="1"/>
    <col min="2" max="2" width="22" style="1" customWidth="1"/>
    <col min="3" max="8" width="14" style="1" customWidth="1"/>
  </cols>
  <sheetData>
    <row r="1" spans="1:8" ht="39.75" customHeight="1">
      <c r="A1" s="31" t="s">
        <v>144</v>
      </c>
      <c r="B1" s="26"/>
      <c r="C1" s="26"/>
      <c r="D1" s="26"/>
      <c r="E1" s="26"/>
      <c r="F1" s="26"/>
      <c r="G1" s="26"/>
      <c r="H1" s="26"/>
    </row>
    <row r="2" spans="1:8" ht="17.850000000000001" customHeight="1">
      <c r="A2" s="32" t="s">
        <v>145</v>
      </c>
      <c r="B2" s="26"/>
      <c r="C2" s="26"/>
      <c r="D2" s="26"/>
      <c r="E2" s="26"/>
      <c r="F2" s="26"/>
      <c r="G2" s="26"/>
      <c r="H2" s="26"/>
    </row>
    <row r="4" spans="1:8" ht="15" customHeight="1">
      <c r="A4" s="33" t="s">
        <v>146</v>
      </c>
      <c r="B4" s="26"/>
      <c r="C4" s="26"/>
      <c r="D4" s="26"/>
      <c r="E4" s="26"/>
      <c r="F4" s="26"/>
      <c r="G4" s="26"/>
      <c r="H4" s="26"/>
    </row>
    <row r="5" spans="1:8" ht="15" customHeight="1">
      <c r="A5" s="16" t="s">
        <v>135</v>
      </c>
      <c r="B5" s="16" t="s">
        <v>147</v>
      </c>
      <c r="C5" s="16" t="s">
        <v>148</v>
      </c>
      <c r="D5" s="16" t="s">
        <v>149</v>
      </c>
      <c r="E5" s="16" t="s">
        <v>17</v>
      </c>
      <c r="F5" s="16" t="s">
        <v>143</v>
      </c>
      <c r="G5" s="16" t="s">
        <v>150</v>
      </c>
      <c r="H5" s="16" t="s">
        <v>151</v>
      </c>
    </row>
    <row r="6" spans="1:8" ht="15" customHeight="1">
      <c r="A6" s="4">
        <v>1</v>
      </c>
      <c r="B6" s="9" t="s">
        <v>65</v>
      </c>
      <c r="C6" s="13">
        <v>3000</v>
      </c>
      <c r="D6" s="13">
        <v>9768.7999999999993</v>
      </c>
      <c r="E6" s="11">
        <v>2.2559999999999998</v>
      </c>
      <c r="F6" s="17">
        <f>IF(E6&gt;0,POWER(1+E6,1/4)-1,0)</f>
        <v>0.34329407464724326</v>
      </c>
      <c r="G6" s="13">
        <f>STDEV('Trend Analysis'!C5:W5)</f>
        <v>2013.7664243572135</v>
      </c>
      <c r="H6" s="18" t="s">
        <v>152</v>
      </c>
    </row>
    <row r="7" spans="1:8" ht="15" customHeight="1">
      <c r="A7" s="4">
        <v>2</v>
      </c>
      <c r="B7" s="9" t="s">
        <v>22</v>
      </c>
      <c r="C7" s="13">
        <v>3000</v>
      </c>
      <c r="D7" s="13">
        <v>12985.2</v>
      </c>
      <c r="E7" s="11">
        <v>3.3279999999999998</v>
      </c>
      <c r="F7" s="17">
        <f>IF(E7&gt;0,POWER(1+E7,1/4)-1,0)</f>
        <v>0.44235383309066534</v>
      </c>
      <c r="G7" s="13">
        <f>STDEV('Trend Analysis'!C6:W6)</f>
        <v>3506.2544329683906</v>
      </c>
      <c r="H7" s="19" t="s">
        <v>153</v>
      </c>
    </row>
    <row r="8" spans="1:8" ht="15" customHeight="1">
      <c r="A8" s="4">
        <v>3</v>
      </c>
      <c r="B8" s="9" t="s">
        <v>29</v>
      </c>
      <c r="C8" s="13">
        <v>3000</v>
      </c>
      <c r="D8" s="13">
        <v>12560</v>
      </c>
      <c r="E8" s="11">
        <v>3.1869999999999998</v>
      </c>
      <c r="F8" s="17">
        <f>IF(E8&gt;0,POWER(1+E8,1/4)-1,0)</f>
        <v>0.43046007280059695</v>
      </c>
      <c r="G8" s="13">
        <f>STDEV('Trend Analysis'!C7:W7)</f>
        <v>3059.0116410843316</v>
      </c>
      <c r="H8" s="19" t="s">
        <v>153</v>
      </c>
    </row>
    <row r="9" spans="1:8" ht="15" customHeight="1">
      <c r="A9" s="4">
        <v>4</v>
      </c>
      <c r="B9" s="9" t="s">
        <v>66</v>
      </c>
      <c r="C9" s="13">
        <v>3000</v>
      </c>
      <c r="D9" s="13">
        <v>11823.5</v>
      </c>
      <c r="E9" s="11">
        <v>2.9409999999999998</v>
      </c>
      <c r="F9" s="17">
        <f>IF(E9&gt;0,POWER(1+E9,1/4)-1,0)</f>
        <v>0.40896955414501668</v>
      </c>
      <c r="G9" s="13">
        <f>STDEV('Trend Analysis'!C8:W8)</f>
        <v>2837.3290167589143</v>
      </c>
      <c r="H9" s="19" t="s">
        <v>153</v>
      </c>
    </row>
    <row r="10" spans="1:8" ht="15" customHeight="1">
      <c r="A10" s="4">
        <v>5</v>
      </c>
      <c r="B10" s="9" t="s">
        <v>67</v>
      </c>
      <c r="C10" s="13">
        <v>3000</v>
      </c>
      <c r="D10" s="13">
        <v>9111.1</v>
      </c>
      <c r="E10" s="11">
        <v>2.0369999999999999</v>
      </c>
      <c r="F10" s="17">
        <f>IF(E10&gt;0,POWER(1+E10,1/4)-1,0)</f>
        <v>0.32011327395120759</v>
      </c>
      <c r="G10" s="13">
        <f>STDEV('Trend Analysis'!C9:W9)</f>
        <v>2016.7181613687928</v>
      </c>
      <c r="H10" s="18" t="s">
        <v>152</v>
      </c>
    </row>
    <row r="11" spans="1:8" ht="15" customHeight="1">
      <c r="A11" s="4">
        <v>6</v>
      </c>
      <c r="B11" s="9" t="s">
        <v>20</v>
      </c>
      <c r="C11" s="13">
        <v>3000</v>
      </c>
      <c r="D11" s="13">
        <v>8074.7</v>
      </c>
      <c r="E11" s="11">
        <v>1.6919999999999999</v>
      </c>
      <c r="F11" s="17">
        <f>IF(E11&gt;0,POWER(1+E11,1/4)-1,0)</f>
        <v>0.28091043565094531</v>
      </c>
      <c r="G11" s="13">
        <f>STDEV('Trend Analysis'!C10:W10)</f>
        <v>1535.2530346904753</v>
      </c>
      <c r="H11" s="20" t="s">
        <v>154</v>
      </c>
    </row>
    <row r="12" spans="1:8" ht="15" customHeight="1">
      <c r="A12" s="4">
        <v>7</v>
      </c>
      <c r="B12" s="9" t="s">
        <v>18</v>
      </c>
      <c r="C12" s="13">
        <v>3000</v>
      </c>
      <c r="D12" s="13">
        <v>13786.4</v>
      </c>
      <c r="E12" s="11">
        <v>3.5950000000000002</v>
      </c>
      <c r="F12" s="17">
        <f>IF(E12&gt;0,POWER(1+E12,1/4)-1,0)</f>
        <v>0.46410215184002857</v>
      </c>
      <c r="G12" s="13">
        <f>STDEV('Trend Analysis'!C11:W11)</f>
        <v>3361.996998695397</v>
      </c>
      <c r="H12" s="19" t="s">
        <v>153</v>
      </c>
    </row>
    <row r="13" spans="1:8" ht="15" customHeight="1">
      <c r="A13" s="4">
        <v>8</v>
      </c>
      <c r="B13" s="9" t="s">
        <v>68</v>
      </c>
      <c r="C13" s="13">
        <v>3000</v>
      </c>
      <c r="D13" s="13">
        <v>9970.7999999999993</v>
      </c>
      <c r="E13" s="11">
        <v>2.3239999999999998</v>
      </c>
      <c r="F13" s="17">
        <f>IF(E13&gt;0,POWER(1+E13,1/4)-1,0)</f>
        <v>0.3502533199413107</v>
      </c>
      <c r="G13" s="13">
        <f>STDEV('Trend Analysis'!C12:W12)</f>
        <v>2255.8690185940823</v>
      </c>
      <c r="H13" s="18" t="s">
        <v>152</v>
      </c>
    </row>
    <row r="14" spans="1:8" ht="15" customHeight="1">
      <c r="A14" s="4">
        <v>9</v>
      </c>
      <c r="B14" s="9" t="s">
        <v>69</v>
      </c>
      <c r="C14" s="13">
        <v>3000</v>
      </c>
      <c r="D14" s="13">
        <v>10036.200000000001</v>
      </c>
      <c r="E14" s="11">
        <v>2.3450000000000002</v>
      </c>
      <c r="F14" s="17">
        <f>IF(E14&gt;0,POWER(1+E14,1/4)-1,0)</f>
        <v>0.35238090633415409</v>
      </c>
      <c r="G14" s="13">
        <f>STDEV('Trend Analysis'!C13:W13)</f>
        <v>2249.2841652576776</v>
      </c>
      <c r="H14" s="18" t="s">
        <v>152</v>
      </c>
    </row>
    <row r="15" spans="1:8" ht="15" customHeight="1">
      <c r="A15" s="4">
        <v>10</v>
      </c>
      <c r="B15" s="9" t="s">
        <v>26</v>
      </c>
      <c r="C15" s="13">
        <v>3000</v>
      </c>
      <c r="D15" s="13">
        <v>12767.3</v>
      </c>
      <c r="E15" s="11">
        <v>3.2559999999999998</v>
      </c>
      <c r="F15" s="17">
        <f>IF(E15&gt;0,POWER(1+E15,1/4)-1,0)</f>
        <v>0.43631734422321178</v>
      </c>
      <c r="G15" s="13">
        <f>STDEV('Trend Analysis'!C14:W14)</f>
        <v>3049.4849410834499</v>
      </c>
      <c r="H15" s="19" t="s">
        <v>153</v>
      </c>
    </row>
    <row r="16" spans="1:8" ht="15" customHeight="1">
      <c r="A16" s="4">
        <v>11</v>
      </c>
      <c r="B16" s="9" t="s">
        <v>70</v>
      </c>
      <c r="C16" s="13">
        <v>3000</v>
      </c>
      <c r="D16" s="13">
        <v>9633.5</v>
      </c>
      <c r="E16" s="11">
        <v>2.2109999999999999</v>
      </c>
      <c r="F16" s="17">
        <f>IF(E16&gt;0,POWER(1+E16,1/4)-1,0)</f>
        <v>0.33862852867094118</v>
      </c>
      <c r="G16" s="13">
        <f>STDEV('Trend Analysis'!C15:W15)</f>
        <v>2253.1869830309233</v>
      </c>
      <c r="H16" s="18" t="s">
        <v>152</v>
      </c>
    </row>
    <row r="17" spans="1:8" ht="15" customHeight="1">
      <c r="A17" s="4">
        <v>12</v>
      </c>
      <c r="B17" s="9" t="s">
        <v>71</v>
      </c>
      <c r="C17" s="13">
        <v>3000</v>
      </c>
      <c r="D17" s="13">
        <v>8687.7000000000007</v>
      </c>
      <c r="E17" s="11">
        <v>1.8959999999999999</v>
      </c>
      <c r="F17" s="17">
        <f>IF(E17&gt;0,POWER(1+E17,1/4)-1,0)</f>
        <v>0.3045166886224997</v>
      </c>
      <c r="G17" s="13">
        <f>STDEV('Trend Analysis'!C16:W16)</f>
        <v>1724.4745729992806</v>
      </c>
      <c r="H17" s="18" t="s">
        <v>152</v>
      </c>
    </row>
    <row r="18" spans="1:8" ht="15" customHeight="1">
      <c r="A18" s="4">
        <v>13</v>
      </c>
      <c r="B18" s="9" t="s">
        <v>72</v>
      </c>
      <c r="C18" s="13">
        <v>3000</v>
      </c>
      <c r="D18" s="13">
        <v>8478.7999999999993</v>
      </c>
      <c r="E18" s="11">
        <v>1.8260000000000001</v>
      </c>
      <c r="F18" s="17">
        <f>IF(E18&gt;0,POWER(1+E18,1/4)-1,0)</f>
        <v>0.29656125467894023</v>
      </c>
      <c r="G18" s="13">
        <f>STDEV('Trend Analysis'!C17:W17)</f>
        <v>2100.8541413584967</v>
      </c>
      <c r="H18" s="18" t="s">
        <v>152</v>
      </c>
    </row>
    <row r="19" spans="1:8" ht="15" customHeight="1">
      <c r="A19" s="4">
        <v>14</v>
      </c>
      <c r="B19" s="9" t="s">
        <v>73</v>
      </c>
      <c r="C19" s="13">
        <v>3000</v>
      </c>
      <c r="D19" s="13">
        <v>11530.8</v>
      </c>
      <c r="E19" s="11">
        <v>2.8439999999999999</v>
      </c>
      <c r="F19" s="17">
        <f>IF(E19&gt;0,POWER(1+E19,1/4)-1,0)</f>
        <v>0.40021860768395556</v>
      </c>
      <c r="G19" s="13">
        <f>STDEV('Trend Analysis'!C18:W18)</f>
        <v>2560.4795037103972</v>
      </c>
      <c r="H19" s="19" t="s">
        <v>153</v>
      </c>
    </row>
    <row r="20" spans="1:8" ht="15" customHeight="1">
      <c r="A20" s="4">
        <v>15</v>
      </c>
      <c r="B20" s="9" t="s">
        <v>74</v>
      </c>
      <c r="C20" s="13">
        <v>3000</v>
      </c>
      <c r="D20" s="13">
        <v>7027.2</v>
      </c>
      <c r="E20" s="11">
        <v>1.3420000000000001</v>
      </c>
      <c r="F20" s="17">
        <f>IF(E20&gt;0,POWER(1+E20,1/4)-1,0)</f>
        <v>0.23707697210161549</v>
      </c>
      <c r="G20" s="13">
        <f>STDEV('Trend Analysis'!C19:W19)</f>
        <v>1191.4508721015668</v>
      </c>
      <c r="H20" s="20" t="s">
        <v>154</v>
      </c>
    </row>
    <row r="21" spans="1:8" ht="15" customHeight="1">
      <c r="A21" s="4">
        <v>16</v>
      </c>
      <c r="B21" s="9" t="s">
        <v>75</v>
      </c>
      <c r="C21" s="13">
        <v>3000</v>
      </c>
      <c r="D21" s="13">
        <v>9720.4</v>
      </c>
      <c r="E21" s="11">
        <v>2.2400000000000002</v>
      </c>
      <c r="F21" s="17">
        <f>IF(E21&gt;0,POWER(1+E21,1/4)-1,0)</f>
        <v>0.34164078649987384</v>
      </c>
      <c r="G21" s="13">
        <f>STDEV('Trend Analysis'!C20:W20)</f>
        <v>2329.5982755334489</v>
      </c>
      <c r="H21" s="18" t="s">
        <v>152</v>
      </c>
    </row>
    <row r="22" spans="1:8" ht="15" customHeight="1">
      <c r="A22" s="4">
        <v>17</v>
      </c>
      <c r="B22" s="9" t="s">
        <v>76</v>
      </c>
      <c r="C22" s="13">
        <v>3000</v>
      </c>
      <c r="D22" s="13">
        <v>7699.9</v>
      </c>
      <c r="E22" s="11">
        <v>1.5669999999999999</v>
      </c>
      <c r="F22" s="17">
        <f>IF(E22&gt;0,POWER(1+E22,1/4)-1,0)</f>
        <v>0.26577486413644036</v>
      </c>
      <c r="G22" s="13">
        <f>STDEV('Trend Analysis'!C21:W21)</f>
        <v>1482.6534241725344</v>
      </c>
      <c r="H22" s="20" t="s">
        <v>154</v>
      </c>
    </row>
    <row r="23" spans="1:8" ht="15" customHeight="1">
      <c r="A23" s="4">
        <v>18</v>
      </c>
      <c r="B23" s="9" t="s">
        <v>77</v>
      </c>
      <c r="C23" s="13">
        <v>3000</v>
      </c>
      <c r="D23" s="13">
        <v>8983.2000000000007</v>
      </c>
      <c r="E23" s="11">
        <v>1.994</v>
      </c>
      <c r="F23" s="17">
        <f>IF(E23&gt;0,POWER(1+E23,1/4)-1,0)</f>
        <v>0.31541548184168611</v>
      </c>
      <c r="G23" s="13">
        <f>STDEV('Trend Analysis'!C22:W22)</f>
        <v>1758.0598927286437</v>
      </c>
      <c r="H23" s="18" t="s">
        <v>152</v>
      </c>
    </row>
    <row r="24" spans="1:8" ht="15" customHeight="1">
      <c r="A24" s="4">
        <v>19</v>
      </c>
      <c r="B24" s="9" t="s">
        <v>78</v>
      </c>
      <c r="C24" s="13">
        <v>3000</v>
      </c>
      <c r="D24" s="13">
        <v>8188.7</v>
      </c>
      <c r="E24" s="11">
        <v>1.73</v>
      </c>
      <c r="F24" s="17">
        <f>IF(E24&gt;0,POWER(1+E24,1/4)-1,0)</f>
        <v>0.28540700332067215</v>
      </c>
      <c r="G24" s="13">
        <f>STDEV('Trend Analysis'!C23:W23)</f>
        <v>1890.3420279423676</v>
      </c>
      <c r="H24" s="20" t="s">
        <v>154</v>
      </c>
    </row>
    <row r="25" spans="1:8" ht="15" customHeight="1">
      <c r="A25" s="4">
        <v>20</v>
      </c>
      <c r="B25" s="9" t="s">
        <v>79</v>
      </c>
      <c r="C25" s="13">
        <v>3000</v>
      </c>
      <c r="D25" s="13">
        <v>6840</v>
      </c>
      <c r="E25" s="11">
        <v>1.28</v>
      </c>
      <c r="F25" s="17">
        <f>IF(E25&gt;0,POWER(1+E25,1/4)-1,0)</f>
        <v>0.22880709920400033</v>
      </c>
      <c r="G25" s="13">
        <f>STDEV('Trend Analysis'!C24:W24)</f>
        <v>1032.9262337242637</v>
      </c>
      <c r="H25" s="20" t="s">
        <v>154</v>
      </c>
    </row>
    <row r="26" spans="1:8" ht="15" customHeight="1">
      <c r="A26" s="4">
        <v>21</v>
      </c>
      <c r="B26" s="9" t="s">
        <v>80</v>
      </c>
      <c r="C26" s="13">
        <v>3000</v>
      </c>
      <c r="D26" s="13">
        <v>12323.5</v>
      </c>
      <c r="E26" s="11">
        <v>3.1080000000000001</v>
      </c>
      <c r="F26" s="17">
        <f>IF(E26&gt;0,POWER(1+E26,1/4)-1,0)</f>
        <v>0.42366434584326007</v>
      </c>
      <c r="G26" s="13">
        <f>STDEV('Trend Analysis'!C25:W25)</f>
        <v>3410.5145130093429</v>
      </c>
      <c r="H26" s="19" t="s">
        <v>153</v>
      </c>
    </row>
    <row r="27" spans="1:8" ht="15" customHeight="1">
      <c r="A27" s="4">
        <v>22</v>
      </c>
      <c r="B27" s="9" t="s">
        <v>81</v>
      </c>
      <c r="C27" s="13">
        <v>3000</v>
      </c>
      <c r="D27" s="13">
        <v>9303.2999999999993</v>
      </c>
      <c r="E27" s="11">
        <v>2.101</v>
      </c>
      <c r="F27" s="17">
        <f>IF(E27&gt;0,POWER(1+E27,1/4)-1,0)</f>
        <v>0.32701380708153538</v>
      </c>
      <c r="G27" s="13">
        <f>STDEV('Trend Analysis'!C26:W26)</f>
        <v>1900.1323085442427</v>
      </c>
      <c r="H27" s="18" t="s">
        <v>152</v>
      </c>
    </row>
    <row r="28" spans="1:8" ht="15" customHeight="1">
      <c r="A28" s="4">
        <v>23</v>
      </c>
      <c r="B28" s="9" t="s">
        <v>82</v>
      </c>
      <c r="C28" s="13">
        <v>3000</v>
      </c>
      <c r="D28" s="13">
        <v>11544.1</v>
      </c>
      <c r="E28" s="11">
        <v>2.8479999999999999</v>
      </c>
      <c r="F28" s="17">
        <f>IF(E28&gt;0,POWER(1+E28,1/4)-1,0)</f>
        <v>0.40058272645291337</v>
      </c>
      <c r="G28" s="13">
        <f>STDEV('Trend Analysis'!C27:W27)</f>
        <v>2681.6471292403762</v>
      </c>
      <c r="H28" s="19" t="s">
        <v>153</v>
      </c>
    </row>
    <row r="29" spans="1:8" ht="15" customHeight="1">
      <c r="A29" s="4">
        <v>24</v>
      </c>
      <c r="B29" s="9" t="s">
        <v>83</v>
      </c>
      <c r="C29" s="13">
        <v>3000</v>
      </c>
      <c r="D29" s="13">
        <v>10668.2</v>
      </c>
      <c r="E29" s="11">
        <v>2.556</v>
      </c>
      <c r="F29" s="17">
        <f>IF(E29&gt;0,POWER(1+E29,1/4)-1,0)</f>
        <v>0.37322100574223183</v>
      </c>
      <c r="G29" s="13">
        <f>STDEV('Trend Analysis'!C28:W28)</f>
        <v>2744.6436468146476</v>
      </c>
      <c r="H29" s="19" t="s">
        <v>153</v>
      </c>
    </row>
    <row r="30" spans="1:8" ht="15" customHeight="1">
      <c r="A30" s="4">
        <v>25</v>
      </c>
      <c r="B30" s="9" t="s">
        <v>84</v>
      </c>
      <c r="C30" s="13">
        <v>3000</v>
      </c>
      <c r="D30" s="13">
        <v>9700.4</v>
      </c>
      <c r="E30" s="11">
        <v>2.2330000000000001</v>
      </c>
      <c r="F30" s="17">
        <f>IF(E30&gt;0,POWER(1+E30,1/4)-1,0)</f>
        <v>0.34091554699744164</v>
      </c>
      <c r="G30" s="13">
        <f>STDEV('Trend Analysis'!C29:W29)</f>
        <v>2147.0857175544502</v>
      </c>
      <c r="H30" s="18" t="s">
        <v>152</v>
      </c>
    </row>
    <row r="31" spans="1:8" ht="15" customHeight="1">
      <c r="A31" s="4">
        <v>26</v>
      </c>
      <c r="B31" s="9" t="s">
        <v>85</v>
      </c>
      <c r="C31" s="13">
        <v>3000</v>
      </c>
      <c r="D31" s="13">
        <v>11247.5</v>
      </c>
      <c r="E31" s="11">
        <v>2.7490000000000001</v>
      </c>
      <c r="F31" s="17">
        <f>IF(E31&gt;0,POWER(1+E31,1/4)-1,0)</f>
        <v>0.39148606065544422</v>
      </c>
      <c r="G31" s="13">
        <f>STDEV('Trend Analysis'!C30:W30)</f>
        <v>2386.2806913497202</v>
      </c>
      <c r="H31" s="19" t="s">
        <v>153</v>
      </c>
    </row>
    <row r="32" spans="1:8" ht="15" customHeight="1">
      <c r="A32" s="4">
        <v>27</v>
      </c>
      <c r="B32" s="9" t="s">
        <v>86</v>
      </c>
      <c r="C32" s="13">
        <v>3000</v>
      </c>
      <c r="D32" s="13">
        <v>12300.2</v>
      </c>
      <c r="E32" s="11">
        <v>3.1</v>
      </c>
      <c r="F32" s="17">
        <f>IF(E32&gt;0,POWER(1+E32,1/4)-1,0)</f>
        <v>0.42297072110836442</v>
      </c>
      <c r="G32" s="13">
        <f>STDEV('Trend Analysis'!C31:W31)</f>
        <v>2906.8397677139701</v>
      </c>
      <c r="H32" s="19" t="s">
        <v>153</v>
      </c>
    </row>
    <row r="33" spans="1:8" ht="15" customHeight="1">
      <c r="A33" s="4">
        <v>28</v>
      </c>
      <c r="B33" s="9" t="s">
        <v>87</v>
      </c>
      <c r="C33" s="13">
        <v>3000</v>
      </c>
      <c r="D33" s="13">
        <v>10369.5</v>
      </c>
      <c r="E33" s="11">
        <v>2.4569999999999999</v>
      </c>
      <c r="F33" s="17">
        <f>IF(E33&gt;0,POWER(1+E33,1/4)-1,0)</f>
        <v>0.3635618592140879</v>
      </c>
      <c r="G33" s="13">
        <f>STDEV('Trend Analysis'!C32:W32)</f>
        <v>2339.4001805739176</v>
      </c>
      <c r="H33" s="18" t="s">
        <v>152</v>
      </c>
    </row>
    <row r="34" spans="1:8" ht="15" customHeight="1">
      <c r="A34" s="4">
        <v>31</v>
      </c>
      <c r="B34" s="9" t="s">
        <v>88</v>
      </c>
      <c r="C34" s="13">
        <v>3000</v>
      </c>
      <c r="D34" s="13">
        <v>9273.9</v>
      </c>
      <c r="E34" s="11">
        <v>2.0910000000000002</v>
      </c>
      <c r="F34" s="17">
        <f>IF(E34&gt;0,POWER(1+E34,1/4)-1,0)</f>
        <v>0.32594268359437839</v>
      </c>
      <c r="G34" s="13">
        <f>STDEV('Trend Analysis'!C33:W33)</f>
        <v>1979.6223126952948</v>
      </c>
      <c r="H34" s="18" t="s">
        <v>152</v>
      </c>
    </row>
    <row r="35" spans="1:8" ht="15" customHeight="1">
      <c r="A35" s="4">
        <v>32</v>
      </c>
      <c r="B35" s="9" t="s">
        <v>89</v>
      </c>
      <c r="C35" s="13">
        <v>3000</v>
      </c>
      <c r="D35" s="13">
        <v>5588.9</v>
      </c>
      <c r="E35" s="11">
        <v>0.86299999999999999</v>
      </c>
      <c r="F35" s="17">
        <f>IF(E35&gt;0,POWER(1+E35,1/4)-1,0)</f>
        <v>0.16829687148826999</v>
      </c>
      <c r="G35" s="13">
        <f>STDEV('Trend Analysis'!C34:W34)</f>
        <v>784.2470732291074</v>
      </c>
      <c r="H35" s="20" t="s">
        <v>154</v>
      </c>
    </row>
    <row r="36" spans="1:8" ht="15" customHeight="1">
      <c r="A36" s="4">
        <v>33</v>
      </c>
      <c r="B36" s="9" t="s">
        <v>90</v>
      </c>
      <c r="C36" s="13">
        <v>3000</v>
      </c>
      <c r="D36" s="13">
        <v>9611.2999999999993</v>
      </c>
      <c r="E36" s="11">
        <v>2.2040000000000002</v>
      </c>
      <c r="F36" s="17">
        <f>IF(E36&gt;0,POWER(1+E36,1/4)-1,0)</f>
        <v>0.33789837686617874</v>
      </c>
      <c r="G36" s="13">
        <f>STDEV('Trend Analysis'!C35:W35)</f>
        <v>2096.0005441441626</v>
      </c>
      <c r="H36" s="18" t="s">
        <v>152</v>
      </c>
    </row>
    <row r="37" spans="1:8" ht="15" customHeight="1">
      <c r="A37" s="4">
        <v>34</v>
      </c>
      <c r="B37" s="9" t="s">
        <v>91</v>
      </c>
      <c r="C37" s="13">
        <v>3000</v>
      </c>
      <c r="D37" s="13">
        <v>10745.8</v>
      </c>
      <c r="E37" s="11">
        <v>2.5819999999999999</v>
      </c>
      <c r="F37" s="17">
        <f>IF(E37&gt;0,POWER(1+E37,1/4)-1,0)</f>
        <v>0.37572425851640068</v>
      </c>
      <c r="G37" s="13">
        <f>STDEV('Trend Analysis'!C36:W36)</f>
        <v>2530.9969867103487</v>
      </c>
      <c r="H37" s="19" t="s">
        <v>153</v>
      </c>
    </row>
  </sheetData>
  <mergeCells count="3">
    <mergeCell ref="A4:H4"/>
    <mergeCell ref="A2:H2"/>
    <mergeCell ref="A1:H1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8C00"/>
  </sheetPr>
  <dimension ref="A1:J36"/>
  <sheetViews>
    <sheetView tabSelected="1" zoomScaleNormal="100" workbookViewId="0"/>
  </sheetViews>
  <sheetFormatPr defaultColWidth="8.7109375" defaultRowHeight="15"/>
  <cols>
    <col min="1" max="1" width="8" style="1" customWidth="1"/>
    <col min="2" max="2" width="22" style="1" customWidth="1"/>
    <col min="3" max="10" width="12" style="1" customWidth="1"/>
  </cols>
  <sheetData>
    <row r="1" spans="1:10" ht="39.75" customHeight="1">
      <c r="A1" s="31" t="s">
        <v>155</v>
      </c>
      <c r="B1" s="26"/>
      <c r="C1" s="26"/>
      <c r="D1" s="26"/>
      <c r="E1" s="26"/>
      <c r="F1" s="26"/>
      <c r="G1" s="26"/>
      <c r="H1" s="26"/>
      <c r="I1" s="26"/>
      <c r="J1" s="26"/>
    </row>
    <row r="2" spans="1:10" ht="17.850000000000001" customHeight="1">
      <c r="A2" s="32" t="s">
        <v>156</v>
      </c>
      <c r="B2" s="26"/>
      <c r="C2" s="26"/>
      <c r="D2" s="26"/>
      <c r="E2" s="26"/>
      <c r="F2" s="26"/>
      <c r="G2" s="26"/>
      <c r="H2" s="26"/>
      <c r="I2" s="26"/>
      <c r="J2" s="26"/>
    </row>
    <row r="4" spans="1:10" ht="15" customHeight="1">
      <c r="A4" s="3" t="s">
        <v>135</v>
      </c>
      <c r="B4" s="3" t="s">
        <v>136</v>
      </c>
      <c r="C4" s="3" t="s">
        <v>157</v>
      </c>
      <c r="D4" s="3" t="s">
        <v>158</v>
      </c>
      <c r="E4" s="3" t="s">
        <v>150</v>
      </c>
      <c r="F4" s="3" t="s">
        <v>97</v>
      </c>
      <c r="G4" s="3" t="s">
        <v>98</v>
      </c>
      <c r="H4" s="3" t="s">
        <v>159</v>
      </c>
      <c r="I4" s="3" t="s">
        <v>160</v>
      </c>
      <c r="J4" s="3" t="s">
        <v>161</v>
      </c>
    </row>
    <row r="5" spans="1:10" ht="15" customHeight="1">
      <c r="A5" s="4">
        <v>1</v>
      </c>
      <c r="B5" s="9" t="s">
        <v>65</v>
      </c>
      <c r="C5" s="10">
        <f>AVERAGE('Trend Analysis'!C5:W5)</f>
        <v>7063.8349999999991</v>
      </c>
      <c r="D5" s="10">
        <f>MEDIAN('Trend Analysis'!C5:W5)</f>
        <v>7372.65</v>
      </c>
      <c r="E5" s="10">
        <f>STDEV('Trend Analysis'!C5:W5)</f>
        <v>2013.7664243572135</v>
      </c>
      <c r="F5" s="10">
        <f>MIN('Trend Analysis'!C5:W5)</f>
        <v>3000</v>
      </c>
      <c r="G5" s="10">
        <f>MAX('Trend Analysis'!C5:W5)</f>
        <v>9768.7999999999993</v>
      </c>
      <c r="H5" s="10">
        <f>MAX('Trend Analysis'!C5:W5)-MIN('Trend Analysis'!C5:W5)</f>
        <v>6768.7999999999993</v>
      </c>
      <c r="I5" s="21">
        <f>SKEW('Trend Analysis'!C5:W5)</f>
        <v>-0.32690691707897912</v>
      </c>
      <c r="J5" s="17">
        <f>IF(C5&gt;0,E5/C5*100,0)</f>
        <v>28.508118102379427</v>
      </c>
    </row>
    <row r="6" spans="1:10" ht="15" customHeight="1">
      <c r="A6" s="4">
        <v>2</v>
      </c>
      <c r="B6" s="9" t="s">
        <v>22</v>
      </c>
      <c r="C6" s="10">
        <f>AVERAGE('Trend Analysis'!C6:W6)</f>
        <v>7264.2850000000017</v>
      </c>
      <c r="D6" s="10">
        <f>MEDIAN('Trend Analysis'!C6:W6)</f>
        <v>6197.8</v>
      </c>
      <c r="E6" s="10">
        <f>STDEV('Trend Analysis'!C6:W6)</f>
        <v>3506.2544329683906</v>
      </c>
      <c r="F6" s="10">
        <f>MIN('Trend Analysis'!C6:W6)</f>
        <v>3000</v>
      </c>
      <c r="G6" s="10">
        <f>MAX('Trend Analysis'!C6:W6)</f>
        <v>12985.2</v>
      </c>
      <c r="H6" s="10">
        <f>MAX('Trend Analysis'!C6:W6)-MIN('Trend Analysis'!C6:W6)</f>
        <v>9985.2000000000007</v>
      </c>
      <c r="I6" s="21">
        <f>SKEW('Trend Analysis'!C6:W6)</f>
        <v>0.44300223387357568</v>
      </c>
      <c r="J6" s="17">
        <f>IF(C6&gt;0,E6/C6*100,0)</f>
        <v>48.267027422084759</v>
      </c>
    </row>
    <row r="7" spans="1:10" ht="15" customHeight="1">
      <c r="A7" s="4">
        <v>3</v>
      </c>
      <c r="B7" s="9" t="s">
        <v>29</v>
      </c>
      <c r="C7" s="10">
        <f>AVERAGE('Trend Analysis'!C7:W7)</f>
        <v>7502.6850000000004</v>
      </c>
      <c r="D7" s="10">
        <f>MEDIAN('Trend Analysis'!C7:W7)</f>
        <v>6903.7999999999993</v>
      </c>
      <c r="E7" s="10">
        <f>STDEV('Trend Analysis'!C7:W7)</f>
        <v>3059.0116410843316</v>
      </c>
      <c r="F7" s="10">
        <f>MIN('Trend Analysis'!C7:W7)</f>
        <v>3000</v>
      </c>
      <c r="G7" s="10">
        <f>MAX('Trend Analysis'!C7:W7)</f>
        <v>12560</v>
      </c>
      <c r="H7" s="10">
        <f>MAX('Trend Analysis'!C7:W7)-MIN('Trend Analysis'!C7:W7)</f>
        <v>9560</v>
      </c>
      <c r="I7" s="21">
        <f>SKEW('Trend Analysis'!C7:W7)</f>
        <v>0.2359862026047316</v>
      </c>
      <c r="J7" s="17">
        <f>IF(C7&gt;0,E7/C7*100,0)</f>
        <v>40.772225424422473</v>
      </c>
    </row>
    <row r="8" spans="1:10" ht="15" customHeight="1">
      <c r="A8" s="4">
        <v>4</v>
      </c>
      <c r="B8" s="9" t="s">
        <v>66</v>
      </c>
      <c r="C8" s="10">
        <f>AVERAGE('Trend Analysis'!C8:W8)</f>
        <v>6216.125</v>
      </c>
      <c r="D8" s="10">
        <f>MEDIAN('Trend Analysis'!C8:W8)</f>
        <v>5452.65</v>
      </c>
      <c r="E8" s="10">
        <f>STDEV('Trend Analysis'!C8:W8)</f>
        <v>2837.3290167589143</v>
      </c>
      <c r="F8" s="10">
        <f>MIN('Trend Analysis'!C8:W8)</f>
        <v>3000</v>
      </c>
      <c r="G8" s="10">
        <f>MAX('Trend Analysis'!C8:W8)</f>
        <v>11823.5</v>
      </c>
      <c r="H8" s="10">
        <f>MAX('Trend Analysis'!C8:W8)-MIN('Trend Analysis'!C8:W8)</f>
        <v>8823.5</v>
      </c>
      <c r="I8" s="21">
        <f>SKEW('Trend Analysis'!C8:W8)</f>
        <v>0.70670231314659937</v>
      </c>
      <c r="J8" s="17">
        <f>IF(C8&gt;0,E8/C8*100,0)</f>
        <v>45.644658316216521</v>
      </c>
    </row>
    <row r="9" spans="1:10" ht="15" customHeight="1">
      <c r="A9" s="4">
        <v>5</v>
      </c>
      <c r="B9" s="9" t="s">
        <v>67</v>
      </c>
      <c r="C9" s="10">
        <f>AVERAGE('Trend Analysis'!C9:W9)</f>
        <v>5487.7650000000012</v>
      </c>
      <c r="D9" s="10">
        <f>MEDIAN('Trend Analysis'!C9:W9)</f>
        <v>5403.75</v>
      </c>
      <c r="E9" s="10">
        <f>STDEV('Trend Analysis'!C9:W9)</f>
        <v>2016.7181613687928</v>
      </c>
      <c r="F9" s="10">
        <f>MIN('Trend Analysis'!C9:W9)</f>
        <v>3000</v>
      </c>
      <c r="G9" s="10">
        <f>MAX('Trend Analysis'!C9:W9)</f>
        <v>9111.1</v>
      </c>
      <c r="H9" s="10">
        <f>MAX('Trend Analysis'!C9:W9)-MIN('Trend Analysis'!C9:W9)</f>
        <v>6111.1</v>
      </c>
      <c r="I9" s="21">
        <f>SKEW('Trend Analysis'!C9:W9)</f>
        <v>0.58614665852128978</v>
      </c>
      <c r="J9" s="17">
        <f>IF(C9&gt;0,E9/C9*100,0)</f>
        <v>36.749353541355951</v>
      </c>
    </row>
    <row r="10" spans="1:10" ht="15" customHeight="1">
      <c r="A10" s="4">
        <v>6</v>
      </c>
      <c r="B10" s="9" t="s">
        <v>20</v>
      </c>
      <c r="C10" s="10">
        <f>AVERAGE('Trend Analysis'!C10:W10)</f>
        <v>4889.3500000000004</v>
      </c>
      <c r="D10" s="10">
        <f>MEDIAN('Trend Analysis'!C10:W10)</f>
        <v>4883.45</v>
      </c>
      <c r="E10" s="10">
        <f>STDEV('Trend Analysis'!C10:W10)</f>
        <v>1535.2530346904753</v>
      </c>
      <c r="F10" s="10">
        <f>MIN('Trend Analysis'!C10:W10)</f>
        <v>3000</v>
      </c>
      <c r="G10" s="10">
        <f>MAX('Trend Analysis'!C10:W10)</f>
        <v>8074.7</v>
      </c>
      <c r="H10" s="10">
        <f>MAX('Trend Analysis'!C10:W10)-MIN('Trend Analysis'!C10:W10)</f>
        <v>5074.7</v>
      </c>
      <c r="I10" s="21">
        <f>SKEW('Trend Analysis'!C10:W10)</f>
        <v>0.76812824694470161</v>
      </c>
      <c r="J10" s="17">
        <f>IF(C10&gt;0,E10/C10*100,0)</f>
        <v>31.39994139692342</v>
      </c>
    </row>
    <row r="11" spans="1:10" ht="15" customHeight="1">
      <c r="A11" s="4">
        <v>7</v>
      </c>
      <c r="B11" s="9" t="s">
        <v>18</v>
      </c>
      <c r="C11" s="10">
        <f>AVERAGE('Trend Analysis'!C11:W11)</f>
        <v>7403.6849999999995</v>
      </c>
      <c r="D11" s="10">
        <f>MEDIAN('Trend Analysis'!C11:W11)</f>
        <v>6733</v>
      </c>
      <c r="E11" s="10">
        <f>STDEV('Trend Analysis'!C11:W11)</f>
        <v>3361.996998695397</v>
      </c>
      <c r="F11" s="10">
        <f>MIN('Trend Analysis'!C11:W11)</f>
        <v>3000</v>
      </c>
      <c r="G11" s="10">
        <f>MAX('Trend Analysis'!C11:W11)</f>
        <v>13786.4</v>
      </c>
      <c r="H11" s="10">
        <f>MAX('Trend Analysis'!C11:W11)-MIN('Trend Analysis'!C11:W11)</f>
        <v>10786.4</v>
      </c>
      <c r="I11" s="21">
        <f>SKEW('Trend Analysis'!C11:W11)</f>
        <v>0.6280792118159132</v>
      </c>
      <c r="J11" s="17">
        <f>IF(C11&gt;0,E11/C11*100,0)</f>
        <v>45.409779031595718</v>
      </c>
    </row>
    <row r="12" spans="1:10" ht="15" customHeight="1">
      <c r="A12" s="4">
        <v>8</v>
      </c>
      <c r="B12" s="9" t="s">
        <v>68</v>
      </c>
      <c r="C12" s="10">
        <f>AVERAGE('Trend Analysis'!C12:W12)</f>
        <v>6571.38</v>
      </c>
      <c r="D12" s="10">
        <f>MEDIAN('Trend Analysis'!C12:W12)</f>
        <v>6681.1</v>
      </c>
      <c r="E12" s="10">
        <f>STDEV('Trend Analysis'!C12:W12)</f>
        <v>2255.8690185940823</v>
      </c>
      <c r="F12" s="10">
        <f>MIN('Trend Analysis'!C12:W12)</f>
        <v>3000</v>
      </c>
      <c r="G12" s="10">
        <f>MAX('Trend Analysis'!C12:W12)</f>
        <v>9970.7999999999993</v>
      </c>
      <c r="H12" s="10">
        <f>MAX('Trend Analysis'!C12:W12)-MIN('Trend Analysis'!C12:W12)</f>
        <v>6970.7999999999993</v>
      </c>
      <c r="I12" s="21">
        <f>SKEW('Trend Analysis'!C12:W12)</f>
        <v>0.11343774112838191</v>
      </c>
      <c r="J12" s="17">
        <f>IF(C12&gt;0,E12/C12*100,0)</f>
        <v>34.32869532113623</v>
      </c>
    </row>
    <row r="13" spans="1:10" ht="15" customHeight="1">
      <c r="A13" s="4">
        <v>9</v>
      </c>
      <c r="B13" s="9" t="s">
        <v>69</v>
      </c>
      <c r="C13" s="10">
        <f>AVERAGE('Trend Analysis'!C13:W13)</f>
        <v>6683.5650000000005</v>
      </c>
      <c r="D13" s="10">
        <f>MEDIAN('Trend Analysis'!C13:W13)</f>
        <v>7092.65</v>
      </c>
      <c r="E13" s="10">
        <f>STDEV('Trend Analysis'!C13:W13)</f>
        <v>2249.2841652576776</v>
      </c>
      <c r="F13" s="10">
        <f>MIN('Trend Analysis'!C13:W13)</f>
        <v>3000</v>
      </c>
      <c r="G13" s="10">
        <f>MAX('Trend Analysis'!C13:W13)</f>
        <v>10036.200000000001</v>
      </c>
      <c r="H13" s="10">
        <f>MAX('Trend Analysis'!C13:W13)-MIN('Trend Analysis'!C13:W13)</f>
        <v>7036.2000000000007</v>
      </c>
      <c r="I13" s="21">
        <f>SKEW('Trend Analysis'!C13:W13)</f>
        <v>-4.9260310764526756E-2</v>
      </c>
      <c r="J13" s="17">
        <f>IF(C13&gt;0,E13/C13*100,0)</f>
        <v>33.653958108549517</v>
      </c>
    </row>
    <row r="14" spans="1:10" ht="15" customHeight="1">
      <c r="A14" s="4">
        <v>10</v>
      </c>
      <c r="B14" s="9" t="s">
        <v>26</v>
      </c>
      <c r="C14" s="10">
        <f>AVERAGE('Trend Analysis'!C14:W14)</f>
        <v>7412.0199999999995</v>
      </c>
      <c r="D14" s="10">
        <f>MEDIAN('Trend Analysis'!C14:W14)</f>
        <v>7312.75</v>
      </c>
      <c r="E14" s="10">
        <f>STDEV('Trend Analysis'!C14:W14)</f>
        <v>3049.4849410834499</v>
      </c>
      <c r="F14" s="10">
        <f>MIN('Trend Analysis'!C14:W14)</f>
        <v>3000</v>
      </c>
      <c r="G14" s="10">
        <f>MAX('Trend Analysis'!C14:W14)</f>
        <v>12767.3</v>
      </c>
      <c r="H14" s="10">
        <f>MAX('Trend Analysis'!C14:W14)-MIN('Trend Analysis'!C14:W14)</f>
        <v>9767.2999999999993</v>
      </c>
      <c r="I14" s="21">
        <f>SKEW('Trend Analysis'!C14:W14)</f>
        <v>0.32980563350122682</v>
      </c>
      <c r="J14" s="17">
        <f>IF(C14&gt;0,E14/C14*100,0)</f>
        <v>41.142427315137439</v>
      </c>
    </row>
    <row r="15" spans="1:10" ht="15" customHeight="1">
      <c r="A15" s="4">
        <v>11</v>
      </c>
      <c r="B15" s="9" t="s">
        <v>70</v>
      </c>
      <c r="C15" s="10">
        <f>AVERAGE('Trend Analysis'!C15:W15)</f>
        <v>5717.6950000000006</v>
      </c>
      <c r="D15" s="10">
        <f>MEDIAN('Trend Analysis'!C15:W15)</f>
        <v>5366.8</v>
      </c>
      <c r="E15" s="10">
        <f>STDEV('Trend Analysis'!C15:W15)</f>
        <v>2253.1869830309233</v>
      </c>
      <c r="F15" s="10">
        <f>MIN('Trend Analysis'!C15:W15)</f>
        <v>3000</v>
      </c>
      <c r="G15" s="10">
        <f>MAX('Trend Analysis'!C15:W15)</f>
        <v>9633.5</v>
      </c>
      <c r="H15" s="10">
        <f>MAX('Trend Analysis'!C15:W15)-MIN('Trend Analysis'!C15:W15)</f>
        <v>6633.5</v>
      </c>
      <c r="I15" s="21">
        <f>SKEW('Trend Analysis'!C15:W15)</f>
        <v>0.6552103618274544</v>
      </c>
      <c r="J15" s="17">
        <f>IF(C15&gt;0,E15/C15*100,0)</f>
        <v>39.407260846038888</v>
      </c>
    </row>
    <row r="16" spans="1:10" ht="15" customHeight="1">
      <c r="A16" s="4">
        <v>12</v>
      </c>
      <c r="B16" s="9" t="s">
        <v>71</v>
      </c>
      <c r="C16" s="10">
        <f>AVERAGE('Trend Analysis'!C16:W16)</f>
        <v>5136.2849999999999</v>
      </c>
      <c r="D16" s="10">
        <f>MEDIAN('Trend Analysis'!C16:W16)</f>
        <v>5038.1499999999996</v>
      </c>
      <c r="E16" s="10">
        <f>STDEV('Trend Analysis'!C16:W16)</f>
        <v>1724.4745729992806</v>
      </c>
      <c r="F16" s="10">
        <f>MIN('Trend Analysis'!C16:W16)</f>
        <v>3000</v>
      </c>
      <c r="G16" s="10">
        <f>MAX('Trend Analysis'!C16:W16)</f>
        <v>8687.7000000000007</v>
      </c>
      <c r="H16" s="10">
        <f>MAX('Trend Analysis'!C16:W16)-MIN('Trend Analysis'!C16:W16)</f>
        <v>5687.7000000000007</v>
      </c>
      <c r="I16" s="21">
        <f>SKEW('Trend Analysis'!C16:W16)</f>
        <v>0.76070212544123361</v>
      </c>
      <c r="J16" s="17">
        <f>IF(C16&gt;0,E16/C16*100,0)</f>
        <v>33.574355258699242</v>
      </c>
    </row>
    <row r="17" spans="1:10" ht="15" customHeight="1">
      <c r="A17" s="4">
        <v>13</v>
      </c>
      <c r="B17" s="9" t="s">
        <v>72</v>
      </c>
      <c r="C17" s="10">
        <f>AVERAGE('Trend Analysis'!C17:W17)</f>
        <v>5164.8700000000008</v>
      </c>
      <c r="D17" s="10">
        <f>MEDIAN('Trend Analysis'!C17:W17)</f>
        <v>4357.1499999999996</v>
      </c>
      <c r="E17" s="10">
        <f>STDEV('Trend Analysis'!C17:W17)</f>
        <v>2100.8541413584967</v>
      </c>
      <c r="F17" s="10">
        <f>MIN('Trend Analysis'!C17:W17)</f>
        <v>3000</v>
      </c>
      <c r="G17" s="10">
        <f>MAX('Trend Analysis'!C17:W17)</f>
        <v>8478.7999999999993</v>
      </c>
      <c r="H17" s="10">
        <f>MAX('Trend Analysis'!C17:W17)-MIN('Trend Analysis'!C17:W17)</f>
        <v>5478.7999999999993</v>
      </c>
      <c r="I17" s="21">
        <f>SKEW('Trend Analysis'!C17:W17)</f>
        <v>0.50958618881151474</v>
      </c>
      <c r="J17" s="17">
        <f>IF(C17&gt;0,E17/C17*100,0)</f>
        <v>40.675837753099231</v>
      </c>
    </row>
    <row r="18" spans="1:10" ht="15" customHeight="1">
      <c r="A18" s="4">
        <v>14</v>
      </c>
      <c r="B18" s="9" t="s">
        <v>73</v>
      </c>
      <c r="C18" s="10">
        <f>AVERAGE('Trend Analysis'!C18:W18)</f>
        <v>6387.2550000000001</v>
      </c>
      <c r="D18" s="10">
        <f>MEDIAN('Trend Analysis'!C18:W18)</f>
        <v>5685.9500000000007</v>
      </c>
      <c r="E18" s="10">
        <f>STDEV('Trend Analysis'!C18:W18)</f>
        <v>2560.4795037103972</v>
      </c>
      <c r="F18" s="10">
        <f>MIN('Trend Analysis'!C18:W18)</f>
        <v>3000</v>
      </c>
      <c r="G18" s="10">
        <f>MAX('Trend Analysis'!C18:W18)</f>
        <v>11530.8</v>
      </c>
      <c r="H18" s="10">
        <f>MAX('Trend Analysis'!C18:W18)-MIN('Trend Analysis'!C18:W18)</f>
        <v>8530.7999999999993</v>
      </c>
      <c r="I18" s="21">
        <f>SKEW('Trend Analysis'!C18:W18)</f>
        <v>0.7880718339455266</v>
      </c>
      <c r="J18" s="17">
        <f>IF(C18&gt;0,E18/C18*100,0)</f>
        <v>40.087322389827825</v>
      </c>
    </row>
    <row r="19" spans="1:10" ht="15" customHeight="1">
      <c r="A19" s="4">
        <v>15</v>
      </c>
      <c r="B19" s="9" t="s">
        <v>74</v>
      </c>
      <c r="C19" s="10">
        <f>AVERAGE('Trend Analysis'!C19:W19)</f>
        <v>5011.92</v>
      </c>
      <c r="D19" s="10">
        <f>MEDIAN('Trend Analysis'!C19:W19)</f>
        <v>5161.45</v>
      </c>
      <c r="E19" s="10">
        <f>STDEV('Trend Analysis'!C19:W19)</f>
        <v>1191.4508721015668</v>
      </c>
      <c r="F19" s="10">
        <f>MIN('Trend Analysis'!C19:W19)</f>
        <v>3000</v>
      </c>
      <c r="G19" s="10">
        <f>MAX('Trend Analysis'!C19:W19)</f>
        <v>7027.2</v>
      </c>
      <c r="H19" s="10">
        <f>MAX('Trend Analysis'!C19:W19)-MIN('Trend Analysis'!C19:W19)</f>
        <v>4027.2</v>
      </c>
      <c r="I19" s="21">
        <f>SKEW('Trend Analysis'!C19:W19)</f>
        <v>-7.8522549598836228E-2</v>
      </c>
      <c r="J19" s="17">
        <f>IF(C19&gt;0,E19/C19*100,0)</f>
        <v>23.77234417352166</v>
      </c>
    </row>
    <row r="20" spans="1:10" ht="15" customHeight="1">
      <c r="A20" s="4">
        <v>16</v>
      </c>
      <c r="B20" s="9" t="s">
        <v>75</v>
      </c>
      <c r="C20" s="10">
        <f>AVERAGE('Trend Analysis'!C20:W20)</f>
        <v>6702.5300000000007</v>
      </c>
      <c r="D20" s="10">
        <f>MEDIAN('Trend Analysis'!C20:W20)</f>
        <v>6813.35</v>
      </c>
      <c r="E20" s="10">
        <f>STDEV('Trend Analysis'!C20:W20)</f>
        <v>2329.5982755334489</v>
      </c>
      <c r="F20" s="10">
        <f>MIN('Trend Analysis'!C20:W20)</f>
        <v>3000</v>
      </c>
      <c r="G20" s="10">
        <f>MAX('Trend Analysis'!C20:W20)</f>
        <v>9720.4</v>
      </c>
      <c r="H20" s="10">
        <f>MAX('Trend Analysis'!C20:W20)-MIN('Trend Analysis'!C20:W20)</f>
        <v>6720.4</v>
      </c>
      <c r="I20" s="21">
        <f>SKEW('Trend Analysis'!C20:W20)</f>
        <v>-3.9523967320416485E-2</v>
      </c>
      <c r="J20" s="17">
        <f>IF(C20&gt;0,E20/C20*100,0)</f>
        <v>34.756998857647019</v>
      </c>
    </row>
    <row r="21" spans="1:10" ht="15" customHeight="1">
      <c r="A21" s="4">
        <v>17</v>
      </c>
      <c r="B21" s="9" t="s">
        <v>76</v>
      </c>
      <c r="C21" s="10">
        <f>AVERAGE('Trend Analysis'!C21:W21)</f>
        <v>5884.7399999999989</v>
      </c>
      <c r="D21" s="10">
        <f>MEDIAN('Trend Analysis'!C21:W21)</f>
        <v>5893.95</v>
      </c>
      <c r="E21" s="10">
        <f>STDEV('Trend Analysis'!C21:W21)</f>
        <v>1482.6534241725344</v>
      </c>
      <c r="F21" s="10">
        <f>MIN('Trend Analysis'!C21:W21)</f>
        <v>3000</v>
      </c>
      <c r="G21" s="10">
        <f>MAX('Trend Analysis'!C21:W21)</f>
        <v>7699.9</v>
      </c>
      <c r="H21" s="10">
        <f>MAX('Trend Analysis'!C21:W21)-MIN('Trend Analysis'!C21:W21)</f>
        <v>4699.8999999999996</v>
      </c>
      <c r="I21" s="21">
        <f>SKEW('Trend Analysis'!C21:W21)</f>
        <v>-0.31416597867239648</v>
      </c>
      <c r="J21" s="17">
        <f>IF(C21&gt;0,E21/C21*100,0)</f>
        <v>25.194884126954371</v>
      </c>
    </row>
    <row r="22" spans="1:10" ht="15" customHeight="1">
      <c r="A22" s="4">
        <v>18</v>
      </c>
      <c r="B22" s="9" t="s">
        <v>77</v>
      </c>
      <c r="C22" s="10">
        <f>AVERAGE('Trend Analysis'!C22:W22)</f>
        <v>5839.33</v>
      </c>
      <c r="D22" s="10">
        <f>MEDIAN('Trend Analysis'!C22:W22)</f>
        <v>5802.15</v>
      </c>
      <c r="E22" s="10">
        <f>STDEV('Trend Analysis'!C22:W22)</f>
        <v>1758.0598927286437</v>
      </c>
      <c r="F22" s="10">
        <f>MIN('Trend Analysis'!C22:W22)</f>
        <v>3000</v>
      </c>
      <c r="G22" s="10">
        <f>MAX('Trend Analysis'!C22:W22)</f>
        <v>8983.2000000000007</v>
      </c>
      <c r="H22" s="10">
        <f>MAX('Trend Analysis'!C22:W22)-MIN('Trend Analysis'!C22:W22)</f>
        <v>5983.2000000000007</v>
      </c>
      <c r="I22" s="21">
        <f>SKEW('Trend Analysis'!C22:W22)</f>
        <v>0.29061148267593317</v>
      </c>
      <c r="J22" s="17">
        <f>IF(C22&gt;0,E22/C22*100,0)</f>
        <v>30.107219368123459</v>
      </c>
    </row>
    <row r="23" spans="1:10" ht="15" customHeight="1">
      <c r="A23" s="4">
        <v>19</v>
      </c>
      <c r="B23" s="9" t="s">
        <v>78</v>
      </c>
      <c r="C23" s="10">
        <f>AVERAGE('Trend Analysis'!C23:W23)</f>
        <v>6142.5550000000003</v>
      </c>
      <c r="D23" s="10">
        <f>MEDIAN('Trend Analysis'!C23:W23)</f>
        <v>6586.15</v>
      </c>
      <c r="E23" s="10">
        <f>STDEV('Trend Analysis'!C23:W23)</f>
        <v>1890.3420279423676</v>
      </c>
      <c r="F23" s="10">
        <f>MIN('Trend Analysis'!C23:W23)</f>
        <v>3000</v>
      </c>
      <c r="G23" s="10">
        <f>MAX('Trend Analysis'!C23:W23)</f>
        <v>9231.7000000000007</v>
      </c>
      <c r="H23" s="10">
        <f>MAX('Trend Analysis'!C23:W23)-MIN('Trend Analysis'!C23:W23)</f>
        <v>6231.7000000000007</v>
      </c>
      <c r="I23" s="21">
        <f>SKEW('Trend Analysis'!C23:W23)</f>
        <v>-0.13351254564065301</v>
      </c>
      <c r="J23" s="17">
        <f>IF(C23&gt;0,E23/C23*100,0)</f>
        <v>30.774523434342349</v>
      </c>
    </row>
    <row r="24" spans="1:10" ht="15" customHeight="1">
      <c r="A24" s="4">
        <v>20</v>
      </c>
      <c r="B24" s="9" t="s">
        <v>79</v>
      </c>
      <c r="C24" s="10">
        <f>AVERAGE('Trend Analysis'!C24:W24)</f>
        <v>4830.9299999999994</v>
      </c>
      <c r="D24" s="10">
        <f>MEDIAN('Trend Analysis'!C24:W24)</f>
        <v>4625.3500000000004</v>
      </c>
      <c r="E24" s="10">
        <f>STDEV('Trend Analysis'!C24:W24)</f>
        <v>1032.9262337242637</v>
      </c>
      <c r="F24" s="10">
        <f>MIN('Trend Analysis'!C24:W24)</f>
        <v>3000</v>
      </c>
      <c r="G24" s="10">
        <f>MAX('Trend Analysis'!C24:W24)</f>
        <v>6840</v>
      </c>
      <c r="H24" s="10">
        <f>MAX('Trend Analysis'!C24:W24)-MIN('Trend Analysis'!C24:W24)</f>
        <v>3840</v>
      </c>
      <c r="I24" s="21">
        <f>SKEW('Trend Analysis'!C24:W24)</f>
        <v>0.50378999897698618</v>
      </c>
      <c r="J24" s="17">
        <f>IF(C24&gt;0,E24/C24*100,0)</f>
        <v>21.381519370478642</v>
      </c>
    </row>
    <row r="25" spans="1:10" ht="15" customHeight="1">
      <c r="A25" s="4">
        <v>21</v>
      </c>
      <c r="B25" s="9" t="s">
        <v>80</v>
      </c>
      <c r="C25" s="10">
        <f>AVERAGE('Trend Analysis'!C25:W25)</f>
        <v>7187.8350000000009</v>
      </c>
      <c r="D25" s="10">
        <f>MEDIAN('Trend Analysis'!C25:W25)</f>
        <v>5725.45</v>
      </c>
      <c r="E25" s="10">
        <f>STDEV('Trend Analysis'!C25:W25)</f>
        <v>3410.5145130093429</v>
      </c>
      <c r="F25" s="10">
        <f>MIN('Trend Analysis'!C25:W25)</f>
        <v>3000</v>
      </c>
      <c r="G25" s="10">
        <f>MAX('Trend Analysis'!C25:W25)</f>
        <v>12323.5</v>
      </c>
      <c r="H25" s="10">
        <f>MAX('Trend Analysis'!C25:W25)-MIN('Trend Analysis'!C25:W25)</f>
        <v>9323.5</v>
      </c>
      <c r="I25" s="21">
        <f>SKEW('Trend Analysis'!C25:W25)</f>
        <v>0.48434254801097631</v>
      </c>
      <c r="J25" s="17">
        <f>IF(C25&gt;0,E25/C25*100,0)</f>
        <v>47.448425193529658</v>
      </c>
    </row>
    <row r="26" spans="1:10" ht="15" customHeight="1">
      <c r="A26" s="4">
        <v>22</v>
      </c>
      <c r="B26" s="9" t="s">
        <v>81</v>
      </c>
      <c r="C26" s="10">
        <f>AVERAGE('Trend Analysis'!C26:W26)</f>
        <v>5932.7550000000001</v>
      </c>
      <c r="D26" s="10">
        <f>MEDIAN('Trend Analysis'!C26:W26)</f>
        <v>5795</v>
      </c>
      <c r="E26" s="10">
        <f>STDEV('Trend Analysis'!C26:W26)</f>
        <v>1900.1323085442427</v>
      </c>
      <c r="F26" s="10">
        <f>MIN('Trend Analysis'!C26:W26)</f>
        <v>3000</v>
      </c>
      <c r="G26" s="10">
        <f>MAX('Trend Analysis'!C26:W26)</f>
        <v>9303.2999999999993</v>
      </c>
      <c r="H26" s="10">
        <f>MAX('Trend Analysis'!C26:W26)-MIN('Trend Analysis'!C26:W26)</f>
        <v>6303.2999999999993</v>
      </c>
      <c r="I26" s="21">
        <f>SKEW('Trend Analysis'!C26:W26)</f>
        <v>0.25997021863723452</v>
      </c>
      <c r="J26" s="17">
        <f>IF(C26&gt;0,E26/C26*100,0)</f>
        <v>32.027823642544526</v>
      </c>
    </row>
    <row r="27" spans="1:10" ht="15" customHeight="1">
      <c r="A27" s="4">
        <v>23</v>
      </c>
      <c r="B27" s="9" t="s">
        <v>82</v>
      </c>
      <c r="C27" s="10">
        <f>AVERAGE('Trend Analysis'!C27:W27)</f>
        <v>6932.795000000001</v>
      </c>
      <c r="D27" s="10">
        <f>MEDIAN('Trend Analysis'!C27:W27)</f>
        <v>6509.4</v>
      </c>
      <c r="E27" s="10">
        <f>STDEV('Trend Analysis'!C27:W27)</f>
        <v>2681.6471292403762</v>
      </c>
      <c r="F27" s="10">
        <f>MIN('Trend Analysis'!C27:W27)</f>
        <v>3000</v>
      </c>
      <c r="G27" s="10">
        <f>MAX('Trend Analysis'!C27:W27)</f>
        <v>11544.1</v>
      </c>
      <c r="H27" s="10">
        <f>MAX('Trend Analysis'!C27:W27)-MIN('Trend Analysis'!C27:W27)</f>
        <v>8544.1</v>
      </c>
      <c r="I27" s="21">
        <f>SKEW('Trend Analysis'!C27:W27)</f>
        <v>0.45696321092609582</v>
      </c>
      <c r="J27" s="17">
        <f>IF(C27&gt;0,E27/C27*100,0)</f>
        <v>38.680606151492661</v>
      </c>
    </row>
    <row r="28" spans="1:10" ht="15" customHeight="1">
      <c r="A28" s="4">
        <v>24</v>
      </c>
      <c r="B28" s="9" t="s">
        <v>83</v>
      </c>
      <c r="C28" s="10">
        <f>AVERAGE('Trend Analysis'!C28:W28)</f>
        <v>6250.58</v>
      </c>
      <c r="D28" s="10">
        <f>MEDIAN('Trend Analysis'!C28:W28)</f>
        <v>5904.75</v>
      </c>
      <c r="E28" s="10">
        <f>STDEV('Trend Analysis'!C28:W28)</f>
        <v>2744.6436468146476</v>
      </c>
      <c r="F28" s="10">
        <f>MIN('Trend Analysis'!C28:W28)</f>
        <v>3000</v>
      </c>
      <c r="G28" s="10">
        <f>MAX('Trend Analysis'!C28:W28)</f>
        <v>10668.2</v>
      </c>
      <c r="H28" s="10">
        <f>MAX('Trend Analysis'!C28:W28)-MIN('Trend Analysis'!C28:W28)</f>
        <v>7668.2000000000007</v>
      </c>
      <c r="I28" s="21">
        <f>SKEW('Trend Analysis'!C28:W28)</f>
        <v>0.31590408395514341</v>
      </c>
      <c r="J28" s="17">
        <f>IF(C28&gt;0,E28/C28*100,0)</f>
        <v>43.910223480295393</v>
      </c>
    </row>
    <row r="29" spans="1:10" ht="15" customHeight="1">
      <c r="A29" s="4">
        <v>25</v>
      </c>
      <c r="B29" s="9" t="s">
        <v>84</v>
      </c>
      <c r="C29" s="10">
        <f>AVERAGE('Trend Analysis'!C29:W29)</f>
        <v>5364.38</v>
      </c>
      <c r="D29" s="10">
        <f>MEDIAN('Trend Analysis'!C29:W29)</f>
        <v>4881.8500000000004</v>
      </c>
      <c r="E29" s="10">
        <f>STDEV('Trend Analysis'!C29:W29)</f>
        <v>2147.0857175544502</v>
      </c>
      <c r="F29" s="10">
        <f>MIN('Trend Analysis'!C29:W29)</f>
        <v>3000</v>
      </c>
      <c r="G29" s="10">
        <f>MAX('Trend Analysis'!C29:W29)</f>
        <v>9700.4</v>
      </c>
      <c r="H29" s="10">
        <f>MAX('Trend Analysis'!C29:W29)-MIN('Trend Analysis'!C29:W29)</f>
        <v>6700.4</v>
      </c>
      <c r="I29" s="21">
        <f>SKEW('Trend Analysis'!C29:W29)</f>
        <v>0.81452013774982701</v>
      </c>
      <c r="J29" s="17">
        <f>IF(C29&gt;0,E29/C29*100,0)</f>
        <v>40.02486247347224</v>
      </c>
    </row>
    <row r="30" spans="1:10" ht="15" customHeight="1">
      <c r="A30" s="4">
        <v>26</v>
      </c>
      <c r="B30" s="9" t="s">
        <v>85</v>
      </c>
      <c r="C30" s="10">
        <f>AVERAGE('Trend Analysis'!C30:W30)</f>
        <v>6716.9555555555553</v>
      </c>
      <c r="D30" s="10">
        <f>MEDIAN('Trend Analysis'!C30:W30)</f>
        <v>6590.45</v>
      </c>
      <c r="E30" s="10">
        <f>STDEV('Trend Analysis'!C30:W30)</f>
        <v>2386.2806913497202</v>
      </c>
      <c r="F30" s="10">
        <f>MIN('Trend Analysis'!C30:W30)</f>
        <v>3000</v>
      </c>
      <c r="G30" s="10">
        <f>MAX('Trend Analysis'!C30:W30)</f>
        <v>11247.5</v>
      </c>
      <c r="H30" s="10">
        <f>MAX('Trend Analysis'!C30:W30)-MIN('Trend Analysis'!C30:W30)</f>
        <v>8247.5</v>
      </c>
      <c r="I30" s="21">
        <f>SKEW('Trend Analysis'!C30:W30)</f>
        <v>0.48807001190553762</v>
      </c>
      <c r="J30" s="17">
        <f>IF(C30&gt;0,E30/C30*100,0)</f>
        <v>35.52622421888799</v>
      </c>
    </row>
    <row r="31" spans="1:10" ht="15" customHeight="1">
      <c r="A31" s="4">
        <v>27</v>
      </c>
      <c r="B31" s="9" t="s">
        <v>86</v>
      </c>
      <c r="C31" s="10">
        <f>AVERAGE('Trend Analysis'!C31:W31)</f>
        <v>7265.8888888888878</v>
      </c>
      <c r="D31" s="10">
        <f>MEDIAN('Trend Analysis'!C31:W31)</f>
        <v>6603.4</v>
      </c>
      <c r="E31" s="10">
        <f>STDEV('Trend Analysis'!C31:W31)</f>
        <v>2906.8397677139701</v>
      </c>
      <c r="F31" s="10">
        <f>MIN('Trend Analysis'!C31:W31)</f>
        <v>3000</v>
      </c>
      <c r="G31" s="10">
        <f>MAX('Trend Analysis'!C31:W31)</f>
        <v>12300.2</v>
      </c>
      <c r="H31" s="10">
        <f>MAX('Trend Analysis'!C31:W31)-MIN('Trend Analysis'!C31:W31)</f>
        <v>9300.2000000000007</v>
      </c>
      <c r="I31" s="21">
        <f>SKEW('Trend Analysis'!C31:W31)</f>
        <v>0.35036378208918645</v>
      </c>
      <c r="J31" s="17">
        <f>IF(C31&gt;0,E31/C31*100,0)</f>
        <v>40.006664183361728</v>
      </c>
    </row>
    <row r="32" spans="1:10" ht="15" customHeight="1">
      <c r="A32" s="4">
        <v>28</v>
      </c>
      <c r="B32" s="9" t="s">
        <v>87</v>
      </c>
      <c r="C32" s="10">
        <f>AVERAGE('Trend Analysis'!C32:W32)</f>
        <v>6552.9611111111117</v>
      </c>
      <c r="D32" s="10">
        <f>MEDIAN('Trend Analysis'!C32:W32)</f>
        <v>6282</v>
      </c>
      <c r="E32" s="10">
        <f>STDEV('Trend Analysis'!C32:W32)</f>
        <v>2339.4001805739176</v>
      </c>
      <c r="F32" s="10">
        <f>MIN('Trend Analysis'!C32:W32)</f>
        <v>3000</v>
      </c>
      <c r="G32" s="10">
        <f>MAX('Trend Analysis'!C32:W32)</f>
        <v>10369.5</v>
      </c>
      <c r="H32" s="10">
        <f>MAX('Trend Analysis'!C32:W32)-MIN('Trend Analysis'!C32:W32)</f>
        <v>7369.5</v>
      </c>
      <c r="I32" s="21">
        <f>SKEW('Trend Analysis'!C32:W32)</f>
        <v>0.29135741109278945</v>
      </c>
      <c r="J32" s="17">
        <f>IF(C32&gt;0,E32/C32*100,0)</f>
        <v>35.699894153305173</v>
      </c>
    </row>
    <row r="33" spans="1:10" ht="15" customHeight="1">
      <c r="A33" s="4">
        <v>31</v>
      </c>
      <c r="B33" s="9" t="s">
        <v>88</v>
      </c>
      <c r="C33" s="10">
        <f>AVERAGE('Trend Analysis'!C33:W33)</f>
        <v>5370.7749999999996</v>
      </c>
      <c r="D33" s="10">
        <f>MEDIAN('Trend Analysis'!C33:W33)</f>
        <v>5287.95</v>
      </c>
      <c r="E33" s="10">
        <f>STDEV('Trend Analysis'!C33:W33)</f>
        <v>1979.6223126952948</v>
      </c>
      <c r="F33" s="10">
        <f>MIN('Trend Analysis'!C33:W33)</f>
        <v>3000</v>
      </c>
      <c r="G33" s="10">
        <f>MAX('Trend Analysis'!C33:W33)</f>
        <v>9273.9</v>
      </c>
      <c r="H33" s="10">
        <f>MAX('Trend Analysis'!C33:W33)-MIN('Trend Analysis'!C33:W33)</f>
        <v>6273.9</v>
      </c>
      <c r="I33" s="21">
        <f>SKEW('Trend Analysis'!C33:W33)</f>
        <v>0.65338705384075457</v>
      </c>
      <c r="J33" s="17">
        <f>IF(C33&gt;0,E33/C33*100,0)</f>
        <v>36.859155572432186</v>
      </c>
    </row>
    <row r="34" spans="1:10" ht="15" customHeight="1">
      <c r="A34" s="4">
        <v>32</v>
      </c>
      <c r="B34" s="9" t="s">
        <v>89</v>
      </c>
      <c r="C34" s="10">
        <f>AVERAGE('Trend Analysis'!C34:W34)</f>
        <v>3682.2849999999999</v>
      </c>
      <c r="D34" s="10">
        <f>MEDIAN('Trend Analysis'!C34:W34)</f>
        <v>3358.45</v>
      </c>
      <c r="E34" s="10">
        <f>STDEV('Trend Analysis'!C34:W34)</f>
        <v>784.2470732291074</v>
      </c>
      <c r="F34" s="10">
        <f>MIN('Trend Analysis'!C34:W34)</f>
        <v>3000</v>
      </c>
      <c r="G34" s="10">
        <f>MAX('Trend Analysis'!C34:W34)</f>
        <v>5588.9</v>
      </c>
      <c r="H34" s="10">
        <f>MAX('Trend Analysis'!C34:W34)-MIN('Trend Analysis'!C34:W34)</f>
        <v>2588.8999999999996</v>
      </c>
      <c r="I34" s="21">
        <f>SKEW('Trend Analysis'!C34:W34)</f>
        <v>1.66889684231818</v>
      </c>
      <c r="J34" s="17">
        <f>IF(C34&gt;0,E34/C34*100,0)</f>
        <v>21.297837435969988</v>
      </c>
    </row>
    <row r="35" spans="1:10" ht="15" customHeight="1">
      <c r="A35" s="4">
        <v>33</v>
      </c>
      <c r="B35" s="9" t="s">
        <v>90</v>
      </c>
      <c r="C35" s="10">
        <f>AVERAGE('Trend Analysis'!C35:W35)</f>
        <v>5471</v>
      </c>
      <c r="D35" s="10">
        <f>MEDIAN('Trend Analysis'!C35:W35)</f>
        <v>5455.4500000000007</v>
      </c>
      <c r="E35" s="10">
        <f>STDEV('Trend Analysis'!C35:W35)</f>
        <v>2096.0005441441626</v>
      </c>
      <c r="F35" s="10">
        <f>MIN('Trend Analysis'!C35:W35)</f>
        <v>3000</v>
      </c>
      <c r="G35" s="10">
        <f>MAX('Trend Analysis'!C35:W35)</f>
        <v>9611.2999999999993</v>
      </c>
      <c r="H35" s="10">
        <f>MAX('Trend Analysis'!C35:W35)-MIN('Trend Analysis'!C35:W35)</f>
        <v>6611.2999999999993</v>
      </c>
      <c r="I35" s="21">
        <f>SKEW('Trend Analysis'!C35:W35)</f>
        <v>0.61060219148565975</v>
      </c>
      <c r="J35" s="17">
        <f>IF(C35&gt;0,E35/C35*100,0)</f>
        <v>38.311104809800085</v>
      </c>
    </row>
    <row r="36" spans="1:10" ht="15" customHeight="1">
      <c r="A36" s="4">
        <v>34</v>
      </c>
      <c r="B36" s="9" t="s">
        <v>91</v>
      </c>
      <c r="C36" s="10">
        <f>AVERAGE('Trend Analysis'!C36:W36)</f>
        <v>7057.5399999999991</v>
      </c>
      <c r="D36" s="10">
        <f>MEDIAN('Trend Analysis'!C36:W36)</f>
        <v>6457.7999999999993</v>
      </c>
      <c r="E36" s="10">
        <f>STDEV('Trend Analysis'!C36:W36)</f>
        <v>2530.9969867103487</v>
      </c>
      <c r="F36" s="10">
        <f>MIN('Trend Analysis'!C36:W36)</f>
        <v>3000</v>
      </c>
      <c r="G36" s="10">
        <f>MAX('Trend Analysis'!C36:W36)</f>
        <v>10745.8</v>
      </c>
      <c r="H36" s="10">
        <f>MAX('Trend Analysis'!C36:W36)-MIN('Trend Analysis'!C36:W36)</f>
        <v>7745.7999999999993</v>
      </c>
      <c r="I36" s="21">
        <f>SKEW('Trend Analysis'!C36:W36)</f>
        <v>0.24172458635651808</v>
      </c>
      <c r="J36" s="17">
        <f>IF(C36&gt;0,E36/C36*100,0)</f>
        <v>35.862311608724127</v>
      </c>
    </row>
  </sheetData>
  <mergeCells count="2">
    <mergeCell ref="A1:J1"/>
    <mergeCell ref="A2:J2"/>
  </mergeCells>
  <conditionalFormatting sqref="J5:J3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5A5A5A"/>
  </sheetPr>
  <dimension ref="A1:I132"/>
  <sheetViews>
    <sheetView zoomScaleNormal="100" workbookViewId="0"/>
  </sheetViews>
  <sheetFormatPr defaultColWidth="8.7109375" defaultRowHeight="15"/>
  <cols>
    <col min="1" max="1" width="6" style="1" customWidth="1"/>
    <col min="2" max="2" width="30" style="1" customWidth="1"/>
    <col min="3" max="3" width="8" style="1" customWidth="1"/>
    <col min="4" max="4" width="22" style="1" customWidth="1"/>
    <col min="5" max="5" width="8" style="1" customWidth="1"/>
    <col min="6" max="6" width="22" style="1" customWidth="1"/>
    <col min="7" max="7" width="8" style="1" customWidth="1"/>
    <col min="8" max="8" width="22" style="1" customWidth="1"/>
    <col min="9" max="9" width="30" style="1" customWidth="1"/>
  </cols>
  <sheetData>
    <row r="1" spans="1:9" ht="39.75" customHeight="1">
      <c r="A1" s="31" t="s">
        <v>162</v>
      </c>
      <c r="B1" s="26"/>
      <c r="C1" s="26"/>
      <c r="D1" s="26"/>
      <c r="E1" s="26"/>
      <c r="F1" s="26"/>
      <c r="G1" s="26"/>
      <c r="H1" s="26"/>
      <c r="I1" s="26"/>
    </row>
    <row r="2" spans="1:9" ht="17.850000000000001" customHeight="1">
      <c r="A2" s="32" t="s">
        <v>163</v>
      </c>
      <c r="B2" s="26"/>
      <c r="C2" s="26"/>
      <c r="D2" s="26"/>
      <c r="E2" s="26"/>
      <c r="F2" s="26"/>
      <c r="G2" s="26"/>
      <c r="H2" s="26"/>
      <c r="I2" s="26"/>
    </row>
    <row r="4" spans="1:9" ht="23.85" customHeight="1">
      <c r="A4" s="3" t="s">
        <v>164</v>
      </c>
      <c r="B4" s="3" t="s">
        <v>165</v>
      </c>
      <c r="C4" s="3" t="s">
        <v>166</v>
      </c>
      <c r="D4" s="3" t="s">
        <v>167</v>
      </c>
      <c r="E4" s="3" t="s">
        <v>168</v>
      </c>
      <c r="F4" s="3" t="s">
        <v>169</v>
      </c>
      <c r="G4" s="3" t="s">
        <v>170</v>
      </c>
      <c r="H4" s="3" t="s">
        <v>171</v>
      </c>
      <c r="I4" s="3" t="s">
        <v>172</v>
      </c>
    </row>
    <row r="5" spans="1:9" ht="15" customHeight="1">
      <c r="A5" s="5">
        <v>1</v>
      </c>
      <c r="B5" s="6" t="s">
        <v>173</v>
      </c>
      <c r="C5" s="5">
        <v>1</v>
      </c>
      <c r="D5" s="6" t="s">
        <v>65</v>
      </c>
      <c r="E5" s="5"/>
      <c r="F5" s="6"/>
      <c r="G5" s="5"/>
      <c r="H5" s="6"/>
      <c r="I5" s="6" t="s">
        <v>174</v>
      </c>
    </row>
    <row r="6" spans="1:9" ht="15" customHeight="1">
      <c r="A6" s="4">
        <v>2</v>
      </c>
      <c r="B6" s="9" t="s">
        <v>175</v>
      </c>
      <c r="C6" s="4">
        <v>1</v>
      </c>
      <c r="D6" s="9" t="s">
        <v>65</v>
      </c>
      <c r="E6" s="4"/>
      <c r="F6" s="9"/>
      <c r="G6" s="4"/>
      <c r="H6" s="9"/>
      <c r="I6" s="9" t="s">
        <v>174</v>
      </c>
    </row>
    <row r="7" spans="1:9" ht="15" customHeight="1">
      <c r="A7" s="5">
        <v>3</v>
      </c>
      <c r="B7" s="6" t="s">
        <v>176</v>
      </c>
      <c r="C7" s="5">
        <v>1</v>
      </c>
      <c r="D7" s="6" t="s">
        <v>65</v>
      </c>
      <c r="E7" s="5"/>
      <c r="F7" s="6"/>
      <c r="G7" s="5"/>
      <c r="H7" s="6"/>
      <c r="I7" s="6" t="s">
        <v>174</v>
      </c>
    </row>
    <row r="8" spans="1:9" ht="15" customHeight="1">
      <c r="A8" s="4">
        <v>4</v>
      </c>
      <c r="B8" s="9" t="s">
        <v>177</v>
      </c>
      <c r="C8" s="4">
        <v>21</v>
      </c>
      <c r="D8" s="9" t="s">
        <v>178</v>
      </c>
      <c r="E8" s="4"/>
      <c r="F8" s="9"/>
      <c r="G8" s="4"/>
      <c r="H8" s="9"/>
      <c r="I8" s="9" t="s">
        <v>80</v>
      </c>
    </row>
    <row r="9" spans="1:9" ht="15" customHeight="1">
      <c r="A9" s="5">
        <v>5</v>
      </c>
      <c r="B9" s="6" t="s">
        <v>179</v>
      </c>
      <c r="C9" s="5">
        <v>21</v>
      </c>
      <c r="D9" s="6" t="s">
        <v>178</v>
      </c>
      <c r="E9" s="5">
        <v>25</v>
      </c>
      <c r="F9" s="6" t="s">
        <v>84</v>
      </c>
      <c r="G9" s="5"/>
      <c r="H9" s="6"/>
      <c r="I9" s="6" t="s">
        <v>180</v>
      </c>
    </row>
    <row r="10" spans="1:9" ht="15" customHeight="1">
      <c r="A10" s="4">
        <v>6</v>
      </c>
      <c r="B10" s="9" t="s">
        <v>181</v>
      </c>
      <c r="C10" s="4">
        <v>21</v>
      </c>
      <c r="D10" s="9" t="s">
        <v>178</v>
      </c>
      <c r="E10" s="4"/>
      <c r="F10" s="9"/>
      <c r="G10" s="4"/>
      <c r="H10" s="9"/>
      <c r="I10" s="9" t="s">
        <v>80</v>
      </c>
    </row>
    <row r="11" spans="1:9" ht="15" customHeight="1">
      <c r="A11" s="5">
        <v>7</v>
      </c>
      <c r="B11" s="6" t="s">
        <v>182</v>
      </c>
      <c r="C11" s="5">
        <v>21</v>
      </c>
      <c r="D11" s="6" t="s">
        <v>178</v>
      </c>
      <c r="E11" s="5">
        <v>25</v>
      </c>
      <c r="F11" s="6" t="s">
        <v>84</v>
      </c>
      <c r="G11" s="5"/>
      <c r="H11" s="6"/>
      <c r="I11" s="6" t="s">
        <v>180</v>
      </c>
    </row>
    <row r="12" spans="1:9" ht="15" customHeight="1">
      <c r="A12" s="4">
        <v>8</v>
      </c>
      <c r="B12" s="9" t="s">
        <v>183</v>
      </c>
      <c r="C12" s="4">
        <v>3</v>
      </c>
      <c r="D12" s="9" t="s">
        <v>29</v>
      </c>
      <c r="E12" s="4"/>
      <c r="F12" s="9"/>
      <c r="G12" s="4"/>
      <c r="H12" s="9"/>
      <c r="I12" s="9" t="s">
        <v>184</v>
      </c>
    </row>
    <row r="13" spans="1:9" ht="15" customHeight="1">
      <c r="A13" s="5">
        <v>9</v>
      </c>
      <c r="B13" s="6" t="s">
        <v>185</v>
      </c>
      <c r="C13" s="5">
        <v>3</v>
      </c>
      <c r="D13" s="6" t="s">
        <v>29</v>
      </c>
      <c r="E13" s="5"/>
      <c r="F13" s="6"/>
      <c r="G13" s="5"/>
      <c r="H13" s="6"/>
      <c r="I13" s="6" t="s">
        <v>184</v>
      </c>
    </row>
    <row r="14" spans="1:9" ht="15" customHeight="1">
      <c r="A14" s="4">
        <v>10</v>
      </c>
      <c r="B14" s="9" t="s">
        <v>186</v>
      </c>
      <c r="C14" s="4">
        <v>3</v>
      </c>
      <c r="D14" s="9" t="s">
        <v>29</v>
      </c>
      <c r="E14" s="4"/>
      <c r="F14" s="9"/>
      <c r="G14" s="4"/>
      <c r="H14" s="9"/>
      <c r="I14" s="9" t="s">
        <v>184</v>
      </c>
    </row>
    <row r="15" spans="1:9" ht="15" customHeight="1">
      <c r="A15" s="5">
        <v>11</v>
      </c>
      <c r="B15" s="6" t="s">
        <v>187</v>
      </c>
      <c r="C15" s="5">
        <v>3</v>
      </c>
      <c r="D15" s="6" t="s">
        <v>29</v>
      </c>
      <c r="E15" s="5"/>
      <c r="F15" s="6"/>
      <c r="G15" s="5"/>
      <c r="H15" s="6"/>
      <c r="I15" s="6" t="s">
        <v>184</v>
      </c>
    </row>
    <row r="16" spans="1:9" ht="15" customHeight="1">
      <c r="A16" s="4">
        <v>12</v>
      </c>
      <c r="B16" s="9" t="s">
        <v>188</v>
      </c>
      <c r="C16" s="4">
        <v>3</v>
      </c>
      <c r="D16" s="9" t="s">
        <v>29</v>
      </c>
      <c r="E16" s="4">
        <v>13</v>
      </c>
      <c r="F16" s="9" t="s">
        <v>72</v>
      </c>
      <c r="G16" s="4"/>
      <c r="H16" s="9"/>
      <c r="I16" s="9" t="s">
        <v>189</v>
      </c>
    </row>
    <row r="17" spans="1:9" ht="15" customHeight="1">
      <c r="A17" s="5">
        <v>13</v>
      </c>
      <c r="B17" s="6" t="s">
        <v>190</v>
      </c>
      <c r="C17" s="5">
        <v>3</v>
      </c>
      <c r="D17" s="6" t="s">
        <v>29</v>
      </c>
      <c r="E17" s="5">
        <v>13</v>
      </c>
      <c r="F17" s="6" t="s">
        <v>72</v>
      </c>
      <c r="G17" s="5"/>
      <c r="H17" s="6"/>
      <c r="I17" s="6" t="s">
        <v>189</v>
      </c>
    </row>
    <row r="18" spans="1:9" ht="15" customHeight="1">
      <c r="A18" s="4">
        <v>14</v>
      </c>
      <c r="B18" s="9" t="s">
        <v>191</v>
      </c>
      <c r="C18" s="4">
        <v>23</v>
      </c>
      <c r="D18" s="9" t="s">
        <v>82</v>
      </c>
      <c r="E18" s="4">
        <v>13</v>
      </c>
      <c r="F18" s="9" t="s">
        <v>72</v>
      </c>
      <c r="G18" s="4"/>
      <c r="H18" s="9"/>
      <c r="I18" s="9" t="s">
        <v>192</v>
      </c>
    </row>
    <row r="19" spans="1:9" ht="15" customHeight="1">
      <c r="A19" s="5">
        <v>15</v>
      </c>
      <c r="B19" s="6" t="s">
        <v>193</v>
      </c>
      <c r="C19" s="5">
        <v>23</v>
      </c>
      <c r="D19" s="6" t="s">
        <v>82</v>
      </c>
      <c r="E19" s="5">
        <v>13</v>
      </c>
      <c r="F19" s="6" t="s">
        <v>72</v>
      </c>
      <c r="G19" s="5"/>
      <c r="H19" s="6"/>
      <c r="I19" s="6" t="s">
        <v>192</v>
      </c>
    </row>
    <row r="20" spans="1:9" ht="15" customHeight="1">
      <c r="A20" s="4">
        <v>16</v>
      </c>
      <c r="B20" s="9" t="s">
        <v>194</v>
      </c>
      <c r="C20" s="4">
        <v>23</v>
      </c>
      <c r="D20" s="9" t="s">
        <v>82</v>
      </c>
      <c r="E20" s="4">
        <v>13</v>
      </c>
      <c r="F20" s="9" t="s">
        <v>72</v>
      </c>
      <c r="G20" s="4"/>
      <c r="H20" s="9"/>
      <c r="I20" s="9" t="s">
        <v>192</v>
      </c>
    </row>
    <row r="21" spans="1:9" ht="15" customHeight="1">
      <c r="A21" s="5">
        <v>17</v>
      </c>
      <c r="B21" s="6" t="s">
        <v>195</v>
      </c>
      <c r="C21" s="5">
        <v>23</v>
      </c>
      <c r="D21" s="6" t="s">
        <v>82</v>
      </c>
      <c r="E21" s="5">
        <v>13</v>
      </c>
      <c r="F21" s="6" t="s">
        <v>72</v>
      </c>
      <c r="G21" s="5"/>
      <c r="H21" s="6"/>
      <c r="I21" s="6" t="s">
        <v>192</v>
      </c>
    </row>
    <row r="22" spans="1:9" ht="15" customHeight="1">
      <c r="A22" s="4">
        <v>18</v>
      </c>
      <c r="B22" s="9" t="s">
        <v>196</v>
      </c>
      <c r="C22" s="4">
        <v>23</v>
      </c>
      <c r="D22" s="9" t="s">
        <v>82</v>
      </c>
      <c r="E22" s="4"/>
      <c r="F22" s="9"/>
      <c r="G22" s="4"/>
      <c r="H22" s="9"/>
      <c r="I22" s="9" t="s">
        <v>82</v>
      </c>
    </row>
    <row r="23" spans="1:9" ht="15" customHeight="1">
      <c r="A23" s="5">
        <v>19</v>
      </c>
      <c r="B23" s="6" t="s">
        <v>197</v>
      </c>
      <c r="C23" s="5">
        <v>23</v>
      </c>
      <c r="D23" s="6" t="s">
        <v>82</v>
      </c>
      <c r="E23" s="5"/>
      <c r="F23" s="6"/>
      <c r="G23" s="5"/>
      <c r="H23" s="6"/>
      <c r="I23" s="6" t="s">
        <v>82</v>
      </c>
    </row>
    <row r="24" spans="1:9" ht="15" customHeight="1">
      <c r="A24" s="4">
        <v>20</v>
      </c>
      <c r="B24" s="9" t="s">
        <v>198</v>
      </c>
      <c r="C24" s="4">
        <v>20</v>
      </c>
      <c r="D24" s="9" t="s">
        <v>199</v>
      </c>
      <c r="E24" s="4"/>
      <c r="F24" s="9"/>
      <c r="G24" s="4"/>
      <c r="H24" s="9"/>
      <c r="I24" s="9" t="s">
        <v>200</v>
      </c>
    </row>
    <row r="25" spans="1:9" ht="15" customHeight="1">
      <c r="A25" s="5">
        <v>21</v>
      </c>
      <c r="B25" s="6" t="s">
        <v>201</v>
      </c>
      <c r="C25" s="5">
        <v>12</v>
      </c>
      <c r="D25" s="6" t="s">
        <v>71</v>
      </c>
      <c r="E25" s="5"/>
      <c r="F25" s="6"/>
      <c r="G25" s="5"/>
      <c r="H25" s="6"/>
      <c r="I25" s="6" t="s">
        <v>202</v>
      </c>
    </row>
    <row r="26" spans="1:9" ht="15" customHeight="1">
      <c r="A26" s="4">
        <v>22</v>
      </c>
      <c r="B26" s="9" t="s">
        <v>203</v>
      </c>
      <c r="C26" s="4">
        <v>12</v>
      </c>
      <c r="D26" s="9" t="s">
        <v>71</v>
      </c>
      <c r="E26" s="4">
        <v>13</v>
      </c>
      <c r="F26" s="9" t="s">
        <v>72</v>
      </c>
      <c r="G26" s="4"/>
      <c r="H26" s="9"/>
      <c r="I26" s="9" t="s">
        <v>204</v>
      </c>
    </row>
    <row r="27" spans="1:9" ht="15" customHeight="1">
      <c r="A27" s="5">
        <v>23</v>
      </c>
      <c r="B27" s="6" t="s">
        <v>205</v>
      </c>
      <c r="C27" s="5">
        <v>12</v>
      </c>
      <c r="D27" s="6" t="s">
        <v>71</v>
      </c>
      <c r="E27" s="5">
        <v>13</v>
      </c>
      <c r="F27" s="6" t="s">
        <v>72</v>
      </c>
      <c r="G27" s="5"/>
      <c r="H27" s="6"/>
      <c r="I27" s="6" t="s">
        <v>204</v>
      </c>
    </row>
    <row r="28" spans="1:9" ht="15" customHeight="1">
      <c r="A28" s="4">
        <v>24</v>
      </c>
      <c r="B28" s="9" t="s">
        <v>206</v>
      </c>
      <c r="C28" s="4">
        <v>23</v>
      </c>
      <c r="D28" s="9" t="s">
        <v>82</v>
      </c>
      <c r="E28" s="4">
        <v>13</v>
      </c>
      <c r="F28" s="9" t="s">
        <v>72</v>
      </c>
      <c r="G28" s="4"/>
      <c r="H28" s="9"/>
      <c r="I28" s="9" t="s">
        <v>192</v>
      </c>
    </row>
    <row r="29" spans="1:9" ht="15" customHeight="1">
      <c r="A29" s="5">
        <v>25</v>
      </c>
      <c r="B29" s="6" t="s">
        <v>207</v>
      </c>
      <c r="C29" s="5">
        <v>23</v>
      </c>
      <c r="D29" s="6" t="s">
        <v>82</v>
      </c>
      <c r="E29" s="5">
        <v>13</v>
      </c>
      <c r="F29" s="6" t="s">
        <v>72</v>
      </c>
      <c r="G29" s="5"/>
      <c r="H29" s="6"/>
      <c r="I29" s="6" t="s">
        <v>192</v>
      </c>
    </row>
    <row r="30" spans="1:9" ht="15" customHeight="1">
      <c r="A30" s="4">
        <v>26</v>
      </c>
      <c r="B30" s="9" t="s">
        <v>208</v>
      </c>
      <c r="C30" s="4">
        <v>23</v>
      </c>
      <c r="D30" s="9" t="s">
        <v>82</v>
      </c>
      <c r="E30" s="4">
        <v>13</v>
      </c>
      <c r="F30" s="9" t="s">
        <v>72</v>
      </c>
      <c r="G30" s="4"/>
      <c r="H30" s="9"/>
      <c r="I30" s="9" t="s">
        <v>192</v>
      </c>
    </row>
    <row r="31" spans="1:9" ht="15" customHeight="1">
      <c r="A31" s="5">
        <v>27</v>
      </c>
      <c r="B31" s="6" t="s">
        <v>209</v>
      </c>
      <c r="C31" s="5">
        <v>23</v>
      </c>
      <c r="D31" s="6" t="s">
        <v>82</v>
      </c>
      <c r="E31" s="5"/>
      <c r="F31" s="6"/>
      <c r="G31" s="5"/>
      <c r="H31" s="6"/>
      <c r="I31" s="6" t="s">
        <v>82</v>
      </c>
    </row>
    <row r="32" spans="1:9" ht="15" customHeight="1">
      <c r="A32" s="4">
        <v>28</v>
      </c>
      <c r="B32" s="9" t="s">
        <v>210</v>
      </c>
      <c r="C32" s="4">
        <v>19</v>
      </c>
      <c r="D32" s="9" t="s">
        <v>211</v>
      </c>
      <c r="E32" s="4"/>
      <c r="F32" s="9"/>
      <c r="G32" s="4"/>
      <c r="H32" s="9"/>
      <c r="I32" s="9" t="s">
        <v>212</v>
      </c>
    </row>
    <row r="33" spans="1:9" ht="15" customHeight="1">
      <c r="A33" s="5">
        <v>29</v>
      </c>
      <c r="B33" s="6" t="s">
        <v>213</v>
      </c>
      <c r="C33" s="5">
        <v>23</v>
      </c>
      <c r="D33" s="6" t="s">
        <v>82</v>
      </c>
      <c r="E33" s="5"/>
      <c r="F33" s="6"/>
      <c r="G33" s="5"/>
      <c r="H33" s="6"/>
      <c r="I33" s="6" t="s">
        <v>214</v>
      </c>
    </row>
    <row r="34" spans="1:9" ht="15" customHeight="1">
      <c r="A34" s="4">
        <v>30</v>
      </c>
      <c r="B34" s="9" t="s">
        <v>215</v>
      </c>
      <c r="C34" s="4">
        <v>23</v>
      </c>
      <c r="D34" s="9" t="s">
        <v>82</v>
      </c>
      <c r="E34" s="4"/>
      <c r="F34" s="9"/>
      <c r="G34" s="4"/>
      <c r="H34" s="9"/>
      <c r="I34" s="9" t="s">
        <v>82</v>
      </c>
    </row>
    <row r="35" spans="1:9" ht="15" customHeight="1">
      <c r="A35" s="5">
        <v>31</v>
      </c>
      <c r="B35" s="6" t="s">
        <v>216</v>
      </c>
      <c r="C35" s="5">
        <v>23</v>
      </c>
      <c r="D35" s="6" t="s">
        <v>82</v>
      </c>
      <c r="E35" s="5"/>
      <c r="F35" s="6"/>
      <c r="G35" s="5"/>
      <c r="H35" s="6"/>
      <c r="I35" s="6" t="s">
        <v>82</v>
      </c>
    </row>
    <row r="36" spans="1:9" ht="15" customHeight="1">
      <c r="A36" s="4">
        <v>32</v>
      </c>
      <c r="B36" s="9" t="s">
        <v>217</v>
      </c>
      <c r="C36" s="4">
        <v>23</v>
      </c>
      <c r="D36" s="9" t="s">
        <v>82</v>
      </c>
      <c r="E36" s="4"/>
      <c r="F36" s="9"/>
      <c r="G36" s="4"/>
      <c r="H36" s="9"/>
      <c r="I36" s="9" t="s">
        <v>82</v>
      </c>
    </row>
    <row r="37" spans="1:9" ht="15" customHeight="1">
      <c r="A37" s="5">
        <v>33</v>
      </c>
      <c r="B37" s="6" t="s">
        <v>218</v>
      </c>
      <c r="C37" s="5">
        <v>20</v>
      </c>
      <c r="D37" s="6" t="s">
        <v>199</v>
      </c>
      <c r="E37" s="5"/>
      <c r="F37" s="6"/>
      <c r="G37" s="5"/>
      <c r="H37" s="6"/>
      <c r="I37" s="6" t="s">
        <v>200</v>
      </c>
    </row>
    <row r="38" spans="1:9" ht="15" customHeight="1">
      <c r="A38" s="4">
        <v>34</v>
      </c>
      <c r="B38" s="9" t="s">
        <v>219</v>
      </c>
      <c r="C38" s="4">
        <v>1</v>
      </c>
      <c r="D38" s="9" t="s">
        <v>65</v>
      </c>
      <c r="E38" s="4"/>
      <c r="F38" s="9"/>
      <c r="G38" s="4"/>
      <c r="H38" s="9"/>
      <c r="I38" s="9" t="s">
        <v>220</v>
      </c>
    </row>
    <row r="39" spans="1:9" ht="15" customHeight="1">
      <c r="A39" s="5">
        <v>35</v>
      </c>
      <c r="B39" s="6" t="s">
        <v>221</v>
      </c>
      <c r="C39" s="5">
        <v>1</v>
      </c>
      <c r="D39" s="6" t="s">
        <v>65</v>
      </c>
      <c r="E39" s="5"/>
      <c r="F39" s="6"/>
      <c r="G39" s="5"/>
      <c r="H39" s="6"/>
      <c r="I39" s="6" t="s">
        <v>220</v>
      </c>
    </row>
    <row r="40" spans="1:9" ht="15" customHeight="1">
      <c r="A40" s="4">
        <v>36</v>
      </c>
      <c r="B40" s="9" t="s">
        <v>222</v>
      </c>
      <c r="C40" s="4">
        <v>21</v>
      </c>
      <c r="D40" s="9" t="s">
        <v>178</v>
      </c>
      <c r="E40" s="4"/>
      <c r="F40" s="9"/>
      <c r="G40" s="4"/>
      <c r="H40" s="9"/>
      <c r="I40" s="9" t="s">
        <v>178</v>
      </c>
    </row>
    <row r="41" spans="1:9" ht="15" customHeight="1">
      <c r="A41" s="5">
        <v>37</v>
      </c>
      <c r="B41" s="6" t="s">
        <v>223</v>
      </c>
      <c r="C41" s="5">
        <v>21</v>
      </c>
      <c r="D41" s="6" t="s">
        <v>178</v>
      </c>
      <c r="E41" s="5">
        <v>25</v>
      </c>
      <c r="F41" s="6" t="s">
        <v>84</v>
      </c>
      <c r="G41" s="5"/>
      <c r="H41" s="6"/>
      <c r="I41" s="6" t="s">
        <v>224</v>
      </c>
    </row>
    <row r="42" spans="1:9" ht="15" customHeight="1">
      <c r="A42" s="4">
        <v>38</v>
      </c>
      <c r="B42" s="9" t="s">
        <v>225</v>
      </c>
      <c r="C42" s="4">
        <v>21</v>
      </c>
      <c r="D42" s="9" t="s">
        <v>178</v>
      </c>
      <c r="E42" s="4"/>
      <c r="F42" s="9"/>
      <c r="G42" s="4"/>
      <c r="H42" s="9"/>
      <c r="I42" s="9" t="s">
        <v>178</v>
      </c>
    </row>
    <row r="43" spans="1:9" ht="15" customHeight="1">
      <c r="A43" s="5">
        <v>39</v>
      </c>
      <c r="B43" s="6" t="s">
        <v>226</v>
      </c>
      <c r="C43" s="5">
        <v>21</v>
      </c>
      <c r="D43" s="6" t="s">
        <v>178</v>
      </c>
      <c r="E43" s="5">
        <v>25</v>
      </c>
      <c r="F43" s="6" t="s">
        <v>84</v>
      </c>
      <c r="G43" s="5"/>
      <c r="H43" s="6"/>
      <c r="I43" s="6" t="s">
        <v>224</v>
      </c>
    </row>
    <row r="44" spans="1:9" ht="15" customHeight="1">
      <c r="A44" s="4">
        <v>40</v>
      </c>
      <c r="B44" s="9" t="s">
        <v>227</v>
      </c>
      <c r="C44" s="4">
        <v>6</v>
      </c>
      <c r="D44" s="9" t="s">
        <v>20</v>
      </c>
      <c r="E44" s="4">
        <v>13</v>
      </c>
      <c r="F44" s="9" t="s">
        <v>72</v>
      </c>
      <c r="G44" s="4"/>
      <c r="H44" s="9"/>
      <c r="I44" s="9" t="s">
        <v>228</v>
      </c>
    </row>
    <row r="45" spans="1:9" ht="15" customHeight="1">
      <c r="A45" s="5">
        <v>41</v>
      </c>
      <c r="B45" s="6" t="s">
        <v>229</v>
      </c>
      <c r="C45" s="5">
        <v>2</v>
      </c>
      <c r="D45" s="6" t="s">
        <v>22</v>
      </c>
      <c r="E45" s="5"/>
      <c r="F45" s="6"/>
      <c r="G45" s="5"/>
      <c r="H45" s="6"/>
      <c r="I45" s="6" t="s">
        <v>230</v>
      </c>
    </row>
    <row r="46" spans="1:9" ht="15" customHeight="1">
      <c r="A46" s="4">
        <v>42</v>
      </c>
      <c r="B46" s="9" t="s">
        <v>231</v>
      </c>
      <c r="C46" s="4">
        <v>2</v>
      </c>
      <c r="D46" s="9" t="s">
        <v>22</v>
      </c>
      <c r="E46" s="4"/>
      <c r="F46" s="9"/>
      <c r="G46" s="4"/>
      <c r="H46" s="9"/>
      <c r="I46" s="9" t="s">
        <v>230</v>
      </c>
    </row>
    <row r="47" spans="1:9" ht="15" customHeight="1">
      <c r="A47" s="5">
        <v>43</v>
      </c>
      <c r="B47" s="6" t="s">
        <v>232</v>
      </c>
      <c r="C47" s="5">
        <v>2</v>
      </c>
      <c r="D47" s="6" t="s">
        <v>22</v>
      </c>
      <c r="E47" s="5"/>
      <c r="F47" s="6"/>
      <c r="G47" s="5"/>
      <c r="H47" s="6"/>
      <c r="I47" s="6" t="s">
        <v>230</v>
      </c>
    </row>
    <row r="48" spans="1:9" ht="15" customHeight="1">
      <c r="A48" s="4">
        <v>44</v>
      </c>
      <c r="B48" s="9" t="s">
        <v>233</v>
      </c>
      <c r="C48" s="4">
        <v>2</v>
      </c>
      <c r="D48" s="9" t="s">
        <v>22</v>
      </c>
      <c r="E48" s="4">
        <v>13</v>
      </c>
      <c r="F48" s="9" t="s">
        <v>72</v>
      </c>
      <c r="G48" s="4"/>
      <c r="H48" s="9"/>
      <c r="I48" s="9" t="s">
        <v>234</v>
      </c>
    </row>
    <row r="49" spans="1:9" ht="15" customHeight="1">
      <c r="A49" s="5">
        <v>45</v>
      </c>
      <c r="B49" s="6" t="s">
        <v>235</v>
      </c>
      <c r="C49" s="5">
        <v>2</v>
      </c>
      <c r="D49" s="6" t="s">
        <v>22</v>
      </c>
      <c r="E49" s="5">
        <v>13</v>
      </c>
      <c r="F49" s="6" t="s">
        <v>72</v>
      </c>
      <c r="G49" s="5"/>
      <c r="H49" s="6"/>
      <c r="I49" s="6" t="s">
        <v>234</v>
      </c>
    </row>
    <row r="50" spans="1:9" ht="15" customHeight="1">
      <c r="A50" s="4">
        <v>46</v>
      </c>
      <c r="B50" s="9" t="s">
        <v>236</v>
      </c>
      <c r="C50" s="4">
        <v>2</v>
      </c>
      <c r="D50" s="9" t="s">
        <v>22</v>
      </c>
      <c r="E50" s="4">
        <v>13</v>
      </c>
      <c r="F50" s="9" t="s">
        <v>72</v>
      </c>
      <c r="G50" s="4"/>
      <c r="H50" s="9"/>
      <c r="I50" s="9" t="s">
        <v>234</v>
      </c>
    </row>
    <row r="51" spans="1:9" ht="15" customHeight="1">
      <c r="A51" s="5">
        <v>47</v>
      </c>
      <c r="B51" s="6" t="s">
        <v>237</v>
      </c>
      <c r="C51" s="5">
        <v>2</v>
      </c>
      <c r="D51" s="6" t="s">
        <v>22</v>
      </c>
      <c r="E51" s="5">
        <v>13</v>
      </c>
      <c r="F51" s="6" t="s">
        <v>72</v>
      </c>
      <c r="G51" s="5"/>
      <c r="H51" s="6"/>
      <c r="I51" s="6" t="s">
        <v>234</v>
      </c>
    </row>
    <row r="52" spans="1:9" ht="15" customHeight="1">
      <c r="A52" s="4">
        <v>48</v>
      </c>
      <c r="B52" s="9" t="s">
        <v>238</v>
      </c>
      <c r="C52" s="4">
        <v>2</v>
      </c>
      <c r="D52" s="9" t="s">
        <v>22</v>
      </c>
      <c r="E52" s="4">
        <v>13</v>
      </c>
      <c r="F52" s="9" t="s">
        <v>72</v>
      </c>
      <c r="G52" s="4"/>
      <c r="H52" s="9"/>
      <c r="I52" s="9" t="s">
        <v>234</v>
      </c>
    </row>
    <row r="53" spans="1:9" ht="15" customHeight="1">
      <c r="A53" s="5">
        <v>49</v>
      </c>
      <c r="B53" s="6" t="s">
        <v>239</v>
      </c>
      <c r="C53" s="5">
        <v>2</v>
      </c>
      <c r="D53" s="6" t="s">
        <v>22</v>
      </c>
      <c r="E53" s="5">
        <v>13</v>
      </c>
      <c r="F53" s="6" t="s">
        <v>72</v>
      </c>
      <c r="G53" s="5"/>
      <c r="H53" s="6"/>
      <c r="I53" s="6" t="s">
        <v>234</v>
      </c>
    </row>
    <row r="54" spans="1:9" ht="15" customHeight="1">
      <c r="A54" s="4">
        <v>50</v>
      </c>
      <c r="B54" s="9" t="s">
        <v>240</v>
      </c>
      <c r="C54" s="4">
        <v>24</v>
      </c>
      <c r="D54" s="9" t="s">
        <v>83</v>
      </c>
      <c r="E54" s="4">
        <v>2</v>
      </c>
      <c r="F54" s="9" t="s">
        <v>22</v>
      </c>
      <c r="G54" s="4">
        <v>23</v>
      </c>
      <c r="H54" s="9" t="s">
        <v>82</v>
      </c>
      <c r="I54" s="9" t="s">
        <v>241</v>
      </c>
    </row>
    <row r="55" spans="1:9" ht="15" customHeight="1">
      <c r="A55" s="5">
        <v>51</v>
      </c>
      <c r="B55" s="6" t="s">
        <v>242</v>
      </c>
      <c r="C55" s="5">
        <v>24</v>
      </c>
      <c r="D55" s="6" t="s">
        <v>83</v>
      </c>
      <c r="E55" s="5">
        <v>2</v>
      </c>
      <c r="F55" s="6" t="s">
        <v>22</v>
      </c>
      <c r="G55" s="5">
        <v>23</v>
      </c>
      <c r="H55" s="6" t="s">
        <v>82</v>
      </c>
      <c r="I55" s="6" t="s">
        <v>241</v>
      </c>
    </row>
    <row r="56" spans="1:9" ht="15" customHeight="1">
      <c r="A56" s="4">
        <v>52</v>
      </c>
      <c r="B56" s="9" t="s">
        <v>243</v>
      </c>
      <c r="C56" s="4">
        <v>23</v>
      </c>
      <c r="D56" s="9" t="s">
        <v>82</v>
      </c>
      <c r="E56" s="4"/>
      <c r="F56" s="9"/>
      <c r="G56" s="4"/>
      <c r="H56" s="9"/>
      <c r="I56" s="9" t="s">
        <v>82</v>
      </c>
    </row>
    <row r="57" spans="1:9" ht="15" customHeight="1">
      <c r="A57" s="5">
        <v>53</v>
      </c>
      <c r="B57" s="6" t="s">
        <v>244</v>
      </c>
      <c r="C57" s="5">
        <v>20</v>
      </c>
      <c r="D57" s="6" t="s">
        <v>199</v>
      </c>
      <c r="E57" s="5"/>
      <c r="F57" s="6"/>
      <c r="G57" s="5"/>
      <c r="H57" s="6"/>
      <c r="I57" s="6" t="s">
        <v>200</v>
      </c>
    </row>
    <row r="58" spans="1:9" ht="15" customHeight="1">
      <c r="A58" s="4">
        <v>54</v>
      </c>
      <c r="B58" s="9" t="s">
        <v>245</v>
      </c>
      <c r="C58" s="4">
        <v>23</v>
      </c>
      <c r="D58" s="9" t="s">
        <v>82</v>
      </c>
      <c r="E58" s="4"/>
      <c r="F58" s="9"/>
      <c r="G58" s="4"/>
      <c r="H58" s="9"/>
      <c r="I58" s="9" t="s">
        <v>82</v>
      </c>
    </row>
    <row r="59" spans="1:9" ht="15" customHeight="1">
      <c r="A59" s="5">
        <v>55</v>
      </c>
      <c r="B59" s="6" t="s">
        <v>246</v>
      </c>
      <c r="C59" s="5">
        <v>4</v>
      </c>
      <c r="D59" s="6" t="s">
        <v>66</v>
      </c>
      <c r="E59" s="5">
        <v>13</v>
      </c>
      <c r="F59" s="6" t="s">
        <v>72</v>
      </c>
      <c r="G59" s="5"/>
      <c r="H59" s="6"/>
      <c r="I59" s="6" t="s">
        <v>247</v>
      </c>
    </row>
    <row r="60" spans="1:9" ht="15" customHeight="1">
      <c r="A60" s="4">
        <v>56</v>
      </c>
      <c r="B60" s="9" t="s">
        <v>248</v>
      </c>
      <c r="C60" s="4">
        <v>4</v>
      </c>
      <c r="D60" s="9" t="s">
        <v>66</v>
      </c>
      <c r="E60" s="4">
        <v>13</v>
      </c>
      <c r="F60" s="9" t="s">
        <v>72</v>
      </c>
      <c r="G60" s="4">
        <v>23</v>
      </c>
      <c r="H60" s="9" t="s">
        <v>82</v>
      </c>
      <c r="I60" s="9" t="s">
        <v>249</v>
      </c>
    </row>
    <row r="61" spans="1:9" ht="15" customHeight="1">
      <c r="A61" s="5">
        <v>57</v>
      </c>
      <c r="B61" s="6" t="s">
        <v>250</v>
      </c>
      <c r="C61" s="5">
        <v>4</v>
      </c>
      <c r="D61" s="6" t="s">
        <v>66</v>
      </c>
      <c r="E61" s="5">
        <v>13</v>
      </c>
      <c r="F61" s="6" t="s">
        <v>72</v>
      </c>
      <c r="G61" s="5"/>
      <c r="H61" s="6"/>
      <c r="I61" s="6" t="s">
        <v>247</v>
      </c>
    </row>
    <row r="62" spans="1:9" ht="15" customHeight="1">
      <c r="A62" s="4">
        <v>58</v>
      </c>
      <c r="B62" s="9" t="s">
        <v>251</v>
      </c>
      <c r="C62" s="4">
        <v>4</v>
      </c>
      <c r="D62" s="9" t="s">
        <v>66</v>
      </c>
      <c r="E62" s="4">
        <v>13</v>
      </c>
      <c r="F62" s="9" t="s">
        <v>72</v>
      </c>
      <c r="G62" s="4">
        <v>23</v>
      </c>
      <c r="H62" s="9" t="s">
        <v>82</v>
      </c>
      <c r="I62" s="9" t="s">
        <v>249</v>
      </c>
    </row>
    <row r="63" spans="1:9" ht="15" customHeight="1">
      <c r="A63" s="5">
        <v>59</v>
      </c>
      <c r="B63" s="6" t="s">
        <v>252</v>
      </c>
      <c r="C63" s="5">
        <v>4</v>
      </c>
      <c r="D63" s="6" t="s">
        <v>66</v>
      </c>
      <c r="E63" s="5"/>
      <c r="F63" s="6"/>
      <c r="G63" s="5"/>
      <c r="H63" s="6"/>
      <c r="I63" s="6" t="s">
        <v>66</v>
      </c>
    </row>
    <row r="64" spans="1:9" ht="15" customHeight="1">
      <c r="A64" s="4">
        <v>60</v>
      </c>
      <c r="B64" s="9" t="s">
        <v>253</v>
      </c>
      <c r="C64" s="4">
        <v>4</v>
      </c>
      <c r="D64" s="9" t="s">
        <v>66</v>
      </c>
      <c r="E64" s="4"/>
      <c r="F64" s="9"/>
      <c r="G64" s="4"/>
      <c r="H64" s="9"/>
      <c r="I64" s="9" t="s">
        <v>66</v>
      </c>
    </row>
    <row r="65" spans="1:9" ht="15" customHeight="1">
      <c r="A65" s="5">
        <v>61</v>
      </c>
      <c r="B65" s="6" t="s">
        <v>254</v>
      </c>
      <c r="C65" s="5">
        <v>4</v>
      </c>
      <c r="D65" s="6" t="s">
        <v>66</v>
      </c>
      <c r="E65" s="5"/>
      <c r="F65" s="6"/>
      <c r="G65" s="5"/>
      <c r="H65" s="6"/>
      <c r="I65" s="6" t="s">
        <v>66</v>
      </c>
    </row>
    <row r="66" spans="1:9" ht="15" customHeight="1">
      <c r="A66" s="4">
        <v>62</v>
      </c>
      <c r="B66" s="9" t="s">
        <v>255</v>
      </c>
      <c r="C66" s="4">
        <v>4</v>
      </c>
      <c r="D66" s="9" t="s">
        <v>66</v>
      </c>
      <c r="E66" s="4"/>
      <c r="F66" s="9"/>
      <c r="G66" s="4"/>
      <c r="H66" s="9"/>
      <c r="I66" s="9" t="s">
        <v>66</v>
      </c>
    </row>
    <row r="67" spans="1:9" ht="15" customHeight="1">
      <c r="A67" s="5">
        <v>63</v>
      </c>
      <c r="B67" s="6" t="s">
        <v>256</v>
      </c>
      <c r="C67" s="5">
        <v>4</v>
      </c>
      <c r="D67" s="6" t="s">
        <v>66</v>
      </c>
      <c r="E67" s="5">
        <v>23</v>
      </c>
      <c r="F67" s="6" t="s">
        <v>82</v>
      </c>
      <c r="G67" s="5"/>
      <c r="H67" s="6"/>
      <c r="I67" s="6" t="s">
        <v>257</v>
      </c>
    </row>
    <row r="68" spans="1:9" ht="15" customHeight="1">
      <c r="A68" s="4">
        <v>64</v>
      </c>
      <c r="B68" s="9" t="s">
        <v>258</v>
      </c>
      <c r="C68" s="4">
        <v>5</v>
      </c>
      <c r="D68" s="9" t="s">
        <v>67</v>
      </c>
      <c r="E68" s="4"/>
      <c r="F68" s="9"/>
      <c r="G68" s="4"/>
      <c r="H68" s="9"/>
      <c r="I68" s="9" t="s">
        <v>67</v>
      </c>
    </row>
    <row r="69" spans="1:9" ht="15" customHeight="1">
      <c r="A69" s="5">
        <v>65</v>
      </c>
      <c r="B69" s="6" t="s">
        <v>259</v>
      </c>
      <c r="C69" s="5">
        <v>5</v>
      </c>
      <c r="D69" s="6" t="s">
        <v>67</v>
      </c>
      <c r="E69" s="5"/>
      <c r="F69" s="6"/>
      <c r="G69" s="5"/>
      <c r="H69" s="6"/>
      <c r="I69" s="6" t="s">
        <v>67</v>
      </c>
    </row>
    <row r="70" spans="1:9" ht="15" customHeight="1">
      <c r="A70" s="4">
        <v>66</v>
      </c>
      <c r="B70" s="9" t="s">
        <v>260</v>
      </c>
      <c r="C70" s="4">
        <v>5</v>
      </c>
      <c r="D70" s="9" t="s">
        <v>67</v>
      </c>
      <c r="E70" s="4"/>
      <c r="F70" s="9"/>
      <c r="G70" s="4"/>
      <c r="H70" s="9"/>
      <c r="I70" s="9" t="s">
        <v>67</v>
      </c>
    </row>
    <row r="71" spans="1:9" ht="15" customHeight="1">
      <c r="A71" s="5">
        <v>67</v>
      </c>
      <c r="B71" s="6" t="s">
        <v>261</v>
      </c>
      <c r="C71" s="5">
        <v>16</v>
      </c>
      <c r="D71" s="6" t="s">
        <v>262</v>
      </c>
      <c r="E71" s="5"/>
      <c r="F71" s="6"/>
      <c r="G71" s="5"/>
      <c r="H71" s="6"/>
      <c r="I71" s="6" t="s">
        <v>263</v>
      </c>
    </row>
    <row r="72" spans="1:9" ht="15" customHeight="1">
      <c r="A72" s="4">
        <v>68</v>
      </c>
      <c r="B72" s="9" t="s">
        <v>264</v>
      </c>
      <c r="C72" s="4">
        <v>15</v>
      </c>
      <c r="D72" s="9" t="s">
        <v>265</v>
      </c>
      <c r="E72" s="4"/>
      <c r="F72" s="9"/>
      <c r="G72" s="4"/>
      <c r="H72" s="9"/>
      <c r="I72" s="9" t="s">
        <v>266</v>
      </c>
    </row>
    <row r="73" spans="1:9" ht="15" customHeight="1">
      <c r="A73" s="5">
        <v>69</v>
      </c>
      <c r="B73" s="6" t="s">
        <v>267</v>
      </c>
      <c r="C73" s="5">
        <v>18</v>
      </c>
      <c r="D73" s="6" t="s">
        <v>268</v>
      </c>
      <c r="E73" s="5"/>
      <c r="F73" s="6"/>
      <c r="G73" s="5"/>
      <c r="H73" s="6"/>
      <c r="I73" s="6" t="s">
        <v>269</v>
      </c>
    </row>
    <row r="74" spans="1:9" ht="15" customHeight="1">
      <c r="A74" s="4">
        <v>70</v>
      </c>
      <c r="B74" s="9" t="s">
        <v>211</v>
      </c>
      <c r="C74" s="4">
        <v>19</v>
      </c>
      <c r="D74" s="9" t="s">
        <v>211</v>
      </c>
      <c r="E74" s="4"/>
      <c r="F74" s="9"/>
      <c r="G74" s="4"/>
      <c r="H74" s="9"/>
      <c r="I74" s="9" t="s">
        <v>270</v>
      </c>
    </row>
    <row r="75" spans="1:9" ht="15" customHeight="1">
      <c r="A75" s="5">
        <v>71</v>
      </c>
      <c r="B75" s="6" t="s">
        <v>271</v>
      </c>
      <c r="C75" s="5">
        <v>15</v>
      </c>
      <c r="D75" s="6" t="s">
        <v>265</v>
      </c>
      <c r="E75" s="5"/>
      <c r="F75" s="6"/>
      <c r="G75" s="5"/>
      <c r="H75" s="6"/>
      <c r="I75" s="6" t="s">
        <v>272</v>
      </c>
    </row>
    <row r="76" spans="1:9" ht="15" customHeight="1">
      <c r="A76" s="4">
        <v>72</v>
      </c>
      <c r="B76" s="9" t="s">
        <v>273</v>
      </c>
      <c r="C76" s="4">
        <v>1</v>
      </c>
      <c r="D76" s="9" t="s">
        <v>65</v>
      </c>
      <c r="E76" s="4">
        <v>24</v>
      </c>
      <c r="F76" s="9" t="s">
        <v>83</v>
      </c>
      <c r="G76" s="4"/>
      <c r="H76" s="9"/>
      <c r="I76" s="9" t="s">
        <v>274</v>
      </c>
    </row>
    <row r="77" spans="1:9" ht="15" customHeight="1">
      <c r="A77" s="5">
        <v>73</v>
      </c>
      <c r="B77" s="6" t="s">
        <v>275</v>
      </c>
      <c r="C77" s="5">
        <v>1</v>
      </c>
      <c r="D77" s="6" t="s">
        <v>65</v>
      </c>
      <c r="E77" s="5">
        <v>24</v>
      </c>
      <c r="F77" s="6" t="s">
        <v>83</v>
      </c>
      <c r="G77" s="5"/>
      <c r="H77" s="6"/>
      <c r="I77" s="6" t="s">
        <v>274</v>
      </c>
    </row>
    <row r="78" spans="1:9" ht="15" customHeight="1">
      <c r="A78" s="4">
        <v>74</v>
      </c>
      <c r="B78" s="9" t="s">
        <v>276</v>
      </c>
      <c r="C78" s="4">
        <v>22</v>
      </c>
      <c r="D78" s="9" t="s">
        <v>277</v>
      </c>
      <c r="E78" s="4"/>
      <c r="F78" s="9"/>
      <c r="G78" s="4"/>
      <c r="H78" s="9"/>
      <c r="I78" s="9" t="s">
        <v>277</v>
      </c>
    </row>
    <row r="79" spans="1:9" ht="15" customHeight="1">
      <c r="A79" s="5">
        <v>75</v>
      </c>
      <c r="B79" s="6" t="s">
        <v>278</v>
      </c>
      <c r="C79" s="5">
        <v>21</v>
      </c>
      <c r="D79" s="6" t="s">
        <v>178</v>
      </c>
      <c r="E79" s="5"/>
      <c r="F79" s="6"/>
      <c r="G79" s="5"/>
      <c r="H79" s="6"/>
      <c r="I79" s="6" t="s">
        <v>178</v>
      </c>
    </row>
    <row r="80" spans="1:9" ht="15" customHeight="1">
      <c r="A80" s="4">
        <v>76</v>
      </c>
      <c r="B80" s="9" t="s">
        <v>279</v>
      </c>
      <c r="C80" s="4">
        <v>21</v>
      </c>
      <c r="D80" s="9" t="s">
        <v>178</v>
      </c>
      <c r="E80" s="4">
        <v>25</v>
      </c>
      <c r="F80" s="9" t="s">
        <v>84</v>
      </c>
      <c r="G80" s="4"/>
      <c r="H80" s="9"/>
      <c r="I80" s="9" t="s">
        <v>224</v>
      </c>
    </row>
    <row r="81" spans="1:9" ht="15" customHeight="1">
      <c r="A81" s="5">
        <v>77</v>
      </c>
      <c r="B81" s="6" t="s">
        <v>280</v>
      </c>
      <c r="C81" s="5">
        <v>31</v>
      </c>
      <c r="D81" s="6" t="s">
        <v>281</v>
      </c>
      <c r="E81" s="5">
        <v>21</v>
      </c>
      <c r="F81" s="6" t="s">
        <v>178</v>
      </c>
      <c r="G81" s="5"/>
      <c r="H81" s="6"/>
      <c r="I81" s="6" t="s">
        <v>282</v>
      </c>
    </row>
    <row r="82" spans="1:9" ht="15" customHeight="1">
      <c r="A82" s="4">
        <v>78</v>
      </c>
      <c r="B82" s="9" t="s">
        <v>283</v>
      </c>
      <c r="C82" s="4">
        <v>1</v>
      </c>
      <c r="D82" s="9" t="s">
        <v>65</v>
      </c>
      <c r="E82" s="4"/>
      <c r="F82" s="9"/>
      <c r="G82" s="4"/>
      <c r="H82" s="9"/>
      <c r="I82" s="9" t="s">
        <v>220</v>
      </c>
    </row>
    <row r="83" spans="1:9" ht="15" customHeight="1">
      <c r="A83" s="5">
        <v>79</v>
      </c>
      <c r="B83" s="6" t="s">
        <v>284</v>
      </c>
      <c r="C83" s="5">
        <v>20</v>
      </c>
      <c r="D83" s="6" t="s">
        <v>199</v>
      </c>
      <c r="E83" s="5"/>
      <c r="F83" s="6"/>
      <c r="G83" s="5"/>
      <c r="H83" s="6"/>
      <c r="I83" s="6" t="s">
        <v>200</v>
      </c>
    </row>
    <row r="84" spans="1:9" ht="15" customHeight="1">
      <c r="A84" s="4">
        <v>80</v>
      </c>
      <c r="B84" s="9" t="s">
        <v>285</v>
      </c>
      <c r="C84" s="4">
        <v>7</v>
      </c>
      <c r="D84" s="9" t="s">
        <v>18</v>
      </c>
      <c r="E84" s="4">
        <v>24</v>
      </c>
      <c r="F84" s="9" t="s">
        <v>83</v>
      </c>
      <c r="G84" s="4"/>
      <c r="H84" s="9"/>
      <c r="I84" s="9" t="s">
        <v>286</v>
      </c>
    </row>
    <row r="85" spans="1:9" ht="15" customHeight="1">
      <c r="A85" s="5">
        <v>81</v>
      </c>
      <c r="B85" s="6" t="s">
        <v>287</v>
      </c>
      <c r="C85" s="5">
        <v>23</v>
      </c>
      <c r="D85" s="6" t="s">
        <v>82</v>
      </c>
      <c r="E85" s="5"/>
      <c r="F85" s="6"/>
      <c r="G85" s="5"/>
      <c r="H85" s="6"/>
      <c r="I85" s="6" t="s">
        <v>82</v>
      </c>
    </row>
    <row r="86" spans="1:9" ht="15" customHeight="1">
      <c r="A86" s="4">
        <v>82</v>
      </c>
      <c r="B86" s="9" t="s">
        <v>288</v>
      </c>
      <c r="C86" s="4">
        <v>14</v>
      </c>
      <c r="D86" s="9" t="s">
        <v>73</v>
      </c>
      <c r="E86" s="4">
        <v>24</v>
      </c>
      <c r="F86" s="9" t="s">
        <v>83</v>
      </c>
      <c r="G86" s="4"/>
      <c r="H86" s="9"/>
      <c r="I86" s="9" t="s">
        <v>289</v>
      </c>
    </row>
    <row r="87" spans="1:9" ht="15" customHeight="1">
      <c r="A87" s="5">
        <v>83</v>
      </c>
      <c r="B87" s="6" t="s">
        <v>290</v>
      </c>
      <c r="C87" s="5">
        <v>7</v>
      </c>
      <c r="D87" s="6" t="s">
        <v>18</v>
      </c>
      <c r="E87" s="5"/>
      <c r="F87" s="6"/>
      <c r="G87" s="5"/>
      <c r="H87" s="6"/>
      <c r="I87" s="6" t="s">
        <v>291</v>
      </c>
    </row>
    <row r="88" spans="1:9" ht="15" customHeight="1">
      <c r="A88" s="4">
        <v>84</v>
      </c>
      <c r="B88" s="9" t="s">
        <v>292</v>
      </c>
      <c r="C88" s="4">
        <v>7</v>
      </c>
      <c r="D88" s="9" t="s">
        <v>18</v>
      </c>
      <c r="E88" s="4"/>
      <c r="F88" s="9"/>
      <c r="G88" s="4"/>
      <c r="H88" s="9"/>
      <c r="I88" s="9" t="s">
        <v>291</v>
      </c>
    </row>
    <row r="89" spans="1:9" ht="15" customHeight="1">
      <c r="A89" s="5">
        <v>85</v>
      </c>
      <c r="B89" s="6" t="s">
        <v>293</v>
      </c>
      <c r="C89" s="5">
        <v>7</v>
      </c>
      <c r="D89" s="6" t="s">
        <v>18</v>
      </c>
      <c r="E89" s="5"/>
      <c r="F89" s="6"/>
      <c r="G89" s="5"/>
      <c r="H89" s="6"/>
      <c r="I89" s="6" t="s">
        <v>291</v>
      </c>
    </row>
    <row r="90" spans="1:9" ht="15" customHeight="1">
      <c r="A90" s="4">
        <v>86</v>
      </c>
      <c r="B90" s="9" t="s">
        <v>294</v>
      </c>
      <c r="C90" s="4">
        <v>7</v>
      </c>
      <c r="D90" s="9" t="s">
        <v>18</v>
      </c>
      <c r="E90" s="4"/>
      <c r="F90" s="9"/>
      <c r="G90" s="4"/>
      <c r="H90" s="9"/>
      <c r="I90" s="9" t="s">
        <v>291</v>
      </c>
    </row>
    <row r="91" spans="1:9" ht="15" customHeight="1">
      <c r="A91" s="5">
        <v>87</v>
      </c>
      <c r="B91" s="6" t="s">
        <v>295</v>
      </c>
      <c r="C91" s="5">
        <v>21</v>
      </c>
      <c r="D91" s="6" t="s">
        <v>178</v>
      </c>
      <c r="E91" s="5"/>
      <c r="F91" s="6"/>
      <c r="G91" s="5"/>
      <c r="H91" s="6"/>
      <c r="I91" s="6" t="s">
        <v>178</v>
      </c>
    </row>
    <row r="92" spans="1:9" ht="15" customHeight="1">
      <c r="A92" s="4">
        <v>88</v>
      </c>
      <c r="B92" s="9" t="s">
        <v>296</v>
      </c>
      <c r="C92" s="4">
        <v>34</v>
      </c>
      <c r="D92" s="9" t="s">
        <v>91</v>
      </c>
      <c r="E92" s="4"/>
      <c r="F92" s="9"/>
      <c r="G92" s="4"/>
      <c r="H92" s="9"/>
      <c r="I92" s="9" t="s">
        <v>91</v>
      </c>
    </row>
    <row r="93" spans="1:9" ht="15" customHeight="1">
      <c r="A93" s="5">
        <v>89</v>
      </c>
      <c r="B93" s="6" t="s">
        <v>297</v>
      </c>
      <c r="C93" s="5">
        <v>6</v>
      </c>
      <c r="D93" s="6" t="s">
        <v>20</v>
      </c>
      <c r="E93" s="5">
        <v>13</v>
      </c>
      <c r="F93" s="6" t="s">
        <v>72</v>
      </c>
      <c r="G93" s="5"/>
      <c r="H93" s="6"/>
      <c r="I93" s="6" t="s">
        <v>228</v>
      </c>
    </row>
    <row r="94" spans="1:9" ht="15" customHeight="1">
      <c r="A94" s="4">
        <v>90</v>
      </c>
      <c r="B94" s="9" t="s">
        <v>298</v>
      </c>
      <c r="C94" s="4">
        <v>6</v>
      </c>
      <c r="D94" s="9" t="s">
        <v>20</v>
      </c>
      <c r="E94" s="4">
        <v>13</v>
      </c>
      <c r="F94" s="9" t="s">
        <v>72</v>
      </c>
      <c r="G94" s="4"/>
      <c r="H94" s="9"/>
      <c r="I94" s="9" t="s">
        <v>228</v>
      </c>
    </row>
    <row r="95" spans="1:9" ht="15" customHeight="1">
      <c r="A95" s="5">
        <v>91</v>
      </c>
      <c r="B95" s="6" t="s">
        <v>299</v>
      </c>
      <c r="C95" s="5">
        <v>6</v>
      </c>
      <c r="D95" s="6" t="s">
        <v>20</v>
      </c>
      <c r="E95" s="5">
        <v>13</v>
      </c>
      <c r="F95" s="6" t="s">
        <v>72</v>
      </c>
      <c r="G95" s="5"/>
      <c r="H95" s="6"/>
      <c r="I95" s="6" t="s">
        <v>228</v>
      </c>
    </row>
    <row r="96" spans="1:9" ht="15" customHeight="1">
      <c r="A96" s="4">
        <v>92</v>
      </c>
      <c r="B96" s="9" t="s">
        <v>300</v>
      </c>
      <c r="C96" s="4">
        <v>6</v>
      </c>
      <c r="D96" s="9" t="s">
        <v>20</v>
      </c>
      <c r="E96" s="4">
        <v>13</v>
      </c>
      <c r="F96" s="9" t="s">
        <v>72</v>
      </c>
      <c r="G96" s="4"/>
      <c r="H96" s="9"/>
      <c r="I96" s="9" t="s">
        <v>228</v>
      </c>
    </row>
    <row r="97" spans="1:9" ht="15" customHeight="1">
      <c r="A97" s="5">
        <v>93</v>
      </c>
      <c r="B97" s="6" t="s">
        <v>301</v>
      </c>
      <c r="C97" s="5">
        <v>23</v>
      </c>
      <c r="D97" s="6" t="s">
        <v>82</v>
      </c>
      <c r="E97" s="5">
        <v>13</v>
      </c>
      <c r="F97" s="6" t="s">
        <v>72</v>
      </c>
      <c r="G97" s="5"/>
      <c r="H97" s="6"/>
      <c r="I97" s="6" t="s">
        <v>192</v>
      </c>
    </row>
    <row r="98" spans="1:9" ht="15" customHeight="1">
      <c r="A98" s="4">
        <v>94</v>
      </c>
      <c r="B98" s="9" t="s">
        <v>302</v>
      </c>
      <c r="C98" s="4">
        <v>21</v>
      </c>
      <c r="D98" s="9" t="s">
        <v>178</v>
      </c>
      <c r="E98" s="4"/>
      <c r="F98" s="9"/>
      <c r="G98" s="4"/>
      <c r="H98" s="9"/>
      <c r="I98" s="9" t="s">
        <v>178</v>
      </c>
    </row>
    <row r="99" spans="1:9" ht="15" customHeight="1">
      <c r="A99" s="5">
        <v>95</v>
      </c>
      <c r="B99" s="6" t="s">
        <v>303</v>
      </c>
      <c r="C99" s="5">
        <v>24</v>
      </c>
      <c r="D99" s="6" t="s">
        <v>83</v>
      </c>
      <c r="E99" s="5"/>
      <c r="F99" s="6"/>
      <c r="G99" s="5"/>
      <c r="H99" s="6"/>
      <c r="I99" s="6" t="s">
        <v>83</v>
      </c>
    </row>
    <row r="100" spans="1:9" ht="15" customHeight="1">
      <c r="A100" s="4">
        <v>96</v>
      </c>
      <c r="B100" s="9" t="s">
        <v>304</v>
      </c>
      <c r="C100" s="4">
        <v>24</v>
      </c>
      <c r="D100" s="9" t="s">
        <v>83</v>
      </c>
      <c r="E100" s="4"/>
      <c r="F100" s="9"/>
      <c r="G100" s="4"/>
      <c r="H100" s="9"/>
      <c r="I100" s="9" t="s">
        <v>83</v>
      </c>
    </row>
    <row r="101" spans="1:9" ht="15" customHeight="1">
      <c r="A101" s="5">
        <v>97</v>
      </c>
      <c r="B101" s="6" t="s">
        <v>305</v>
      </c>
      <c r="C101" s="5">
        <v>24</v>
      </c>
      <c r="D101" s="6" t="s">
        <v>83</v>
      </c>
      <c r="E101" s="5"/>
      <c r="F101" s="6"/>
      <c r="G101" s="5"/>
      <c r="H101" s="6"/>
      <c r="I101" s="6" t="s">
        <v>83</v>
      </c>
    </row>
    <row r="102" spans="1:9" ht="15" customHeight="1">
      <c r="A102" s="4">
        <v>98</v>
      </c>
      <c r="B102" s="9" t="s">
        <v>306</v>
      </c>
      <c r="C102" s="4">
        <v>20</v>
      </c>
      <c r="D102" s="9" t="s">
        <v>199</v>
      </c>
      <c r="E102" s="4"/>
      <c r="F102" s="9"/>
      <c r="G102" s="4"/>
      <c r="H102" s="9"/>
      <c r="I102" s="9" t="s">
        <v>307</v>
      </c>
    </row>
    <row r="103" spans="1:9" ht="15" customHeight="1">
      <c r="A103" s="5">
        <v>99</v>
      </c>
      <c r="B103" s="6" t="s">
        <v>308</v>
      </c>
      <c r="C103" s="5">
        <v>23</v>
      </c>
      <c r="D103" s="6" t="s">
        <v>82</v>
      </c>
      <c r="E103" s="5">
        <v>21</v>
      </c>
      <c r="F103" s="6" t="s">
        <v>178</v>
      </c>
      <c r="G103" s="5"/>
      <c r="H103" s="6"/>
      <c r="I103" s="6" t="s">
        <v>309</v>
      </c>
    </row>
    <row r="104" spans="1:9" ht="15" customHeight="1">
      <c r="A104" s="4">
        <v>100</v>
      </c>
      <c r="B104" s="9" t="s">
        <v>310</v>
      </c>
      <c r="C104" s="4">
        <v>10</v>
      </c>
      <c r="D104" s="9" t="s">
        <v>26</v>
      </c>
      <c r="E104" s="4"/>
      <c r="F104" s="9"/>
      <c r="G104" s="4"/>
      <c r="H104" s="9"/>
      <c r="I104" s="9" t="s">
        <v>26</v>
      </c>
    </row>
    <row r="105" spans="1:9" ht="15" customHeight="1">
      <c r="A105" s="5">
        <v>101</v>
      </c>
      <c r="B105" s="6" t="s">
        <v>311</v>
      </c>
      <c r="C105" s="5">
        <v>9</v>
      </c>
      <c r="D105" s="6" t="s">
        <v>69</v>
      </c>
      <c r="E105" s="5"/>
      <c r="F105" s="6"/>
      <c r="G105" s="5"/>
      <c r="H105" s="6"/>
      <c r="I105" s="6" t="s">
        <v>69</v>
      </c>
    </row>
    <row r="106" spans="1:9" ht="15" customHeight="1">
      <c r="A106" s="4">
        <v>102</v>
      </c>
      <c r="B106" s="9" t="s">
        <v>312</v>
      </c>
      <c r="C106" s="4">
        <v>11</v>
      </c>
      <c r="D106" s="9" t="s">
        <v>70</v>
      </c>
      <c r="E106" s="4"/>
      <c r="F106" s="9"/>
      <c r="G106" s="4"/>
      <c r="H106" s="9"/>
      <c r="I106" s="9" t="s">
        <v>313</v>
      </c>
    </row>
    <row r="107" spans="1:9" ht="15" customHeight="1">
      <c r="A107" s="5">
        <v>103</v>
      </c>
      <c r="B107" s="6" t="s">
        <v>314</v>
      </c>
      <c r="C107" s="5">
        <v>23</v>
      </c>
      <c r="D107" s="6" t="s">
        <v>82</v>
      </c>
      <c r="E107" s="5"/>
      <c r="F107" s="6"/>
      <c r="G107" s="5"/>
      <c r="H107" s="6"/>
      <c r="I107" s="6" t="s">
        <v>82</v>
      </c>
    </row>
    <row r="108" spans="1:9" ht="15" customHeight="1">
      <c r="A108" s="4">
        <v>104</v>
      </c>
      <c r="B108" s="9" t="s">
        <v>315</v>
      </c>
      <c r="C108" s="4">
        <v>11</v>
      </c>
      <c r="D108" s="9" t="s">
        <v>70</v>
      </c>
      <c r="E108" s="4"/>
      <c r="F108" s="9"/>
      <c r="G108" s="4"/>
      <c r="H108" s="9"/>
      <c r="I108" s="9" t="s">
        <v>313</v>
      </c>
    </row>
    <row r="109" spans="1:9" ht="15" customHeight="1">
      <c r="A109" s="5">
        <v>105</v>
      </c>
      <c r="B109" s="6" t="s">
        <v>316</v>
      </c>
      <c r="C109" s="5">
        <v>8</v>
      </c>
      <c r="D109" s="6" t="s">
        <v>68</v>
      </c>
      <c r="E109" s="5">
        <v>24</v>
      </c>
      <c r="F109" s="6" t="s">
        <v>83</v>
      </c>
      <c r="G109" s="5"/>
      <c r="H109" s="6"/>
      <c r="I109" s="6" t="s">
        <v>317</v>
      </c>
    </row>
    <row r="110" spans="1:9" ht="15" customHeight="1">
      <c r="A110" s="4">
        <v>106</v>
      </c>
      <c r="B110" s="9" t="s">
        <v>318</v>
      </c>
      <c r="C110" s="4">
        <v>8</v>
      </c>
      <c r="D110" s="9" t="s">
        <v>68</v>
      </c>
      <c r="E110" s="4">
        <v>13</v>
      </c>
      <c r="F110" s="9" t="s">
        <v>72</v>
      </c>
      <c r="G110" s="4"/>
      <c r="H110" s="9"/>
      <c r="I110" s="9" t="s">
        <v>319</v>
      </c>
    </row>
    <row r="111" spans="1:9" ht="15" customHeight="1">
      <c r="A111" s="5">
        <v>107</v>
      </c>
      <c r="B111" s="6" t="s">
        <v>320</v>
      </c>
      <c r="C111" s="5">
        <v>3</v>
      </c>
      <c r="D111" s="6" t="s">
        <v>29</v>
      </c>
      <c r="E111" s="5"/>
      <c r="F111" s="6"/>
      <c r="G111" s="5"/>
      <c r="H111" s="6"/>
      <c r="I111" s="6" t="s">
        <v>321</v>
      </c>
    </row>
    <row r="112" spans="1:9" ht="15" customHeight="1">
      <c r="A112" s="4">
        <v>108</v>
      </c>
      <c r="B112" s="9" t="s">
        <v>322</v>
      </c>
      <c r="C112" s="4">
        <v>28</v>
      </c>
      <c r="D112" s="9" t="s">
        <v>87</v>
      </c>
      <c r="E112" s="4"/>
      <c r="F112" s="9"/>
      <c r="G112" s="4"/>
      <c r="H112" s="9"/>
      <c r="I112" s="9" t="s">
        <v>87</v>
      </c>
    </row>
    <row r="113" spans="1:9" ht="15" customHeight="1">
      <c r="A113" s="5">
        <v>109</v>
      </c>
      <c r="B113" s="6" t="s">
        <v>87</v>
      </c>
      <c r="C113" s="5">
        <v>28</v>
      </c>
      <c r="D113" s="6" t="s">
        <v>87</v>
      </c>
      <c r="E113" s="5"/>
      <c r="F113" s="6"/>
      <c r="G113" s="5"/>
      <c r="H113" s="6"/>
      <c r="I113" s="6" t="s">
        <v>87</v>
      </c>
    </row>
    <row r="114" spans="1:9" ht="15" customHeight="1">
      <c r="A114" s="4">
        <v>110</v>
      </c>
      <c r="B114" s="9" t="s">
        <v>323</v>
      </c>
      <c r="C114" s="4">
        <v>26</v>
      </c>
      <c r="D114" s="9" t="s">
        <v>85</v>
      </c>
      <c r="E114" s="4"/>
      <c r="F114" s="9"/>
      <c r="G114" s="4"/>
      <c r="H114" s="9"/>
      <c r="I114" s="9" t="s">
        <v>85</v>
      </c>
    </row>
    <row r="115" spans="1:9" ht="15" customHeight="1">
      <c r="A115" s="5">
        <v>111</v>
      </c>
      <c r="B115" s="6" t="s">
        <v>324</v>
      </c>
      <c r="C115" s="5">
        <v>26</v>
      </c>
      <c r="D115" s="6" t="s">
        <v>85</v>
      </c>
      <c r="E115" s="5">
        <v>27</v>
      </c>
      <c r="F115" s="6" t="s">
        <v>86</v>
      </c>
      <c r="G115" s="5"/>
      <c r="H115" s="6"/>
      <c r="I115" s="6" t="s">
        <v>325</v>
      </c>
    </row>
    <row r="116" spans="1:9" ht="15" customHeight="1">
      <c r="A116" s="4">
        <v>112</v>
      </c>
      <c r="B116" s="9" t="s">
        <v>326</v>
      </c>
      <c r="C116" s="4">
        <v>33</v>
      </c>
      <c r="D116" s="9" t="s">
        <v>90</v>
      </c>
      <c r="E116" s="4"/>
      <c r="F116" s="9"/>
      <c r="G116" s="4"/>
      <c r="H116" s="9"/>
      <c r="I116" s="9" t="s">
        <v>90</v>
      </c>
    </row>
    <row r="117" spans="1:9" ht="15" customHeight="1">
      <c r="A117" s="5">
        <v>113</v>
      </c>
      <c r="B117" s="6" t="s">
        <v>327</v>
      </c>
      <c r="C117" s="5">
        <v>14</v>
      </c>
      <c r="D117" s="6" t="s">
        <v>73</v>
      </c>
      <c r="E117" s="5"/>
      <c r="F117" s="6"/>
      <c r="G117" s="5"/>
      <c r="H117" s="6"/>
      <c r="I117" s="6" t="s">
        <v>328</v>
      </c>
    </row>
    <row r="118" spans="1:9" ht="15" customHeight="1">
      <c r="A118" s="4">
        <v>114</v>
      </c>
      <c r="B118" s="9" t="s">
        <v>329</v>
      </c>
      <c r="C118" s="4">
        <v>4</v>
      </c>
      <c r="D118" s="9" t="s">
        <v>66</v>
      </c>
      <c r="E118" s="4"/>
      <c r="F118" s="9"/>
      <c r="G118" s="4"/>
      <c r="H118" s="9"/>
      <c r="I118" s="9" t="s">
        <v>330</v>
      </c>
    </row>
    <row r="119" spans="1:9" ht="15" customHeight="1">
      <c r="A119" s="5">
        <v>115</v>
      </c>
      <c r="B119" s="6" t="s">
        <v>331</v>
      </c>
      <c r="C119" s="5">
        <v>24</v>
      </c>
      <c r="D119" s="6" t="s">
        <v>83</v>
      </c>
      <c r="E119" s="5"/>
      <c r="F119" s="6"/>
      <c r="G119" s="5"/>
      <c r="H119" s="6"/>
      <c r="I119" s="6" t="s">
        <v>83</v>
      </c>
    </row>
    <row r="120" spans="1:9" ht="15" customHeight="1">
      <c r="A120" s="4">
        <v>116</v>
      </c>
      <c r="B120" s="9" t="s">
        <v>83</v>
      </c>
      <c r="C120" s="4">
        <v>24</v>
      </c>
      <c r="D120" s="9" t="s">
        <v>83</v>
      </c>
      <c r="E120" s="4"/>
      <c r="F120" s="9"/>
      <c r="G120" s="4"/>
      <c r="H120" s="9"/>
      <c r="I120" s="9" t="s">
        <v>83</v>
      </c>
    </row>
    <row r="121" spans="1:9" ht="15" customHeight="1">
      <c r="A121" s="5">
        <v>117</v>
      </c>
      <c r="B121" s="6" t="s">
        <v>332</v>
      </c>
      <c r="C121" s="5">
        <v>23</v>
      </c>
      <c r="D121" s="6" t="s">
        <v>82</v>
      </c>
      <c r="E121" s="5"/>
      <c r="F121" s="6"/>
      <c r="G121" s="5"/>
      <c r="H121" s="6"/>
      <c r="I121" s="6" t="s">
        <v>82</v>
      </c>
    </row>
    <row r="122" spans="1:9" ht="15" customHeight="1">
      <c r="A122" s="4">
        <v>118</v>
      </c>
      <c r="B122" s="9" t="s">
        <v>333</v>
      </c>
      <c r="C122" s="4">
        <v>31</v>
      </c>
      <c r="D122" s="9" t="s">
        <v>281</v>
      </c>
      <c r="E122" s="4"/>
      <c r="F122" s="9"/>
      <c r="G122" s="4"/>
      <c r="H122" s="9"/>
      <c r="I122" s="9" t="s">
        <v>334</v>
      </c>
    </row>
    <row r="123" spans="1:9" ht="15" customHeight="1">
      <c r="A123" s="5">
        <v>119</v>
      </c>
      <c r="B123" s="6" t="s">
        <v>335</v>
      </c>
      <c r="C123" s="5">
        <v>13</v>
      </c>
      <c r="D123" s="6" t="s">
        <v>72</v>
      </c>
      <c r="E123" s="5"/>
      <c r="F123" s="6"/>
      <c r="G123" s="5"/>
      <c r="H123" s="6"/>
      <c r="I123" s="6" t="s">
        <v>72</v>
      </c>
    </row>
    <row r="124" spans="1:9" ht="15" customHeight="1">
      <c r="A124" s="4">
        <v>120</v>
      </c>
      <c r="B124" s="9" t="s">
        <v>336</v>
      </c>
      <c r="C124" s="4">
        <v>12</v>
      </c>
      <c r="D124" s="9" t="s">
        <v>71</v>
      </c>
      <c r="E124" s="4"/>
      <c r="F124" s="9"/>
      <c r="G124" s="4"/>
      <c r="H124" s="9"/>
      <c r="I124" s="9" t="s">
        <v>337</v>
      </c>
    </row>
    <row r="125" spans="1:9" ht="15" customHeight="1">
      <c r="A125" s="5">
        <v>121</v>
      </c>
      <c r="B125" s="6" t="s">
        <v>338</v>
      </c>
      <c r="C125" s="5">
        <v>23</v>
      </c>
      <c r="D125" s="6" t="s">
        <v>82</v>
      </c>
      <c r="E125" s="5"/>
      <c r="F125" s="6"/>
      <c r="G125" s="5"/>
      <c r="H125" s="6"/>
      <c r="I125" s="6" t="s">
        <v>82</v>
      </c>
    </row>
    <row r="126" spans="1:9" ht="15" customHeight="1">
      <c r="A126" s="4">
        <v>122</v>
      </c>
      <c r="B126" s="9" t="s">
        <v>339</v>
      </c>
      <c r="C126" s="4">
        <v>23</v>
      </c>
      <c r="D126" s="9" t="s">
        <v>82</v>
      </c>
      <c r="E126" s="4"/>
      <c r="F126" s="9"/>
      <c r="G126" s="4"/>
      <c r="H126" s="9"/>
      <c r="I126" s="9" t="s">
        <v>82</v>
      </c>
    </row>
    <row r="127" spans="1:9" ht="15" customHeight="1">
      <c r="A127" s="5">
        <v>123</v>
      </c>
      <c r="B127" s="6" t="s">
        <v>340</v>
      </c>
      <c r="C127" s="5">
        <v>20</v>
      </c>
      <c r="D127" s="6" t="s">
        <v>199</v>
      </c>
      <c r="E127" s="5"/>
      <c r="F127" s="6"/>
      <c r="G127" s="5"/>
      <c r="H127" s="6"/>
      <c r="I127" s="6" t="s">
        <v>200</v>
      </c>
    </row>
    <row r="128" spans="1:9" ht="15" customHeight="1">
      <c r="A128" s="4"/>
      <c r="B128" s="9"/>
      <c r="C128" s="4"/>
      <c r="D128" s="9"/>
      <c r="E128" s="4"/>
      <c r="F128" s="9"/>
      <c r="G128" s="4"/>
      <c r="H128" s="9"/>
      <c r="I128" s="9"/>
    </row>
    <row r="129" spans="1:9" ht="15" customHeight="1">
      <c r="A129" s="5"/>
      <c r="B129" s="6"/>
      <c r="C129" s="5"/>
      <c r="D129" s="6"/>
      <c r="E129" s="5"/>
      <c r="F129" s="6"/>
      <c r="G129" s="5"/>
      <c r="H129" s="6"/>
      <c r="I129" s="6"/>
    </row>
    <row r="130" spans="1:9" ht="69.400000000000006" customHeight="1">
      <c r="A130" s="4" t="s">
        <v>341</v>
      </c>
      <c r="B130" s="9"/>
      <c r="C130" s="4"/>
      <c r="D130" s="9"/>
      <c r="E130" s="4"/>
      <c r="F130" s="9"/>
      <c r="G130" s="4"/>
      <c r="H130" s="9"/>
      <c r="I130" s="9"/>
    </row>
    <row r="131" spans="1:9" ht="32.1" customHeight="1">
      <c r="A131" s="5" t="s">
        <v>342</v>
      </c>
      <c r="B131" s="6"/>
      <c r="C131" s="5"/>
      <c r="D131" s="6"/>
      <c r="E131" s="5"/>
      <c r="F131" s="6"/>
      <c r="G131" s="5"/>
      <c r="H131" s="6"/>
      <c r="I131" s="6"/>
    </row>
    <row r="132" spans="1:9" ht="22.35" customHeight="1">
      <c r="A132" s="4" t="s">
        <v>343</v>
      </c>
      <c r="B132" s="9"/>
      <c r="C132" s="4"/>
      <c r="D132" s="9"/>
      <c r="E132" s="4"/>
      <c r="F132" s="9"/>
      <c r="G132" s="4"/>
      <c r="H132" s="9"/>
      <c r="I132" s="9"/>
    </row>
  </sheetData>
  <mergeCells count="2">
    <mergeCell ref="A1:I1"/>
    <mergeCell ref="A2:I2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2F2F2F"/>
  </sheetPr>
  <dimension ref="A2:B26"/>
  <sheetViews>
    <sheetView zoomScaleNormal="100" workbookViewId="0"/>
  </sheetViews>
  <sheetFormatPr defaultColWidth="8.7109375" defaultRowHeight="15"/>
  <cols>
    <col min="1" max="1" width="5" style="1" customWidth="1"/>
    <col min="2" max="2" width="80" style="1" customWidth="1"/>
  </cols>
  <sheetData>
    <row r="2" spans="2:2" ht="39.75" customHeight="1">
      <c r="B2" s="22" t="s">
        <v>344</v>
      </c>
    </row>
    <row r="4" spans="2:2" ht="17.45" customHeight="1">
      <c r="B4" s="23" t="s">
        <v>345</v>
      </c>
    </row>
    <row r="5" spans="2:2" ht="15" customHeight="1">
      <c r="B5" s="24" t="s">
        <v>346</v>
      </c>
    </row>
    <row r="6" spans="2:2" ht="15" customHeight="1">
      <c r="B6" s="24" t="s">
        <v>347</v>
      </c>
    </row>
    <row r="8" spans="2:2" ht="17.45" customHeight="1">
      <c r="B8" s="23" t="s">
        <v>348</v>
      </c>
    </row>
    <row r="9" spans="2:2" ht="15" customHeight="1">
      <c r="B9" s="24" t="s">
        <v>349</v>
      </c>
    </row>
    <row r="10" spans="2:2" ht="15" customHeight="1">
      <c r="B10" s="24" t="s">
        <v>350</v>
      </c>
    </row>
    <row r="11" spans="2:2" ht="15" customHeight="1">
      <c r="B11" s="24" t="s">
        <v>351</v>
      </c>
    </row>
    <row r="12" spans="2:2" ht="15" customHeight="1">
      <c r="B12" s="24" t="s">
        <v>352</v>
      </c>
    </row>
    <row r="13" spans="2:2" ht="15" customHeight="1">
      <c r="B13" s="24" t="s">
        <v>353</v>
      </c>
    </row>
    <row r="14" spans="2:2" ht="15" customHeight="1">
      <c r="B14" s="24" t="s">
        <v>354</v>
      </c>
    </row>
    <row r="15" spans="2:2" ht="15" customHeight="1">
      <c r="B15" s="24" t="s">
        <v>355</v>
      </c>
    </row>
    <row r="16" spans="2:2" ht="15" customHeight="1">
      <c r="B16" s="24" t="s">
        <v>356</v>
      </c>
    </row>
    <row r="18" spans="2:2" ht="17.45" customHeight="1">
      <c r="B18" s="23" t="s">
        <v>357</v>
      </c>
    </row>
    <row r="19" spans="2:2" ht="15" customHeight="1">
      <c r="B19" s="24" t="s">
        <v>358</v>
      </c>
    </row>
    <row r="20" spans="2:2" ht="15" customHeight="1">
      <c r="B20" s="24" t="s">
        <v>359</v>
      </c>
    </row>
    <row r="21" spans="2:2" ht="15" customHeight="1">
      <c r="B21" s="24" t="s">
        <v>360</v>
      </c>
    </row>
    <row r="23" spans="2:2" ht="17.45" customHeight="1">
      <c r="B23" s="23" t="s">
        <v>361</v>
      </c>
    </row>
    <row r="24" spans="2:2" ht="15" customHeight="1">
      <c r="B24" s="24" t="s">
        <v>362</v>
      </c>
    </row>
    <row r="25" spans="2:2" ht="15" customHeight="1">
      <c r="B25" s="24" t="s">
        <v>363</v>
      </c>
    </row>
    <row r="26" spans="2:2" ht="15" customHeight="1">
      <c r="B26" s="24" t="s">
        <v>364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>0</cp:revision>
  <dcterms:created xsi:type="dcterms:W3CDTF">2025-12-13T14:58:05Z</dcterms:created>
  <dcterms:modified xsi:type="dcterms:W3CDTF">2025-12-13T15:10:59Z</dcterms:modified>
  <cp:category/>
  <cp:contentStatus/>
</cp:coreProperties>
</file>